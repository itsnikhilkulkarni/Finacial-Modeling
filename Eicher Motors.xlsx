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tables/table1.xml" ContentType="application/vnd.openxmlformats-officedocument.spreadsheetml.table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sma\OneDrive\Desktop\"/>
    </mc:Choice>
  </mc:AlternateContent>
  <xr:revisionPtr revIDLastSave="0" documentId="13_ncr:1_{034532DB-F0D2-4D0E-9917-536E3D863706}" xr6:coauthVersionLast="47" xr6:coauthVersionMax="47" xr10:uidLastSave="{00000000-0000-0000-0000-000000000000}"/>
  <bookViews>
    <workbookView xWindow="-110" yWindow="-110" windowWidth="19420" windowHeight="12220" firstSheet="7" xr2:uid="{00000000-000D-0000-FFFF-FFFF00000000}"/>
  </bookViews>
  <sheets>
    <sheet name="One Page View" sheetId="25" r:id="rId1"/>
    <sheet name="Historical IFS" sheetId="7" r:id="rId2"/>
    <sheet name="Ratio Annalysis" sheetId="17" r:id="rId3"/>
    <sheet name="Revenue Forcasting " sheetId="9" r:id="rId4"/>
    <sheet name="Common size statement" sheetId="13" r:id="rId5"/>
    <sheet name="WACC" sheetId="10" r:id="rId6"/>
    <sheet name="Forcasting data " sheetId="8" r:id="rId7"/>
    <sheet name="Beta Calculation" sheetId="12" r:id="rId8"/>
    <sheet name="Data Room" sheetId="14" r:id="rId9"/>
    <sheet name="Intrisc Value" sheetId="15" r:id="rId10"/>
    <sheet name="DCF" sheetId="16" r:id="rId11"/>
    <sheet name="Comps Value" sheetId="19" r:id="rId12"/>
    <sheet name="RM" sheetId="11" r:id="rId13"/>
    <sheet name="Balance Sheet" sheetId="2" r:id="rId14"/>
    <sheet name="Profit &amp; Loss" sheetId="1" r:id="rId15"/>
    <sheet name="Data Sheet" sheetId="6" r:id="rId16"/>
    <sheet name="data" sheetId="20" r:id="rId17"/>
    <sheet name="Footabal annalysis" sheetId="18" r:id="rId18"/>
  </sheets>
  <definedNames>
    <definedName name="_xlnm._FilterDatabase" localSheetId="7" hidden="1">'Beta Calculation'!$B$9:$E$61</definedName>
    <definedName name="_xlnm._FilterDatabase" localSheetId="5" hidden="1">WACC!$P$16:$S$22</definedName>
    <definedName name="_xlnm.Print_Area" localSheetId="7">'Beta Calculation'!$A$1:$K$62</definedName>
    <definedName name="_xlnm.Print_Area" localSheetId="4">'Common size statement'!$A$1:$L$45</definedName>
    <definedName name="_xlnm.Print_Area" localSheetId="11">'Comps Value'!$A$1:$P$46</definedName>
    <definedName name="_xlnm.Print_Area" localSheetId="8">'Data Room'!$A$1:$N$47</definedName>
    <definedName name="_xlnm.Print_Area" localSheetId="10">DCF!$A$1:$I$55</definedName>
    <definedName name="_xlnm.Print_Area" localSheetId="6">'Forcasting data '!$A$1:$L$39</definedName>
    <definedName name="_xlnm.Print_Area" localSheetId="1">'Historical IFS'!$A$1:$L$107</definedName>
    <definedName name="_xlnm.Print_Area" localSheetId="9">'Intrisc Value'!$A$1:$J$74</definedName>
    <definedName name="_xlnm.Print_Area" localSheetId="0">'One Page View'!$A$1:$L$63</definedName>
    <definedName name="_xlnm.Print_Area" localSheetId="2">'Ratio Annalysis'!$A$1:$O$50</definedName>
    <definedName name="_xlnm.Print_Area" localSheetId="3">'Revenue Forcasting '!$A$1:$N$68</definedName>
    <definedName name="_xlnm.Print_Area" localSheetId="12">RM!$A$1:$G$37</definedName>
    <definedName name="_xlnm.Print_Area" localSheetId="5">WACC!$A$1:$J$50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8" i="14" l="1"/>
  <c r="B8" i="12"/>
  <c r="B9" i="9"/>
  <c r="D2" i="7"/>
  <c r="D2" i="17"/>
  <c r="D2" i="9"/>
  <c r="D2" i="13"/>
  <c r="D2" i="10"/>
  <c r="D1" i="8"/>
  <c r="D2" i="12"/>
  <c r="D2" i="15"/>
  <c r="D2" i="16"/>
  <c r="D2" i="19"/>
  <c r="C1" i="11"/>
  <c r="D2" i="14"/>
  <c r="B9" i="13"/>
  <c r="B29" i="13"/>
  <c r="L46" i="25"/>
  <c r="L47" i="25"/>
  <c r="L44" i="25"/>
  <c r="L45" i="25" s="1"/>
  <c r="L48" i="25" s="1"/>
  <c r="F28" i="25"/>
  <c r="D39" i="25"/>
  <c r="C39" i="25"/>
  <c r="B39" i="25"/>
  <c r="D38" i="25"/>
  <c r="C38" i="25"/>
  <c r="B38" i="25"/>
  <c r="D37" i="25"/>
  <c r="C37" i="25"/>
  <c r="B37" i="25"/>
  <c r="D36" i="25"/>
  <c r="C36" i="25"/>
  <c r="B36" i="25"/>
  <c r="D35" i="25"/>
  <c r="C35" i="25"/>
  <c r="B35" i="25"/>
  <c r="D34" i="25"/>
  <c r="C34" i="25"/>
  <c r="B34" i="25"/>
  <c r="D33" i="25"/>
  <c r="C33" i="25"/>
  <c r="B33" i="25"/>
  <c r="D32" i="25"/>
  <c r="C32" i="25"/>
  <c r="B32" i="25"/>
  <c r="D31" i="25"/>
  <c r="C31" i="25"/>
  <c r="B31" i="25"/>
  <c r="D30" i="25"/>
  <c r="C30" i="25"/>
  <c r="B30" i="25"/>
  <c r="D28" i="25"/>
  <c r="C28" i="25"/>
  <c r="L35" i="20"/>
  <c r="G39" i="25" s="1"/>
  <c r="L34" i="20"/>
  <c r="G38" i="25" s="1"/>
  <c r="L33" i="20"/>
  <c r="G37" i="25" s="1"/>
  <c r="L32" i="20"/>
  <c r="G36" i="25" s="1"/>
  <c r="L31" i="20"/>
  <c r="G35" i="25" s="1"/>
  <c r="L30" i="20"/>
  <c r="G34" i="25" s="1"/>
  <c r="L29" i="20"/>
  <c r="G33" i="25" s="1"/>
  <c r="L28" i="20"/>
  <c r="G32" i="25" s="1"/>
  <c r="L27" i="20"/>
  <c r="G31" i="25" s="1"/>
  <c r="L26" i="20"/>
  <c r="G30" i="25" s="1"/>
  <c r="G26" i="25"/>
  <c r="F26" i="25"/>
  <c r="E26" i="25"/>
  <c r="D26" i="25"/>
  <c r="C26" i="25"/>
  <c r="G25" i="25"/>
  <c r="F25" i="25"/>
  <c r="E25" i="25"/>
  <c r="D25" i="25"/>
  <c r="C25" i="25"/>
  <c r="G24" i="25"/>
  <c r="F24" i="25"/>
  <c r="E24" i="25"/>
  <c r="D24" i="25"/>
  <c r="C24" i="25"/>
  <c r="G23" i="25"/>
  <c r="F23" i="25"/>
  <c r="E23" i="25"/>
  <c r="D23" i="25"/>
  <c r="C23" i="25"/>
  <c r="G22" i="25"/>
  <c r="F22" i="25"/>
  <c r="E22" i="25"/>
  <c r="D22" i="25"/>
  <c r="C22" i="25"/>
  <c r="G21" i="25"/>
  <c r="F21" i="25"/>
  <c r="E21" i="25"/>
  <c r="D21" i="25"/>
  <c r="C21" i="25"/>
  <c r="K42" i="1"/>
  <c r="J42" i="1"/>
  <c r="I42" i="1"/>
  <c r="H42" i="1"/>
  <c r="G42" i="1"/>
  <c r="F42" i="1"/>
  <c r="E42" i="1"/>
  <c r="D42" i="1"/>
  <c r="C42" i="1"/>
  <c r="B42" i="1"/>
  <c r="K95" i="6"/>
  <c r="J95" i="6"/>
  <c r="I95" i="6"/>
  <c r="H95" i="6"/>
  <c r="G95" i="6"/>
  <c r="F95" i="6"/>
  <c r="E95" i="6"/>
  <c r="D95" i="6"/>
  <c r="C95" i="6"/>
  <c r="B95" i="6"/>
  <c r="K41" i="1"/>
  <c r="J41" i="1"/>
  <c r="I41" i="1"/>
  <c r="H41" i="1"/>
  <c r="G41" i="1"/>
  <c r="F41" i="1"/>
  <c r="E41" i="1"/>
  <c r="D41" i="1"/>
  <c r="C41" i="1"/>
  <c r="B41" i="1"/>
  <c r="K40" i="1"/>
  <c r="J40" i="1"/>
  <c r="I40" i="1"/>
  <c r="H40" i="1"/>
  <c r="G40" i="1"/>
  <c r="F40" i="1"/>
  <c r="E40" i="1"/>
  <c r="D40" i="1"/>
  <c r="C40" i="1"/>
  <c r="B40" i="1"/>
  <c r="K38" i="1"/>
  <c r="J38" i="1"/>
  <c r="I38" i="1"/>
  <c r="H38" i="1"/>
  <c r="G38" i="1"/>
  <c r="F38" i="1"/>
  <c r="E38" i="1"/>
  <c r="D38" i="1"/>
  <c r="C38" i="1"/>
  <c r="B38" i="1"/>
  <c r="K37" i="1"/>
  <c r="J37" i="1"/>
  <c r="I37" i="1"/>
  <c r="H37" i="1"/>
  <c r="G37" i="1"/>
  <c r="F37" i="1"/>
  <c r="E37" i="1"/>
  <c r="D37" i="1"/>
  <c r="C37" i="1"/>
  <c r="B37" i="1"/>
  <c r="K36" i="1"/>
  <c r="J36" i="1"/>
  <c r="I36" i="1"/>
  <c r="H36" i="1"/>
  <c r="G36" i="1"/>
  <c r="F36" i="1"/>
  <c r="E36" i="1"/>
  <c r="D36" i="1"/>
  <c r="C36" i="1"/>
  <c r="B36" i="1"/>
  <c r="K35" i="1"/>
  <c r="J35" i="1"/>
  <c r="I35" i="1"/>
  <c r="H35" i="1"/>
  <c r="G35" i="1"/>
  <c r="F35" i="1"/>
  <c r="E35" i="1"/>
  <c r="D35" i="1"/>
  <c r="C35" i="1"/>
  <c r="B35" i="1"/>
  <c r="G17" i="25"/>
  <c r="F17" i="25"/>
  <c r="E17" i="25"/>
  <c r="D17" i="25"/>
  <c r="C17" i="25"/>
  <c r="G16" i="25"/>
  <c r="F16" i="25"/>
  <c r="E16" i="25"/>
  <c r="D16" i="25"/>
  <c r="C16" i="25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C32" i="1"/>
  <c r="B32" i="1"/>
  <c r="G15" i="25"/>
  <c r="F15" i="25"/>
  <c r="E15" i="25"/>
  <c r="D15" i="25"/>
  <c r="C15" i="25"/>
  <c r="G14" i="25"/>
  <c r="F14" i="25"/>
  <c r="E14" i="25"/>
  <c r="D14" i="25"/>
  <c r="C14" i="25"/>
  <c r="G13" i="25"/>
  <c r="F13" i="25"/>
  <c r="E13" i="25"/>
  <c r="D13" i="25"/>
  <c r="C13" i="25"/>
  <c r="G12" i="25"/>
  <c r="F12" i="25"/>
  <c r="E12" i="25"/>
  <c r="D12" i="25"/>
  <c r="C12" i="25"/>
  <c r="K29" i="1"/>
  <c r="J29" i="1"/>
  <c r="I29" i="1"/>
  <c r="H29" i="1"/>
  <c r="G29" i="1"/>
  <c r="F29" i="1"/>
  <c r="E29" i="1"/>
  <c r="D29" i="1"/>
  <c r="C29" i="1"/>
  <c r="B29" i="1"/>
  <c r="G11" i="25"/>
  <c r="F11" i="25"/>
  <c r="E11" i="25"/>
  <c r="D11" i="25"/>
  <c r="C11" i="25"/>
  <c r="K28" i="1"/>
  <c r="J28" i="1"/>
  <c r="I28" i="1"/>
  <c r="H28" i="1"/>
  <c r="G28" i="1"/>
  <c r="F28" i="1"/>
  <c r="E28" i="1"/>
  <c r="D28" i="1"/>
  <c r="C28" i="1"/>
  <c r="B28" i="1"/>
  <c r="G10" i="25"/>
  <c r="F10" i="25"/>
  <c r="E10" i="25"/>
  <c r="D10" i="25"/>
  <c r="C10" i="25"/>
  <c r="K36" i="6"/>
  <c r="J36" i="6"/>
  <c r="I36" i="6"/>
  <c r="H36" i="6"/>
  <c r="G36" i="6"/>
  <c r="F36" i="6"/>
  <c r="E36" i="6"/>
  <c r="D36" i="6"/>
  <c r="C36" i="6"/>
  <c r="B36" i="6"/>
  <c r="K35" i="6"/>
  <c r="J35" i="6"/>
  <c r="I35" i="6"/>
  <c r="H35" i="6"/>
  <c r="G35" i="6"/>
  <c r="F35" i="6"/>
  <c r="E35" i="6"/>
  <c r="D35" i="6"/>
  <c r="C35" i="6"/>
  <c r="B35" i="6"/>
  <c r="G9" i="25"/>
  <c r="F9" i="25"/>
  <c r="E9" i="25"/>
  <c r="D9" i="25"/>
  <c r="C9" i="25"/>
  <c r="G8" i="25"/>
  <c r="F8" i="25"/>
  <c r="E8" i="25"/>
  <c r="D8" i="25"/>
  <c r="C8" i="25"/>
  <c r="G6" i="25"/>
  <c r="F6" i="25"/>
  <c r="E6" i="25"/>
  <c r="D6" i="25"/>
  <c r="C6" i="25"/>
  <c r="C4" i="25"/>
  <c r="B2" i="25"/>
  <c r="B9" i="12"/>
  <c r="B9" i="16"/>
  <c r="B9" i="15"/>
  <c r="B9" i="8"/>
  <c r="B9" i="10"/>
  <c r="B50" i="9"/>
  <c r="B29" i="9"/>
  <c r="B9" i="17"/>
  <c r="B9" i="7"/>
  <c r="O27" i="17"/>
  <c r="N27" i="17"/>
  <c r="B10" i="17"/>
  <c r="E43" i="16"/>
  <c r="L14" i="19"/>
  <c r="K14" i="19"/>
  <c r="G14" i="19"/>
  <c r="P40" i="19" s="1"/>
  <c r="E14" i="19"/>
  <c r="P42" i="19" s="1"/>
  <c r="D14" i="19"/>
  <c r="F14" i="19" s="1"/>
  <c r="B14" i="19"/>
  <c r="L28" i="19"/>
  <c r="K28" i="19"/>
  <c r="J28" i="19"/>
  <c r="L27" i="19"/>
  <c r="K27" i="19"/>
  <c r="J27" i="19"/>
  <c r="L26" i="19"/>
  <c r="K26" i="19"/>
  <c r="J26" i="19"/>
  <c r="L25" i="19"/>
  <c r="K25" i="19"/>
  <c r="J25" i="19"/>
  <c r="L24" i="19"/>
  <c r="K24" i="19"/>
  <c r="J24" i="19"/>
  <c r="L23" i="19"/>
  <c r="K23" i="19"/>
  <c r="J23" i="19"/>
  <c r="L22" i="19"/>
  <c r="K22" i="19"/>
  <c r="J22" i="19"/>
  <c r="L21" i="19"/>
  <c r="K21" i="19"/>
  <c r="J21" i="19"/>
  <c r="L20" i="19"/>
  <c r="K20" i="19"/>
  <c r="J20" i="19"/>
  <c r="L19" i="19"/>
  <c r="K19" i="19"/>
  <c r="J19" i="19"/>
  <c r="L18" i="19"/>
  <c r="K18" i="19"/>
  <c r="J18" i="19"/>
  <c r="L17" i="19"/>
  <c r="K17" i="19"/>
  <c r="J17" i="19"/>
  <c r="L16" i="19"/>
  <c r="K16" i="19"/>
  <c r="J16" i="19"/>
  <c r="L15" i="19"/>
  <c r="K15" i="19"/>
  <c r="J15" i="19"/>
  <c r="G28" i="19"/>
  <c r="G27" i="19"/>
  <c r="G26" i="19"/>
  <c r="G25" i="19"/>
  <c r="G20" i="19"/>
  <c r="G19" i="19"/>
  <c r="G18" i="19"/>
  <c r="G17" i="19"/>
  <c r="G16" i="19"/>
  <c r="G15" i="19"/>
  <c r="I17" i="20"/>
  <c r="I16" i="20"/>
  <c r="I15" i="20"/>
  <c r="I14" i="20"/>
  <c r="I13" i="20"/>
  <c r="G24" i="19" s="1"/>
  <c r="I12" i="20"/>
  <c r="G23" i="19" s="1"/>
  <c r="I11" i="20"/>
  <c r="G22" i="19" s="1"/>
  <c r="I10" i="20"/>
  <c r="G21" i="19" s="1"/>
  <c r="I9" i="20"/>
  <c r="I8" i="20"/>
  <c r="I7" i="20"/>
  <c r="I6" i="20"/>
  <c r="I5" i="20"/>
  <c r="I4" i="20"/>
  <c r="I3" i="20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J9" i="20"/>
  <c r="J8" i="20"/>
  <c r="J7" i="20"/>
  <c r="J6" i="20"/>
  <c r="J14" i="19" s="1"/>
  <c r="J5" i="20"/>
  <c r="F17" i="20"/>
  <c r="J17" i="20" s="1"/>
  <c r="F16" i="20"/>
  <c r="J16" i="20" s="1"/>
  <c r="F15" i="20"/>
  <c r="J15" i="20" s="1"/>
  <c r="F14" i="20"/>
  <c r="J14" i="20" s="1"/>
  <c r="F13" i="20"/>
  <c r="J13" i="20" s="1"/>
  <c r="F12" i="20"/>
  <c r="J12" i="20" s="1"/>
  <c r="F11" i="20"/>
  <c r="J11" i="20" s="1"/>
  <c r="F10" i="20"/>
  <c r="J10" i="20" s="1"/>
  <c r="F9" i="20"/>
  <c r="F8" i="20"/>
  <c r="F7" i="20"/>
  <c r="F6" i="20"/>
  <c r="F5" i="20"/>
  <c r="F4" i="20"/>
  <c r="J4" i="20" s="1"/>
  <c r="F3" i="20"/>
  <c r="J3" i="20" s="1"/>
  <c r="C50" i="16"/>
  <c r="C47" i="16"/>
  <c r="C36" i="16"/>
  <c r="N31" i="10"/>
  <c r="N29" i="10"/>
  <c r="J30" i="10" s="1"/>
  <c r="E30" i="10"/>
  <c r="F23" i="16"/>
  <c r="G23" i="16" s="1"/>
  <c r="I19" i="16"/>
  <c r="H19" i="16"/>
  <c r="G19" i="16"/>
  <c r="F19" i="16"/>
  <c r="E19" i="16"/>
  <c r="D19" i="16"/>
  <c r="D13" i="16"/>
  <c r="K32" i="6"/>
  <c r="D11" i="16"/>
  <c r="E11" i="16" s="1"/>
  <c r="F11" i="16" s="1"/>
  <c r="G11" i="16" s="1"/>
  <c r="H11" i="16" s="1"/>
  <c r="I11" i="16" s="1"/>
  <c r="J51" i="15"/>
  <c r="I51" i="15"/>
  <c r="H51" i="15"/>
  <c r="G51" i="15"/>
  <c r="F51" i="15"/>
  <c r="E51" i="15"/>
  <c r="J11" i="8"/>
  <c r="I11" i="8" s="1"/>
  <c r="H11" i="8" s="1"/>
  <c r="G11" i="8" s="1"/>
  <c r="F11" i="8" s="1"/>
  <c r="E11" i="8" s="1"/>
  <c r="D11" i="8" s="1"/>
  <c r="C11" i="8" s="1"/>
  <c r="J41" i="15"/>
  <c r="I41" i="15"/>
  <c r="H41" i="15"/>
  <c r="G41" i="15"/>
  <c r="F41" i="15"/>
  <c r="E41" i="15"/>
  <c r="J38" i="15"/>
  <c r="I38" i="15"/>
  <c r="H38" i="15"/>
  <c r="G38" i="15"/>
  <c r="F38" i="15"/>
  <c r="E38" i="15"/>
  <c r="J37" i="15"/>
  <c r="I37" i="15"/>
  <c r="H37" i="15"/>
  <c r="G37" i="15"/>
  <c r="F37" i="15"/>
  <c r="E37" i="15"/>
  <c r="J36" i="15"/>
  <c r="I36" i="15"/>
  <c r="H36" i="15"/>
  <c r="G36" i="15"/>
  <c r="F36" i="15"/>
  <c r="E36" i="15"/>
  <c r="J35" i="15"/>
  <c r="I35" i="15"/>
  <c r="H35" i="15"/>
  <c r="G35" i="15"/>
  <c r="F35" i="15"/>
  <c r="E35" i="15"/>
  <c r="J34" i="15"/>
  <c r="I34" i="15"/>
  <c r="H34" i="15"/>
  <c r="G34" i="15"/>
  <c r="F34" i="15"/>
  <c r="E34" i="15"/>
  <c r="J33" i="15"/>
  <c r="I33" i="15"/>
  <c r="H33" i="15"/>
  <c r="G33" i="15"/>
  <c r="F33" i="15"/>
  <c r="E33" i="15"/>
  <c r="J32" i="15"/>
  <c r="I32" i="15"/>
  <c r="H32" i="15"/>
  <c r="G32" i="15"/>
  <c r="F32" i="15"/>
  <c r="E32" i="15"/>
  <c r="J31" i="15"/>
  <c r="I31" i="15"/>
  <c r="H31" i="15"/>
  <c r="G31" i="15"/>
  <c r="F31" i="15"/>
  <c r="E31" i="15"/>
  <c r="B38" i="15"/>
  <c r="B37" i="15"/>
  <c r="B36" i="15"/>
  <c r="B35" i="15"/>
  <c r="B34" i="15"/>
  <c r="B33" i="15"/>
  <c r="B32" i="15"/>
  <c r="B31" i="15"/>
  <c r="J25" i="15"/>
  <c r="I25" i="15"/>
  <c r="H25" i="15"/>
  <c r="G25" i="15"/>
  <c r="F25" i="15"/>
  <c r="E25" i="15"/>
  <c r="J24" i="15"/>
  <c r="I24" i="15"/>
  <c r="H24" i="15"/>
  <c r="G24" i="15"/>
  <c r="F24" i="15"/>
  <c r="E24" i="15"/>
  <c r="J23" i="15"/>
  <c r="I23" i="15"/>
  <c r="H23" i="15"/>
  <c r="G23" i="15"/>
  <c r="F23" i="15"/>
  <c r="E23" i="15"/>
  <c r="B25" i="15"/>
  <c r="B24" i="15"/>
  <c r="B23" i="15"/>
  <c r="J22" i="15"/>
  <c r="I22" i="15"/>
  <c r="H22" i="15"/>
  <c r="G22" i="15"/>
  <c r="F22" i="15"/>
  <c r="E22" i="15"/>
  <c r="B22" i="15"/>
  <c r="B18" i="15"/>
  <c r="B17" i="15"/>
  <c r="B16" i="15"/>
  <c r="B15" i="15"/>
  <c r="B14" i="15"/>
  <c r="E17" i="15"/>
  <c r="J18" i="15"/>
  <c r="I18" i="15"/>
  <c r="H18" i="15"/>
  <c r="G18" i="15"/>
  <c r="F18" i="15"/>
  <c r="J17" i="15"/>
  <c r="I17" i="15"/>
  <c r="H17" i="15"/>
  <c r="G17" i="15"/>
  <c r="F17" i="15"/>
  <c r="J16" i="15"/>
  <c r="I16" i="15"/>
  <c r="H16" i="15"/>
  <c r="G16" i="15"/>
  <c r="F16" i="15"/>
  <c r="J15" i="15"/>
  <c r="I15" i="15"/>
  <c r="H15" i="15"/>
  <c r="G15" i="15"/>
  <c r="F15" i="15"/>
  <c r="E18" i="15"/>
  <c r="E16" i="15"/>
  <c r="E15" i="15"/>
  <c r="J14" i="15"/>
  <c r="I14" i="15"/>
  <c r="H14" i="15"/>
  <c r="G14" i="15"/>
  <c r="F14" i="15"/>
  <c r="E14" i="15"/>
  <c r="N36" i="14"/>
  <c r="M36" i="14"/>
  <c r="L36" i="14"/>
  <c r="K36" i="14"/>
  <c r="J36" i="14"/>
  <c r="I36" i="14"/>
  <c r="H36" i="14"/>
  <c r="G36" i="14"/>
  <c r="F36" i="14"/>
  <c r="E36" i="14"/>
  <c r="D36" i="14"/>
  <c r="L42" i="13"/>
  <c r="K42" i="13"/>
  <c r="J42" i="13"/>
  <c r="I42" i="13"/>
  <c r="H42" i="13"/>
  <c r="G42" i="13"/>
  <c r="F42" i="13"/>
  <c r="E42" i="13"/>
  <c r="D42" i="13"/>
  <c r="C42" i="13"/>
  <c r="B79" i="6"/>
  <c r="B76" i="6" a="1"/>
  <c r="B76" i="6" s="1"/>
  <c r="B73" i="6"/>
  <c r="K74" i="6"/>
  <c r="J74" i="6"/>
  <c r="K44" i="13" s="1"/>
  <c r="I74" i="6"/>
  <c r="J44" i="13" s="1"/>
  <c r="H74" i="6"/>
  <c r="I44" i="13" s="1"/>
  <c r="G74" i="6"/>
  <c r="H44" i="13" s="1"/>
  <c r="F74" i="6"/>
  <c r="G44" i="13" s="1"/>
  <c r="E74" i="6"/>
  <c r="F44" i="13" s="1"/>
  <c r="D74" i="6"/>
  <c r="E41" i="13" s="1"/>
  <c r="C74" i="6"/>
  <c r="D43" i="13" s="1"/>
  <c r="B74" i="6"/>
  <c r="K73" i="6"/>
  <c r="J73" i="6"/>
  <c r="I73" i="6"/>
  <c r="H73" i="6"/>
  <c r="G73" i="6"/>
  <c r="F73" i="6"/>
  <c r="E73" i="6"/>
  <c r="D73" i="6"/>
  <c r="C73" i="6"/>
  <c r="L45" i="13"/>
  <c r="K45" i="13"/>
  <c r="J45" i="13"/>
  <c r="I45" i="13"/>
  <c r="H45" i="13"/>
  <c r="G45" i="13"/>
  <c r="F45" i="13"/>
  <c r="E45" i="13"/>
  <c r="D45" i="13"/>
  <c r="L44" i="13"/>
  <c r="C45" i="13"/>
  <c r="C44" i="13"/>
  <c r="L43" i="13"/>
  <c r="K43" i="13"/>
  <c r="J43" i="13"/>
  <c r="I43" i="13"/>
  <c r="H43" i="13"/>
  <c r="G43" i="13"/>
  <c r="F43" i="13"/>
  <c r="E43" i="13"/>
  <c r="C43" i="13"/>
  <c r="L41" i="13"/>
  <c r="K41" i="13"/>
  <c r="J41" i="13"/>
  <c r="I41" i="13"/>
  <c r="H41" i="13"/>
  <c r="G41" i="13"/>
  <c r="F41" i="13"/>
  <c r="L39" i="13"/>
  <c r="K39" i="13"/>
  <c r="J39" i="13"/>
  <c r="I39" i="13"/>
  <c r="H39" i="13"/>
  <c r="G39" i="13"/>
  <c r="F39" i="13"/>
  <c r="C40" i="13"/>
  <c r="C41" i="13"/>
  <c r="C39" i="13"/>
  <c r="L38" i="13"/>
  <c r="K38" i="13"/>
  <c r="J38" i="13"/>
  <c r="I38" i="13"/>
  <c r="H38" i="13"/>
  <c r="G38" i="13"/>
  <c r="F38" i="13"/>
  <c r="E38" i="13"/>
  <c r="D38" i="13"/>
  <c r="C38" i="13"/>
  <c r="L36" i="13"/>
  <c r="K36" i="13"/>
  <c r="J36" i="13"/>
  <c r="I36" i="13"/>
  <c r="H36" i="13"/>
  <c r="G36" i="13"/>
  <c r="F36" i="13"/>
  <c r="E36" i="13"/>
  <c r="D36" i="13"/>
  <c r="L35" i="13"/>
  <c r="K35" i="13"/>
  <c r="J35" i="13"/>
  <c r="I35" i="13"/>
  <c r="H35" i="13"/>
  <c r="G35" i="13"/>
  <c r="F35" i="13"/>
  <c r="E35" i="13"/>
  <c r="D35" i="13"/>
  <c r="L34" i="13"/>
  <c r="K34" i="13"/>
  <c r="J34" i="13"/>
  <c r="I34" i="13"/>
  <c r="H34" i="13"/>
  <c r="G34" i="13"/>
  <c r="F34" i="13"/>
  <c r="E34" i="13"/>
  <c r="D34" i="13"/>
  <c r="L33" i="13"/>
  <c r="K33" i="13"/>
  <c r="J33" i="13"/>
  <c r="I33" i="13"/>
  <c r="H33" i="13"/>
  <c r="G33" i="13"/>
  <c r="F33" i="13"/>
  <c r="E33" i="13"/>
  <c r="D33" i="13"/>
  <c r="C36" i="13"/>
  <c r="C35" i="13"/>
  <c r="C34" i="13"/>
  <c r="C33" i="13"/>
  <c r="L32" i="13"/>
  <c r="K32" i="13"/>
  <c r="J32" i="13"/>
  <c r="I32" i="13"/>
  <c r="H32" i="13"/>
  <c r="G32" i="13"/>
  <c r="F32" i="13"/>
  <c r="E32" i="13"/>
  <c r="D32" i="13"/>
  <c r="C32" i="13"/>
  <c r="B45" i="13"/>
  <c r="B44" i="13"/>
  <c r="B43" i="13"/>
  <c r="B42" i="13"/>
  <c r="B41" i="13"/>
  <c r="B40" i="13"/>
  <c r="B39" i="13"/>
  <c r="B36" i="13"/>
  <c r="B35" i="13"/>
  <c r="B34" i="13"/>
  <c r="B33" i="13"/>
  <c r="C27" i="13"/>
  <c r="L27" i="13"/>
  <c r="K27" i="13"/>
  <c r="J27" i="13"/>
  <c r="I27" i="13"/>
  <c r="H27" i="13"/>
  <c r="G27" i="13"/>
  <c r="F27" i="13"/>
  <c r="E27" i="13"/>
  <c r="D27" i="13"/>
  <c r="J32" i="6"/>
  <c r="I32" i="6"/>
  <c r="H32" i="6"/>
  <c r="G32" i="6"/>
  <c r="F32" i="6"/>
  <c r="E32" i="6"/>
  <c r="D32" i="6"/>
  <c r="C32" i="6"/>
  <c r="B32" i="6"/>
  <c r="L26" i="13"/>
  <c r="K26" i="13"/>
  <c r="J26" i="13"/>
  <c r="I26" i="13"/>
  <c r="H26" i="13"/>
  <c r="G26" i="13"/>
  <c r="F26" i="13"/>
  <c r="E26" i="13"/>
  <c r="D26" i="13"/>
  <c r="C26" i="13"/>
  <c r="L25" i="13"/>
  <c r="K25" i="13"/>
  <c r="J25" i="13"/>
  <c r="I25" i="13"/>
  <c r="H25" i="13"/>
  <c r="G25" i="13"/>
  <c r="F25" i="13"/>
  <c r="E25" i="13"/>
  <c r="D25" i="13"/>
  <c r="C25" i="13"/>
  <c r="L24" i="13"/>
  <c r="K24" i="13"/>
  <c r="J24" i="13"/>
  <c r="I24" i="13"/>
  <c r="H24" i="13"/>
  <c r="G24" i="13"/>
  <c r="F24" i="13"/>
  <c r="E24" i="13"/>
  <c r="D24" i="13"/>
  <c r="C24" i="13"/>
  <c r="L23" i="13"/>
  <c r="K23" i="13"/>
  <c r="J23" i="13"/>
  <c r="I23" i="13"/>
  <c r="H23" i="13"/>
  <c r="G23" i="13"/>
  <c r="F23" i="13"/>
  <c r="E23" i="13"/>
  <c r="D23" i="13"/>
  <c r="C23" i="13"/>
  <c r="L22" i="13"/>
  <c r="K22" i="13"/>
  <c r="J22" i="13"/>
  <c r="I22" i="13"/>
  <c r="H22" i="13"/>
  <c r="G22" i="13"/>
  <c r="F22" i="13"/>
  <c r="E22" i="13"/>
  <c r="D22" i="13"/>
  <c r="C22" i="13"/>
  <c r="L21" i="13"/>
  <c r="K21" i="13"/>
  <c r="J21" i="13"/>
  <c r="I21" i="13"/>
  <c r="H21" i="13"/>
  <c r="G21" i="13"/>
  <c r="F21" i="13"/>
  <c r="E21" i="13"/>
  <c r="D21" i="13"/>
  <c r="C21" i="13"/>
  <c r="L20" i="13"/>
  <c r="K20" i="13"/>
  <c r="J20" i="13"/>
  <c r="I20" i="13"/>
  <c r="H20" i="13"/>
  <c r="G20" i="13"/>
  <c r="F20" i="13"/>
  <c r="E20" i="13"/>
  <c r="D20" i="13"/>
  <c r="C20" i="13"/>
  <c r="L19" i="13"/>
  <c r="K19" i="13"/>
  <c r="J19" i="13"/>
  <c r="I19" i="13"/>
  <c r="H19" i="13"/>
  <c r="G19" i="13"/>
  <c r="F19" i="13"/>
  <c r="E19" i="13"/>
  <c r="D19" i="13"/>
  <c r="C19" i="13"/>
  <c r="L18" i="13"/>
  <c r="K18" i="13"/>
  <c r="J18" i="13"/>
  <c r="I18" i="13"/>
  <c r="H18" i="13"/>
  <c r="G18" i="13"/>
  <c r="F18" i="13"/>
  <c r="E18" i="13"/>
  <c r="D18" i="13"/>
  <c r="C18" i="13"/>
  <c r="L17" i="13"/>
  <c r="K17" i="13"/>
  <c r="J17" i="13"/>
  <c r="I17" i="13"/>
  <c r="H17" i="13"/>
  <c r="G17" i="13"/>
  <c r="F17" i="13"/>
  <c r="E17" i="13"/>
  <c r="D17" i="13"/>
  <c r="C17" i="13"/>
  <c r="L16" i="13"/>
  <c r="K16" i="13"/>
  <c r="J16" i="13"/>
  <c r="I16" i="13"/>
  <c r="H16" i="13"/>
  <c r="G16" i="13"/>
  <c r="F16" i="13"/>
  <c r="E16" i="13"/>
  <c r="D16" i="13"/>
  <c r="C16" i="13"/>
  <c r="L15" i="13"/>
  <c r="K15" i="13"/>
  <c r="J15" i="13"/>
  <c r="I15" i="13"/>
  <c r="H15" i="13"/>
  <c r="G15" i="13"/>
  <c r="F15" i="13"/>
  <c r="E15" i="13"/>
  <c r="D15" i="13"/>
  <c r="C15" i="13"/>
  <c r="L14" i="13"/>
  <c r="K14" i="13"/>
  <c r="J14" i="13"/>
  <c r="I14" i="13"/>
  <c r="H14" i="13"/>
  <c r="G14" i="13"/>
  <c r="F14" i="13"/>
  <c r="E14" i="13"/>
  <c r="D14" i="13"/>
  <c r="C14" i="13"/>
  <c r="L13" i="13"/>
  <c r="K13" i="13"/>
  <c r="J13" i="13"/>
  <c r="I13" i="13"/>
  <c r="H13" i="13"/>
  <c r="G13" i="13"/>
  <c r="F13" i="13"/>
  <c r="E13" i="13"/>
  <c r="D13" i="13"/>
  <c r="C13" i="13"/>
  <c r="L12" i="13"/>
  <c r="K12" i="13"/>
  <c r="J12" i="13"/>
  <c r="I12" i="13"/>
  <c r="H12" i="13"/>
  <c r="G12" i="13"/>
  <c r="F12" i="13"/>
  <c r="E12" i="13"/>
  <c r="D12" i="13"/>
  <c r="C12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L11" i="13"/>
  <c r="K11" i="13"/>
  <c r="J11" i="13"/>
  <c r="I11" i="13"/>
  <c r="H11" i="13"/>
  <c r="G11" i="13"/>
  <c r="F11" i="13"/>
  <c r="E11" i="13"/>
  <c r="D11" i="13"/>
  <c r="C11" i="13"/>
  <c r="E21" i="10"/>
  <c r="E20" i="10"/>
  <c r="E19" i="10"/>
  <c r="E18" i="10"/>
  <c r="E17" i="10"/>
  <c r="E16" i="10"/>
  <c r="D21" i="10"/>
  <c r="D20" i="10"/>
  <c r="D19" i="10"/>
  <c r="D18" i="10"/>
  <c r="D17" i="10"/>
  <c r="D16" i="10"/>
  <c r="B21" i="10"/>
  <c r="B20" i="10"/>
  <c r="B19" i="10"/>
  <c r="B18" i="10"/>
  <c r="B17" i="10"/>
  <c r="B16" i="10"/>
  <c r="G12" i="11"/>
  <c r="G14" i="11" s="1"/>
  <c r="I24" i="10"/>
  <c r="F24" i="10"/>
  <c r="K39" i="10" s="1"/>
  <c r="I23" i="10"/>
  <c r="F23" i="10"/>
  <c r="E31" i="10" s="1"/>
  <c r="C39" i="10"/>
  <c r="N10" i="12"/>
  <c r="K12" i="12" s="1"/>
  <c r="K19" i="12" s="1"/>
  <c r="J31" i="10" l="1"/>
  <c r="J39" i="10"/>
  <c r="E32" i="10"/>
  <c r="I47" i="10" s="1"/>
  <c r="N40" i="19"/>
  <c r="O40" i="19"/>
  <c r="H14" i="19"/>
  <c r="P14" i="19"/>
  <c r="N42" i="19"/>
  <c r="O42" i="19"/>
  <c r="H21" i="10"/>
  <c r="F15" i="19"/>
  <c r="F16" i="19"/>
  <c r="F22" i="19"/>
  <c r="F17" i="19"/>
  <c r="F18" i="19"/>
  <c r="F19" i="19"/>
  <c r="F20" i="19"/>
  <c r="F21" i="19"/>
  <c r="F23" i="19"/>
  <c r="F24" i="19"/>
  <c r="F25" i="19"/>
  <c r="F26" i="19"/>
  <c r="F27" i="19"/>
  <c r="F28" i="19"/>
  <c r="H23" i="16"/>
  <c r="D17" i="16"/>
  <c r="E40" i="15"/>
  <c r="E42" i="15" s="1"/>
  <c r="F40" i="15"/>
  <c r="H19" i="15"/>
  <c r="E19" i="15"/>
  <c r="G26" i="15"/>
  <c r="I19" i="15"/>
  <c r="F42" i="15"/>
  <c r="J19" i="15"/>
  <c r="G40" i="15"/>
  <c r="G42" i="15" s="1"/>
  <c r="H40" i="15"/>
  <c r="H42" i="15" s="1"/>
  <c r="I40" i="15"/>
  <c r="I42" i="15" s="1"/>
  <c r="J40" i="15"/>
  <c r="J42" i="15" s="1"/>
  <c r="H26" i="15"/>
  <c r="I26" i="15"/>
  <c r="J26" i="15"/>
  <c r="F19" i="15"/>
  <c r="E26" i="15"/>
  <c r="G19" i="15"/>
  <c r="F26" i="15"/>
  <c r="D40" i="13"/>
  <c r="E40" i="13"/>
  <c r="F40" i="13"/>
  <c r="G40" i="13"/>
  <c r="D44" i="13"/>
  <c r="H40" i="13"/>
  <c r="E44" i="13"/>
  <c r="I40" i="13"/>
  <c r="J40" i="13"/>
  <c r="K40" i="13"/>
  <c r="L40" i="13"/>
  <c r="D39" i="13"/>
  <c r="D41" i="13"/>
  <c r="E39" i="13"/>
  <c r="G19" i="10"/>
  <c r="J19" i="10" s="1"/>
  <c r="H16" i="10"/>
  <c r="H20" i="10"/>
  <c r="C38" i="10"/>
  <c r="H18" i="10"/>
  <c r="G20" i="10"/>
  <c r="J20" i="10" s="1"/>
  <c r="G17" i="10"/>
  <c r="J17" i="10"/>
  <c r="G16" i="10"/>
  <c r="H17" i="10"/>
  <c r="H19" i="10"/>
  <c r="G18" i="10"/>
  <c r="J18" i="10" s="1"/>
  <c r="G21" i="10"/>
  <c r="J21" i="10" s="1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C53" i="9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32" i="9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12" i="9"/>
  <c r="D12" i="9" a="1"/>
  <c r="D18" i="9" s="1"/>
  <c r="C13" i="9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M104" i="7"/>
  <c r="L104" i="7"/>
  <c r="K104" i="7"/>
  <c r="J104" i="7"/>
  <c r="I104" i="7"/>
  <c r="H104" i="7"/>
  <c r="G104" i="7"/>
  <c r="F104" i="7"/>
  <c r="E104" i="7"/>
  <c r="D104" i="7"/>
  <c r="M103" i="7"/>
  <c r="L103" i="7"/>
  <c r="K103" i="7"/>
  <c r="J103" i="7"/>
  <c r="I103" i="7"/>
  <c r="H103" i="7"/>
  <c r="G103" i="7"/>
  <c r="F103" i="7"/>
  <c r="E103" i="7"/>
  <c r="D103" i="7"/>
  <c r="M102" i="7"/>
  <c r="L102" i="7"/>
  <c r="K102" i="7"/>
  <c r="J102" i="7"/>
  <c r="I102" i="7"/>
  <c r="H102" i="7"/>
  <c r="G102" i="7"/>
  <c r="F102" i="7"/>
  <c r="E102" i="7"/>
  <c r="D102" i="7"/>
  <c r="M101" i="7"/>
  <c r="L101" i="7"/>
  <c r="K101" i="7"/>
  <c r="J101" i="7"/>
  <c r="I101" i="7"/>
  <c r="H101" i="7"/>
  <c r="G101" i="7"/>
  <c r="F101" i="7"/>
  <c r="E101" i="7"/>
  <c r="D101" i="7"/>
  <c r="M100" i="7"/>
  <c r="L100" i="7"/>
  <c r="K100" i="7"/>
  <c r="J100" i="7"/>
  <c r="I100" i="7"/>
  <c r="H100" i="7"/>
  <c r="G100" i="7"/>
  <c r="F100" i="7"/>
  <c r="E100" i="7"/>
  <c r="D100" i="7"/>
  <c r="M99" i="7"/>
  <c r="L99" i="7"/>
  <c r="K99" i="7"/>
  <c r="J99" i="7"/>
  <c r="I99" i="7"/>
  <c r="H99" i="7"/>
  <c r="G99" i="7"/>
  <c r="F99" i="7"/>
  <c r="E99" i="7"/>
  <c r="D99" i="7"/>
  <c r="M98" i="7"/>
  <c r="L98" i="7"/>
  <c r="K98" i="7"/>
  <c r="J98" i="7"/>
  <c r="I98" i="7"/>
  <c r="H98" i="7"/>
  <c r="G98" i="7"/>
  <c r="F98" i="7"/>
  <c r="E98" i="7"/>
  <c r="D98" i="7"/>
  <c r="C99" i="7"/>
  <c r="C100" i="7"/>
  <c r="C101" i="7"/>
  <c r="C102" i="7"/>
  <c r="C103" i="7"/>
  <c r="C104" i="7"/>
  <c r="C98" i="7"/>
  <c r="D87" i="7"/>
  <c r="E87" i="7"/>
  <c r="F87" i="7"/>
  <c r="G87" i="7"/>
  <c r="H87" i="7"/>
  <c r="I87" i="7"/>
  <c r="J87" i="7"/>
  <c r="K87" i="7"/>
  <c r="L87" i="7"/>
  <c r="M87" i="7"/>
  <c r="D88" i="7"/>
  <c r="E88" i="7"/>
  <c r="F88" i="7"/>
  <c r="G88" i="7"/>
  <c r="H88" i="7"/>
  <c r="I88" i="7"/>
  <c r="J88" i="7"/>
  <c r="K88" i="7"/>
  <c r="L88" i="7"/>
  <c r="M88" i="7"/>
  <c r="D89" i="7"/>
  <c r="E89" i="7"/>
  <c r="F89" i="7"/>
  <c r="G89" i="7"/>
  <c r="H89" i="7"/>
  <c r="I89" i="7"/>
  <c r="J89" i="7"/>
  <c r="K89" i="7"/>
  <c r="L89" i="7"/>
  <c r="M89" i="7"/>
  <c r="D90" i="7"/>
  <c r="E90" i="7"/>
  <c r="F90" i="7"/>
  <c r="G90" i="7"/>
  <c r="H90" i="7"/>
  <c r="I90" i="7"/>
  <c r="J90" i="7"/>
  <c r="K90" i="7"/>
  <c r="L90" i="7"/>
  <c r="M90" i="7"/>
  <c r="D91" i="7"/>
  <c r="E91" i="7"/>
  <c r="F91" i="7"/>
  <c r="G91" i="7"/>
  <c r="H91" i="7"/>
  <c r="I91" i="7"/>
  <c r="J91" i="7"/>
  <c r="K91" i="7"/>
  <c r="L91" i="7"/>
  <c r="M91" i="7"/>
  <c r="D92" i="7"/>
  <c r="E92" i="7"/>
  <c r="F92" i="7"/>
  <c r="G92" i="7"/>
  <c r="H92" i="7"/>
  <c r="I92" i="7"/>
  <c r="J92" i="7"/>
  <c r="K92" i="7"/>
  <c r="L92" i="7"/>
  <c r="M92" i="7"/>
  <c r="D93" i="7"/>
  <c r="E93" i="7"/>
  <c r="F93" i="7"/>
  <c r="G93" i="7"/>
  <c r="H93" i="7"/>
  <c r="I93" i="7"/>
  <c r="J93" i="7"/>
  <c r="K93" i="7"/>
  <c r="L93" i="7"/>
  <c r="M93" i="7"/>
  <c r="D94" i="7"/>
  <c r="E94" i="7"/>
  <c r="F94" i="7"/>
  <c r="G94" i="7"/>
  <c r="H94" i="7"/>
  <c r="I94" i="7"/>
  <c r="J94" i="7"/>
  <c r="K94" i="7"/>
  <c r="L94" i="7"/>
  <c r="M94" i="7"/>
  <c r="C88" i="7"/>
  <c r="C89" i="7"/>
  <c r="C90" i="7"/>
  <c r="C91" i="7"/>
  <c r="C92" i="7"/>
  <c r="C93" i="7"/>
  <c r="C94" i="7"/>
  <c r="C87" i="7"/>
  <c r="M83" i="7"/>
  <c r="L83" i="7"/>
  <c r="K83" i="7"/>
  <c r="J83" i="7"/>
  <c r="I83" i="7"/>
  <c r="H83" i="7"/>
  <c r="G83" i="7"/>
  <c r="F83" i="7"/>
  <c r="E83" i="7"/>
  <c r="D83" i="7"/>
  <c r="M82" i="7"/>
  <c r="L82" i="7"/>
  <c r="K82" i="7"/>
  <c r="J82" i="7"/>
  <c r="I82" i="7"/>
  <c r="H82" i="7"/>
  <c r="G82" i="7"/>
  <c r="F82" i="7"/>
  <c r="E82" i="7"/>
  <c r="D82" i="7"/>
  <c r="M81" i="7"/>
  <c r="L81" i="7"/>
  <c r="K81" i="7"/>
  <c r="J81" i="7"/>
  <c r="I81" i="7"/>
  <c r="H81" i="7"/>
  <c r="G81" i="7"/>
  <c r="F81" i="7"/>
  <c r="E81" i="7"/>
  <c r="D81" i="7"/>
  <c r="M80" i="7"/>
  <c r="L80" i="7"/>
  <c r="K80" i="7"/>
  <c r="J80" i="7"/>
  <c r="I80" i="7"/>
  <c r="H80" i="7"/>
  <c r="G80" i="7"/>
  <c r="F80" i="7"/>
  <c r="E80" i="7"/>
  <c r="D80" i="7"/>
  <c r="M79" i="7"/>
  <c r="L79" i="7"/>
  <c r="K79" i="7"/>
  <c r="J79" i="7"/>
  <c r="I79" i="7"/>
  <c r="H79" i="7"/>
  <c r="G79" i="7"/>
  <c r="F79" i="7"/>
  <c r="E79" i="7"/>
  <c r="D79" i="7"/>
  <c r="M78" i="7"/>
  <c r="L78" i="7"/>
  <c r="K78" i="7"/>
  <c r="J78" i="7"/>
  <c r="I78" i="7"/>
  <c r="H78" i="7"/>
  <c r="G78" i="7"/>
  <c r="F78" i="7"/>
  <c r="E78" i="7"/>
  <c r="D78" i="7"/>
  <c r="M77" i="7"/>
  <c r="L77" i="7"/>
  <c r="K77" i="7"/>
  <c r="J77" i="7"/>
  <c r="I77" i="7"/>
  <c r="H77" i="7"/>
  <c r="G77" i="7"/>
  <c r="F77" i="7"/>
  <c r="E77" i="7"/>
  <c r="D77" i="7"/>
  <c r="C83" i="7"/>
  <c r="C82" i="7"/>
  <c r="C81" i="7"/>
  <c r="C80" i="7"/>
  <c r="C79" i="7"/>
  <c r="C78" i="7"/>
  <c r="C77" i="7"/>
  <c r="M76" i="7"/>
  <c r="L76" i="7"/>
  <c r="K76" i="7"/>
  <c r="J76" i="7"/>
  <c r="I76" i="7"/>
  <c r="H76" i="7"/>
  <c r="G76" i="7"/>
  <c r="F76" i="7"/>
  <c r="E76" i="7"/>
  <c r="D76" i="7"/>
  <c r="C76" i="7"/>
  <c r="L62" i="7"/>
  <c r="K62" i="7"/>
  <c r="J62" i="7"/>
  <c r="I62" i="7"/>
  <c r="H62" i="7"/>
  <c r="G62" i="7"/>
  <c r="F62" i="7"/>
  <c r="E62" i="7"/>
  <c r="D62" i="7"/>
  <c r="C62" i="7"/>
  <c r="L67" i="7"/>
  <c r="K67" i="7"/>
  <c r="J67" i="7"/>
  <c r="I67" i="7"/>
  <c r="H67" i="7"/>
  <c r="G67" i="7"/>
  <c r="F67" i="7"/>
  <c r="E67" i="7"/>
  <c r="D67" i="7"/>
  <c r="M66" i="7"/>
  <c r="L66" i="7"/>
  <c r="K66" i="7"/>
  <c r="J66" i="7"/>
  <c r="I66" i="7"/>
  <c r="H66" i="7"/>
  <c r="G66" i="7"/>
  <c r="F66" i="7"/>
  <c r="E66" i="7"/>
  <c r="D66" i="7"/>
  <c r="C67" i="7"/>
  <c r="C66" i="7"/>
  <c r="L65" i="7"/>
  <c r="K65" i="7"/>
  <c r="J65" i="7"/>
  <c r="I65" i="7"/>
  <c r="H65" i="7"/>
  <c r="G65" i="7"/>
  <c r="F65" i="7"/>
  <c r="E65" i="7"/>
  <c r="D65" i="7"/>
  <c r="C65" i="7"/>
  <c r="M62" i="7"/>
  <c r="M61" i="7"/>
  <c r="L61" i="7"/>
  <c r="K61" i="7"/>
  <c r="J61" i="7"/>
  <c r="I61" i="7"/>
  <c r="H61" i="7"/>
  <c r="G61" i="7"/>
  <c r="F61" i="7"/>
  <c r="E61" i="7"/>
  <c r="D61" i="7"/>
  <c r="L60" i="7"/>
  <c r="K60" i="7"/>
  <c r="J60" i="7"/>
  <c r="I60" i="7"/>
  <c r="H60" i="7"/>
  <c r="G60" i="7"/>
  <c r="F60" i="7"/>
  <c r="E60" i="7"/>
  <c r="D60" i="7"/>
  <c r="C60" i="7"/>
  <c r="C61" i="7"/>
  <c r="D59" i="7"/>
  <c r="E59" i="7"/>
  <c r="F59" i="7"/>
  <c r="G59" i="7"/>
  <c r="H59" i="7"/>
  <c r="I59" i="7"/>
  <c r="J59" i="7"/>
  <c r="K59" i="7"/>
  <c r="L59" i="7"/>
  <c r="C59" i="7"/>
  <c r="M60" i="7"/>
  <c r="C53" i="7"/>
  <c r="D53" i="7"/>
  <c r="E53" i="7"/>
  <c r="F53" i="7"/>
  <c r="G53" i="7"/>
  <c r="H53" i="7"/>
  <c r="I53" i="7"/>
  <c r="J53" i="7"/>
  <c r="K53" i="7"/>
  <c r="L53" i="7"/>
  <c r="C54" i="7"/>
  <c r="D54" i="7"/>
  <c r="E54" i="7"/>
  <c r="F54" i="7"/>
  <c r="G54" i="7"/>
  <c r="H54" i="7"/>
  <c r="I54" i="7"/>
  <c r="J54" i="7"/>
  <c r="K54" i="7"/>
  <c r="L54" i="7"/>
  <c r="C55" i="7"/>
  <c r="D55" i="7"/>
  <c r="E55" i="7"/>
  <c r="F55" i="7"/>
  <c r="G55" i="7"/>
  <c r="H55" i="7"/>
  <c r="I55" i="7"/>
  <c r="J55" i="7"/>
  <c r="K55" i="7"/>
  <c r="L55" i="7"/>
  <c r="C56" i="7"/>
  <c r="D56" i="7"/>
  <c r="E56" i="7"/>
  <c r="F56" i="7"/>
  <c r="G56" i="7"/>
  <c r="H56" i="7"/>
  <c r="I56" i="7"/>
  <c r="J56" i="7"/>
  <c r="K56" i="7"/>
  <c r="L56" i="7"/>
  <c r="C57" i="7"/>
  <c r="D57" i="7"/>
  <c r="E57" i="7"/>
  <c r="F57" i="7"/>
  <c r="G57" i="7"/>
  <c r="H57" i="7"/>
  <c r="I57" i="7"/>
  <c r="J57" i="7"/>
  <c r="K57" i="7"/>
  <c r="L57" i="7"/>
  <c r="M54" i="7"/>
  <c r="M55" i="7"/>
  <c r="M56" i="7"/>
  <c r="M57" i="7"/>
  <c r="M53" i="7"/>
  <c r="M47" i="7"/>
  <c r="L15" i="7"/>
  <c r="L42" i="7"/>
  <c r="L47" i="7" s="1"/>
  <c r="K42" i="7"/>
  <c r="K47" i="7" s="1"/>
  <c r="J42" i="7"/>
  <c r="J47" i="7" s="1"/>
  <c r="I42" i="7"/>
  <c r="I47" i="7" s="1"/>
  <c r="H42" i="7"/>
  <c r="H47" i="7" s="1"/>
  <c r="G42" i="7"/>
  <c r="G47" i="7" s="1"/>
  <c r="F42" i="7"/>
  <c r="F47" i="7" s="1"/>
  <c r="E42" i="7"/>
  <c r="E47" i="7" s="1"/>
  <c r="D42" i="7"/>
  <c r="D47" i="7" s="1"/>
  <c r="C42" i="7"/>
  <c r="C47" i="7" s="1"/>
  <c r="M36" i="7"/>
  <c r="L36" i="7"/>
  <c r="K36" i="7"/>
  <c r="J36" i="7"/>
  <c r="I36" i="7"/>
  <c r="H36" i="7"/>
  <c r="G36" i="7"/>
  <c r="F36" i="7"/>
  <c r="E36" i="7"/>
  <c r="D36" i="7"/>
  <c r="C36" i="7"/>
  <c r="M30" i="7"/>
  <c r="D30" i="7"/>
  <c r="E30" i="7"/>
  <c r="F30" i="7"/>
  <c r="G30" i="7"/>
  <c r="H30" i="7"/>
  <c r="I30" i="7"/>
  <c r="J30" i="7"/>
  <c r="K30" i="7"/>
  <c r="L30" i="7"/>
  <c r="C30" i="7"/>
  <c r="M27" i="7"/>
  <c r="D27" i="7"/>
  <c r="E27" i="7"/>
  <c r="F27" i="7"/>
  <c r="G27" i="7"/>
  <c r="H27" i="7"/>
  <c r="I27" i="7"/>
  <c r="J27" i="7"/>
  <c r="K27" i="7"/>
  <c r="L27" i="7"/>
  <c r="C27" i="7"/>
  <c r="M24" i="7"/>
  <c r="D21" i="7"/>
  <c r="E21" i="7"/>
  <c r="F21" i="7"/>
  <c r="G21" i="7"/>
  <c r="H21" i="7"/>
  <c r="I21" i="7"/>
  <c r="J21" i="7"/>
  <c r="K21" i="7"/>
  <c r="L21" i="7"/>
  <c r="C21" i="7"/>
  <c r="M15" i="7"/>
  <c r="K15" i="7"/>
  <c r="J15" i="7"/>
  <c r="I15" i="7"/>
  <c r="H15" i="7"/>
  <c r="G15" i="7"/>
  <c r="F15" i="7"/>
  <c r="E15" i="7"/>
  <c r="D15" i="7"/>
  <c r="C15" i="7"/>
  <c r="C16" i="7" s="1"/>
  <c r="M12" i="7"/>
  <c r="L12" i="7"/>
  <c r="K12" i="7"/>
  <c r="J12" i="7"/>
  <c r="I12" i="7"/>
  <c r="H12" i="7"/>
  <c r="G12" i="7"/>
  <c r="F12" i="7"/>
  <c r="E12" i="7"/>
  <c r="D12" i="7"/>
  <c r="C12" i="7"/>
  <c r="L10" i="7"/>
  <c r="L10" i="17" s="1"/>
  <c r="D10" i="7"/>
  <c r="D10" i="17" s="1"/>
  <c r="E10" i="7"/>
  <c r="E10" i="17" s="1"/>
  <c r="F10" i="7"/>
  <c r="F10" i="17" s="1"/>
  <c r="G10" i="7"/>
  <c r="G10" i="17" s="1"/>
  <c r="H10" i="7"/>
  <c r="H10" i="17" s="1"/>
  <c r="I10" i="7"/>
  <c r="I10" i="17" s="1"/>
  <c r="J10" i="7"/>
  <c r="J10" i="17" s="1"/>
  <c r="K10" i="7"/>
  <c r="K10" i="17" s="1"/>
  <c r="C10" i="7"/>
  <c r="C5" i="1"/>
  <c r="D5" i="1"/>
  <c r="D6" i="1" s="1"/>
  <c r="D19" i="1" s="1"/>
  <c r="E5" i="1"/>
  <c r="F5" i="1"/>
  <c r="G5" i="1"/>
  <c r="H5" i="1"/>
  <c r="I5" i="1"/>
  <c r="J5" i="1"/>
  <c r="K5" i="1"/>
  <c r="B5" i="1"/>
  <c r="B6" i="6"/>
  <c r="C17" i="2"/>
  <c r="D17" i="2"/>
  <c r="D20" i="2" s="1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H21" i="2" s="1"/>
  <c r="I18" i="2"/>
  <c r="I21" i="2" s="1"/>
  <c r="J18" i="2"/>
  <c r="K18" i="2"/>
  <c r="B17" i="2"/>
  <c r="C4" i="2"/>
  <c r="D4" i="2"/>
  <c r="E4" i="2"/>
  <c r="E5" i="2"/>
  <c r="E23" i="2"/>
  <c r="F4" i="2"/>
  <c r="G4" i="2"/>
  <c r="H4" i="2"/>
  <c r="I4" i="2"/>
  <c r="I5" i="2"/>
  <c r="J4" i="2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D16" i="2" s="1"/>
  <c r="E13" i="2"/>
  <c r="E16" i="2" s="1"/>
  <c r="F13" i="2"/>
  <c r="F16" i="2" s="1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E4" i="1"/>
  <c r="F4" i="1"/>
  <c r="G4" i="1"/>
  <c r="G6" i="1" s="1"/>
  <c r="G19" i="1" s="1"/>
  <c r="H4" i="1"/>
  <c r="I4" i="1"/>
  <c r="J4" i="1"/>
  <c r="J6" i="1" s="1"/>
  <c r="J19" i="1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G13" i="1" s="1"/>
  <c r="G14" i="1" s="1"/>
  <c r="H12" i="1"/>
  <c r="I12" i="1"/>
  <c r="I23" i="2" s="1"/>
  <c r="J12" i="1"/>
  <c r="J13" i="1" s="1"/>
  <c r="K12" i="1"/>
  <c r="K13" i="1" s="1"/>
  <c r="K14" i="1" s="1"/>
  <c r="C15" i="1"/>
  <c r="C14" i="1" s="1"/>
  <c r="D15" i="1"/>
  <c r="E15" i="1"/>
  <c r="F15" i="1"/>
  <c r="G15" i="1"/>
  <c r="H15" i="1"/>
  <c r="I15" i="1"/>
  <c r="J15" i="1"/>
  <c r="J14" i="1" s="1"/>
  <c r="K15" i="1"/>
  <c r="B15" i="1"/>
  <c r="H13" i="1"/>
  <c r="B7" i="1"/>
  <c r="B4" i="1"/>
  <c r="B20" i="2" s="1"/>
  <c r="A1" i="1"/>
  <c r="E1" i="6"/>
  <c r="H1" i="1" s="1"/>
  <c r="E1" i="2"/>
  <c r="H16" i="2"/>
  <c r="K23" i="2"/>
  <c r="F23" i="2"/>
  <c r="C23" i="2"/>
  <c r="K16" i="2"/>
  <c r="G23" i="2"/>
  <c r="B23" i="2"/>
  <c r="E6" i="1"/>
  <c r="E19" i="1" s="1"/>
  <c r="H23" i="2"/>
  <c r="D23" i="2"/>
  <c r="C3" i="2"/>
  <c r="D3" i="2"/>
  <c r="E3" i="2"/>
  <c r="F3" i="2"/>
  <c r="G3" i="2"/>
  <c r="H3" i="2"/>
  <c r="I3" i="2"/>
  <c r="J3" i="2"/>
  <c r="K3" i="2"/>
  <c r="C3" i="1"/>
  <c r="D3" i="1"/>
  <c r="E3" i="1"/>
  <c r="F3" i="1"/>
  <c r="G3" i="1"/>
  <c r="H3" i="1"/>
  <c r="I3" i="1"/>
  <c r="J3" i="1"/>
  <c r="K3" i="1"/>
  <c r="K21" i="2"/>
  <c r="J21" i="2"/>
  <c r="G21" i="2"/>
  <c r="E21" i="2"/>
  <c r="D21" i="2"/>
  <c r="B18" i="2"/>
  <c r="B13" i="2"/>
  <c r="B12" i="2"/>
  <c r="B11" i="2"/>
  <c r="B10" i="2"/>
  <c r="B8" i="2"/>
  <c r="B7" i="2"/>
  <c r="B6" i="2"/>
  <c r="B3" i="2"/>
  <c r="B12" i="1"/>
  <c r="B13" i="1" s="1"/>
  <c r="B11" i="1"/>
  <c r="B10" i="1"/>
  <c r="B9" i="1"/>
  <c r="B8" i="1"/>
  <c r="B3" i="1"/>
  <c r="C20" i="2"/>
  <c r="E20" i="2"/>
  <c r="A1" i="2"/>
  <c r="G16" i="17" l="1"/>
  <c r="C22" i="7"/>
  <c r="C95" i="7"/>
  <c r="C31" i="7"/>
  <c r="H28" i="15"/>
  <c r="H44" i="15" s="1"/>
  <c r="F84" i="7"/>
  <c r="M105" i="7"/>
  <c r="C105" i="7"/>
  <c r="H26" i="19"/>
  <c r="P26" i="19"/>
  <c r="H25" i="19"/>
  <c r="P25" i="19"/>
  <c r="H24" i="19"/>
  <c r="P24" i="19"/>
  <c r="H23" i="19"/>
  <c r="P23" i="19"/>
  <c r="H21" i="19"/>
  <c r="P21" i="19"/>
  <c r="H20" i="19"/>
  <c r="P20" i="19"/>
  <c r="H19" i="19"/>
  <c r="P19" i="19"/>
  <c r="H18" i="19"/>
  <c r="P18" i="19"/>
  <c r="H17" i="19"/>
  <c r="P17" i="19"/>
  <c r="H22" i="19"/>
  <c r="P22" i="19"/>
  <c r="H16" i="19"/>
  <c r="P16" i="19"/>
  <c r="H15" i="19"/>
  <c r="P15" i="19"/>
  <c r="H28" i="19"/>
  <c r="P28" i="19"/>
  <c r="N14" i="19"/>
  <c r="O14" i="19"/>
  <c r="H27" i="19"/>
  <c r="P27" i="19"/>
  <c r="L68" i="7"/>
  <c r="J105" i="7"/>
  <c r="K105" i="7"/>
  <c r="D84" i="7"/>
  <c r="G63" i="7"/>
  <c r="E84" i="7"/>
  <c r="H63" i="7"/>
  <c r="I63" i="7"/>
  <c r="I84" i="7"/>
  <c r="I47" i="17" s="1"/>
  <c r="F105" i="7"/>
  <c r="J63" i="7"/>
  <c r="G105" i="7"/>
  <c r="H68" i="7"/>
  <c r="H105" i="7"/>
  <c r="I68" i="7"/>
  <c r="L84" i="7"/>
  <c r="L47" i="17" s="1"/>
  <c r="J68" i="7"/>
  <c r="L105" i="7"/>
  <c r="C68" i="7"/>
  <c r="E63" i="7"/>
  <c r="C84" i="7"/>
  <c r="G84" i="7"/>
  <c r="D63" i="7"/>
  <c r="F63" i="7"/>
  <c r="F70" i="7" s="1"/>
  <c r="D105" i="7"/>
  <c r="H84" i="7"/>
  <c r="H47" i="17" s="1"/>
  <c r="E105" i="7"/>
  <c r="M63" i="7"/>
  <c r="M70" i="7" s="1"/>
  <c r="G68" i="7"/>
  <c r="J84" i="7"/>
  <c r="J47" i="17" s="1"/>
  <c r="L63" i="7"/>
  <c r="K84" i="7"/>
  <c r="K47" i="17" s="1"/>
  <c r="K63" i="7"/>
  <c r="K68" i="7"/>
  <c r="D68" i="7"/>
  <c r="E68" i="7"/>
  <c r="K16" i="17"/>
  <c r="F68" i="7"/>
  <c r="I105" i="7"/>
  <c r="F47" i="17"/>
  <c r="G47" i="17"/>
  <c r="E35" i="17"/>
  <c r="E43" i="17" s="1"/>
  <c r="E37" i="17"/>
  <c r="E36" i="17"/>
  <c r="E44" i="17" s="1"/>
  <c r="E34" i="17"/>
  <c r="E42" i="17" s="1"/>
  <c r="E38" i="17"/>
  <c r="E13" i="7"/>
  <c r="E12" i="17" s="1"/>
  <c r="F35" i="17"/>
  <c r="F43" i="17" s="1"/>
  <c r="F34" i="17"/>
  <c r="F42" i="17" s="1"/>
  <c r="F37" i="17"/>
  <c r="F38" i="17"/>
  <c r="F36" i="17"/>
  <c r="F44" i="17" s="1"/>
  <c r="F13" i="7"/>
  <c r="F12" i="17" s="1"/>
  <c r="D16" i="17"/>
  <c r="F16" i="17"/>
  <c r="C48" i="16"/>
  <c r="D18" i="7"/>
  <c r="D24" i="7" s="1"/>
  <c r="D37" i="17"/>
  <c r="D38" i="17"/>
  <c r="D36" i="17"/>
  <c r="D34" i="17"/>
  <c r="D35" i="17"/>
  <c r="D13" i="7"/>
  <c r="D12" i="17" s="1"/>
  <c r="C63" i="7"/>
  <c r="E16" i="17"/>
  <c r="H16" i="17"/>
  <c r="J34" i="17"/>
  <c r="J42" i="17" s="1"/>
  <c r="J36" i="17"/>
  <c r="J44" i="17" s="1"/>
  <c r="J38" i="17"/>
  <c r="J13" i="7"/>
  <c r="J12" i="17" s="1"/>
  <c r="J35" i="17"/>
  <c r="J43" i="17" s="1"/>
  <c r="J37" i="17"/>
  <c r="K36" i="17"/>
  <c r="K44" i="17" s="1"/>
  <c r="K38" i="17"/>
  <c r="K13" i="7"/>
  <c r="K12" i="17" s="1"/>
  <c r="K35" i="17"/>
  <c r="K43" i="17" s="1"/>
  <c r="K37" i="17"/>
  <c r="K34" i="17"/>
  <c r="K42" i="17" s="1"/>
  <c r="L16" i="17"/>
  <c r="G37" i="17"/>
  <c r="G34" i="17"/>
  <c r="G42" i="17" s="1"/>
  <c r="G38" i="17"/>
  <c r="G13" i="7"/>
  <c r="G12" i="17" s="1"/>
  <c r="G35" i="17"/>
  <c r="G43" i="17" s="1"/>
  <c r="G36" i="17"/>
  <c r="G44" i="17" s="1"/>
  <c r="L35" i="17"/>
  <c r="L43" i="17" s="1"/>
  <c r="L36" i="17"/>
  <c r="L44" i="17" s="1"/>
  <c r="L38" i="17"/>
  <c r="L13" i="7"/>
  <c r="L12" i="17" s="1"/>
  <c r="L37" i="17"/>
  <c r="L34" i="17"/>
  <c r="L42" i="17" s="1"/>
  <c r="I16" i="17"/>
  <c r="J16" i="17"/>
  <c r="H37" i="17"/>
  <c r="H34" i="17"/>
  <c r="H42" i="17" s="1"/>
  <c r="H36" i="17"/>
  <c r="H44" i="17" s="1"/>
  <c r="H38" i="17"/>
  <c r="H13" i="7"/>
  <c r="H12" i="17" s="1"/>
  <c r="H35" i="17"/>
  <c r="H43" i="17" s="1"/>
  <c r="I34" i="17"/>
  <c r="I42" i="17" s="1"/>
  <c r="I37" i="17"/>
  <c r="I36" i="17"/>
  <c r="I44" i="17" s="1"/>
  <c r="I38" i="17"/>
  <c r="I13" i="7"/>
  <c r="I12" i="17" s="1"/>
  <c r="I35" i="17"/>
  <c r="I43" i="17" s="1"/>
  <c r="D21" i="16"/>
  <c r="I23" i="16"/>
  <c r="E28" i="15"/>
  <c r="E44" i="15" s="1"/>
  <c r="J28" i="15"/>
  <c r="I28" i="15"/>
  <c r="G28" i="15"/>
  <c r="H52" i="15" s="1"/>
  <c r="H58" i="15" s="1"/>
  <c r="F28" i="15"/>
  <c r="M16" i="7"/>
  <c r="M84" i="7"/>
  <c r="H24" i="10"/>
  <c r="H23" i="10"/>
  <c r="E38" i="10" s="1"/>
  <c r="J16" i="10"/>
  <c r="G24" i="10"/>
  <c r="G23" i="10"/>
  <c r="C40" i="10"/>
  <c r="D39" i="10" s="1"/>
  <c r="D17" i="9"/>
  <c r="E18" i="9" s="1"/>
  <c r="D16" i="9"/>
  <c r="D15" i="9"/>
  <c r="D14" i="9"/>
  <c r="D13" i="9"/>
  <c r="D12" i="9"/>
  <c r="D21" i="9"/>
  <c r="D20" i="9"/>
  <c r="D19" i="9"/>
  <c r="E19" i="9" s="1"/>
  <c r="M95" i="7"/>
  <c r="L95" i="7"/>
  <c r="L49" i="17" s="1"/>
  <c r="H95" i="7"/>
  <c r="H49" i="17" s="1"/>
  <c r="G95" i="7"/>
  <c r="G49" i="17" s="1"/>
  <c r="F95" i="7"/>
  <c r="F49" i="17" s="1"/>
  <c r="D95" i="7"/>
  <c r="D49" i="17" s="1"/>
  <c r="J95" i="7"/>
  <c r="J49" i="17" s="1"/>
  <c r="I95" i="7"/>
  <c r="I49" i="17" s="1"/>
  <c r="E95" i="7"/>
  <c r="E49" i="17" s="1"/>
  <c r="K95" i="7"/>
  <c r="K49" i="17" s="1"/>
  <c r="J22" i="7"/>
  <c r="J24" i="17" s="1"/>
  <c r="I22" i="7"/>
  <c r="I24" i="17" s="1"/>
  <c r="G22" i="7"/>
  <c r="G24" i="17" s="1"/>
  <c r="E22" i="7"/>
  <c r="E24" i="17" s="1"/>
  <c r="D16" i="7"/>
  <c r="D22" i="7"/>
  <c r="D24" i="17" s="1"/>
  <c r="G31" i="7"/>
  <c r="G25" i="17" s="1"/>
  <c r="F31" i="7"/>
  <c r="F25" i="17" s="1"/>
  <c r="G16" i="7"/>
  <c r="K16" i="7"/>
  <c r="E31" i="7"/>
  <c r="E25" i="17" s="1"/>
  <c r="D31" i="7"/>
  <c r="D25" i="17" s="1"/>
  <c r="L31" i="7"/>
  <c r="L25" i="17" s="1"/>
  <c r="K31" i="7"/>
  <c r="K25" i="17" s="1"/>
  <c r="J16" i="7"/>
  <c r="C28" i="7"/>
  <c r="H18" i="7"/>
  <c r="H16" i="7"/>
  <c r="I18" i="7"/>
  <c r="I16" i="7"/>
  <c r="J18" i="7"/>
  <c r="K18" i="7"/>
  <c r="K22" i="7"/>
  <c r="K24" i="17" s="1"/>
  <c r="M13" i="7"/>
  <c r="M22" i="7"/>
  <c r="I31" i="7"/>
  <c r="I25" i="17" s="1"/>
  <c r="L16" i="7"/>
  <c r="H31" i="7"/>
  <c r="H25" i="17" s="1"/>
  <c r="L18" i="7"/>
  <c r="L24" i="7" s="1"/>
  <c r="L37" i="7" s="1"/>
  <c r="M25" i="7"/>
  <c r="M37" i="7"/>
  <c r="M18" i="7"/>
  <c r="M19" i="7" s="1"/>
  <c r="L28" i="7"/>
  <c r="L22" i="7"/>
  <c r="L24" i="17" s="1"/>
  <c r="M31" i="7"/>
  <c r="C18" i="7"/>
  <c r="E18" i="7"/>
  <c r="H22" i="7"/>
  <c r="H24" i="17" s="1"/>
  <c r="F18" i="7"/>
  <c r="E28" i="7"/>
  <c r="G18" i="7"/>
  <c r="F22" i="7"/>
  <c r="F24" i="17" s="1"/>
  <c r="D28" i="7"/>
  <c r="F16" i="7"/>
  <c r="F28" i="7"/>
  <c r="E16" i="7"/>
  <c r="G28" i="7"/>
  <c r="H28" i="7"/>
  <c r="I28" i="7"/>
  <c r="J31" i="7"/>
  <c r="J25" i="17" s="1"/>
  <c r="J28" i="7"/>
  <c r="K28" i="7"/>
  <c r="M28" i="7"/>
  <c r="M33" i="7" s="1"/>
  <c r="J45" i="15" s="1"/>
  <c r="J54" i="15" s="1"/>
  <c r="J56" i="15" s="1"/>
  <c r="I24" i="2"/>
  <c r="H24" i="2"/>
  <c r="I13" i="1"/>
  <c r="G24" i="2"/>
  <c r="C24" i="2"/>
  <c r="B14" i="1"/>
  <c r="F24" i="2"/>
  <c r="J20" i="2"/>
  <c r="F20" i="2"/>
  <c r="E24" i="2"/>
  <c r="B6" i="1"/>
  <c r="B19" i="1" s="1"/>
  <c r="D24" i="2"/>
  <c r="B16" i="2"/>
  <c r="B21" i="2"/>
  <c r="I14" i="1"/>
  <c r="K25" i="1" s="1"/>
  <c r="J23" i="1"/>
  <c r="H14" i="1"/>
  <c r="J25" i="1" s="1"/>
  <c r="G16" i="2"/>
  <c r="I23" i="1"/>
  <c r="K20" i="2"/>
  <c r="C21" i="2"/>
  <c r="H23" i="1"/>
  <c r="G20" i="2"/>
  <c r="F21" i="2"/>
  <c r="K24" i="2"/>
  <c r="J16" i="2"/>
  <c r="D13" i="1"/>
  <c r="E13" i="1" s="1"/>
  <c r="E14" i="1" s="1"/>
  <c r="I25" i="1" s="1"/>
  <c r="I6" i="1"/>
  <c r="I19" i="1" s="1"/>
  <c r="K24" i="1" s="1"/>
  <c r="J24" i="2"/>
  <c r="I20" i="2"/>
  <c r="H20" i="2"/>
  <c r="K23" i="1"/>
  <c r="H6" i="1"/>
  <c r="H19" i="1" s="1"/>
  <c r="J24" i="1" s="1"/>
  <c r="F6" i="1"/>
  <c r="F19" i="1" s="1"/>
  <c r="I24" i="1" s="1"/>
  <c r="J38" i="10" l="1"/>
  <c r="K38" i="10"/>
  <c r="C107" i="7"/>
  <c r="P32" i="19"/>
  <c r="O17" i="19"/>
  <c r="N17" i="19"/>
  <c r="O18" i="19"/>
  <c r="N18" i="19"/>
  <c r="P33" i="19"/>
  <c r="P41" i="19" s="1"/>
  <c r="P35" i="19"/>
  <c r="N27" i="19"/>
  <c r="O27" i="19"/>
  <c r="N28" i="19"/>
  <c r="O28" i="19"/>
  <c r="O19" i="19"/>
  <c r="N19" i="19"/>
  <c r="P34" i="19"/>
  <c r="O20" i="19"/>
  <c r="N20" i="19"/>
  <c r="P30" i="19"/>
  <c r="N21" i="19"/>
  <c r="O21" i="19"/>
  <c r="P31" i="19"/>
  <c r="N23" i="19"/>
  <c r="O23" i="19"/>
  <c r="N15" i="19"/>
  <c r="O15" i="19"/>
  <c r="N24" i="19"/>
  <c r="O24" i="19"/>
  <c r="N16" i="19"/>
  <c r="O16" i="19"/>
  <c r="N25" i="19"/>
  <c r="O25" i="19"/>
  <c r="N22" i="19"/>
  <c r="O22" i="19"/>
  <c r="N26" i="19"/>
  <c r="O26" i="19"/>
  <c r="E39" i="10"/>
  <c r="J48" i="10" s="1"/>
  <c r="E42" i="10"/>
  <c r="E17" i="9"/>
  <c r="E20" i="9"/>
  <c r="E21" i="9"/>
  <c r="D22" i="9"/>
  <c r="E22" i="9" s="1"/>
  <c r="D27" i="9"/>
  <c r="D25" i="9"/>
  <c r="D24" i="9"/>
  <c r="D26" i="9"/>
  <c r="E26" i="9" s="1"/>
  <c r="D23" i="9"/>
  <c r="E13" i="9"/>
  <c r="E14" i="9"/>
  <c r="E16" i="9"/>
  <c r="E15" i="9"/>
  <c r="E107" i="7"/>
  <c r="K70" i="7"/>
  <c r="K72" i="7" s="1"/>
  <c r="C70" i="7"/>
  <c r="C72" i="7" s="1"/>
  <c r="L70" i="7"/>
  <c r="L48" i="17" s="1"/>
  <c r="E70" i="7"/>
  <c r="E72" i="7" s="1"/>
  <c r="E45" i="17"/>
  <c r="L19" i="7"/>
  <c r="G107" i="7"/>
  <c r="J70" i="7"/>
  <c r="J72" i="7" s="1"/>
  <c r="I70" i="7"/>
  <c r="I72" i="7" s="1"/>
  <c r="H70" i="7"/>
  <c r="H72" i="7" s="1"/>
  <c r="D19" i="7"/>
  <c r="E18" i="17" s="1"/>
  <c r="D70" i="7"/>
  <c r="D72" i="7" s="1"/>
  <c r="G70" i="7"/>
  <c r="G72" i="7" s="1"/>
  <c r="F72" i="7"/>
  <c r="F48" i="17"/>
  <c r="E47" i="17"/>
  <c r="D47" i="17"/>
  <c r="O47" i="17" s="1"/>
  <c r="K107" i="7"/>
  <c r="O49" i="17"/>
  <c r="N49" i="17"/>
  <c r="O24" i="17"/>
  <c r="N24" i="17"/>
  <c r="F107" i="7"/>
  <c r="N35" i="17"/>
  <c r="O35" i="17"/>
  <c r="D43" i="17"/>
  <c r="N34" i="17"/>
  <c r="O34" i="17"/>
  <c r="D42" i="17"/>
  <c r="K45" i="17"/>
  <c r="N38" i="17"/>
  <c r="O38" i="17"/>
  <c r="I107" i="7"/>
  <c r="J107" i="7"/>
  <c r="G45" i="17"/>
  <c r="H45" i="17"/>
  <c r="D44" i="17"/>
  <c r="N36" i="17"/>
  <c r="O36" i="17"/>
  <c r="D28" i="17"/>
  <c r="D20" i="17"/>
  <c r="D32" i="17"/>
  <c r="N37" i="17"/>
  <c r="O37" i="17"/>
  <c r="L107" i="7"/>
  <c r="L45" i="17"/>
  <c r="J45" i="17"/>
  <c r="F45" i="17"/>
  <c r="N12" i="17"/>
  <c r="O12" i="17"/>
  <c r="N25" i="17"/>
  <c r="O25" i="17"/>
  <c r="N16" i="17"/>
  <c r="O16" i="17"/>
  <c r="I45" i="17"/>
  <c r="L25" i="7"/>
  <c r="L19" i="17" s="1"/>
  <c r="L32" i="17"/>
  <c r="L28" i="17"/>
  <c r="L20" i="17"/>
  <c r="L26" i="17" s="1"/>
  <c r="H107" i="7"/>
  <c r="D107" i="7"/>
  <c r="D38" i="10"/>
  <c r="F44" i="15"/>
  <c r="F52" i="15"/>
  <c r="F58" i="15" s="1"/>
  <c r="G44" i="15"/>
  <c r="G52" i="15"/>
  <c r="G58" i="15" s="1"/>
  <c r="I44" i="15"/>
  <c r="I52" i="15"/>
  <c r="I58" i="15" s="1"/>
  <c r="J44" i="15"/>
  <c r="J47" i="15" s="1"/>
  <c r="J68" i="15" s="1"/>
  <c r="J52" i="15"/>
  <c r="J58" i="15" s="1"/>
  <c r="J60" i="15" s="1"/>
  <c r="J67" i="15" s="1"/>
  <c r="J70" i="15" s="1"/>
  <c r="J24" i="10"/>
  <c r="J23" i="10"/>
  <c r="M107" i="7"/>
  <c r="L33" i="7"/>
  <c r="L39" i="7" s="1"/>
  <c r="M39" i="7"/>
  <c r="M34" i="7"/>
  <c r="G24" i="7"/>
  <c r="G19" i="7"/>
  <c r="H18" i="17" s="1"/>
  <c r="F24" i="7"/>
  <c r="F19" i="7"/>
  <c r="G18" i="17" s="1"/>
  <c r="E24" i="7"/>
  <c r="E19" i="7"/>
  <c r="F18" i="17" s="1"/>
  <c r="K24" i="7"/>
  <c r="K19" i="7"/>
  <c r="L18" i="17" s="1"/>
  <c r="C24" i="7"/>
  <c r="D13" i="17" s="1"/>
  <c r="C19" i="7"/>
  <c r="D18" i="17" s="1"/>
  <c r="J24" i="7"/>
  <c r="J19" i="7"/>
  <c r="K18" i="17" s="1"/>
  <c r="I24" i="7"/>
  <c r="I19" i="7"/>
  <c r="J18" i="17" s="1"/>
  <c r="D25" i="7"/>
  <c r="D19" i="17" s="1"/>
  <c r="D33" i="7"/>
  <c r="H24" i="7"/>
  <c r="H19" i="7"/>
  <c r="I18" i="17" s="1"/>
  <c r="D37" i="7"/>
  <c r="D14" i="1"/>
  <c r="H25" i="1" s="1"/>
  <c r="H24" i="1"/>
  <c r="J37" i="10" l="1"/>
  <c r="J40" i="10" s="1"/>
  <c r="K37" i="10"/>
  <c r="K40" i="10" s="1"/>
  <c r="J32" i="10" s="1"/>
  <c r="J33" i="10" s="1"/>
  <c r="O32" i="19"/>
  <c r="N34" i="19"/>
  <c r="N32" i="19"/>
  <c r="N33" i="19"/>
  <c r="N39" i="19" s="1"/>
  <c r="N41" i="19" s="1"/>
  <c r="N43" i="19" s="1"/>
  <c r="N46" i="19" s="1"/>
  <c r="N35" i="19"/>
  <c r="N31" i="19"/>
  <c r="O33" i="19"/>
  <c r="O39" i="19" s="1"/>
  <c r="O41" i="19" s="1"/>
  <c r="O43" i="19" s="1"/>
  <c r="O46" i="19" s="1"/>
  <c r="O34" i="19"/>
  <c r="O35" i="19"/>
  <c r="O30" i="19"/>
  <c r="O31" i="19"/>
  <c r="P43" i="19"/>
  <c r="P46" i="19" s="1"/>
  <c r="P39" i="19"/>
  <c r="N30" i="19"/>
  <c r="D42" i="10"/>
  <c r="D40" i="10"/>
  <c r="E23" i="9"/>
  <c r="E25" i="9"/>
  <c r="E24" i="9"/>
  <c r="E27" i="9"/>
  <c r="K48" i="17"/>
  <c r="L72" i="7"/>
  <c r="J48" i="17"/>
  <c r="E48" i="17"/>
  <c r="I48" i="17"/>
  <c r="G48" i="17"/>
  <c r="D48" i="17"/>
  <c r="H48" i="17"/>
  <c r="N47" i="17"/>
  <c r="L30" i="17"/>
  <c r="O18" i="17"/>
  <c r="N18" i="17"/>
  <c r="D32" i="9" a="1"/>
  <c r="O44" i="17"/>
  <c r="N44" i="17"/>
  <c r="K20" i="17"/>
  <c r="K26" i="17" s="1"/>
  <c r="K32" i="17"/>
  <c r="K13" i="17"/>
  <c r="K28" i="17"/>
  <c r="L34" i="7"/>
  <c r="L21" i="17" s="1"/>
  <c r="E28" i="17"/>
  <c r="E20" i="17"/>
  <c r="E26" i="17" s="1"/>
  <c r="E32" i="17"/>
  <c r="E13" i="17"/>
  <c r="F28" i="17"/>
  <c r="F20" i="17"/>
  <c r="F26" i="17" s="1"/>
  <c r="F32" i="17"/>
  <c r="F13" i="17"/>
  <c r="L13" i="17"/>
  <c r="G20" i="17"/>
  <c r="G26" i="17" s="1"/>
  <c r="G13" i="17"/>
  <c r="G28" i="17"/>
  <c r="G32" i="17"/>
  <c r="O42" i="17"/>
  <c r="N42" i="17"/>
  <c r="H28" i="17"/>
  <c r="H13" i="17"/>
  <c r="H20" i="17"/>
  <c r="H26" i="17" s="1"/>
  <c r="H32" i="17"/>
  <c r="I45" i="15"/>
  <c r="I54" i="15" s="1"/>
  <c r="I56" i="15" s="1"/>
  <c r="I60" i="15"/>
  <c r="I67" i="15" s="1"/>
  <c r="I47" i="15"/>
  <c r="I68" i="15" s="1"/>
  <c r="O43" i="17"/>
  <c r="N43" i="17"/>
  <c r="D45" i="17"/>
  <c r="D26" i="17"/>
  <c r="I28" i="17"/>
  <c r="I20" i="17"/>
  <c r="I26" i="17" s="1"/>
  <c r="I32" i="17"/>
  <c r="I13" i="17"/>
  <c r="J20" i="17"/>
  <c r="J26" i="17" s="1"/>
  <c r="J32" i="17"/>
  <c r="J13" i="17"/>
  <c r="J28" i="17"/>
  <c r="D34" i="7"/>
  <c r="D21" i="17" s="1"/>
  <c r="D39" i="7"/>
  <c r="I25" i="7"/>
  <c r="I19" i="17" s="1"/>
  <c r="I33" i="7"/>
  <c r="I37" i="7"/>
  <c r="J25" i="7"/>
  <c r="J19" i="17" s="1"/>
  <c r="J33" i="7"/>
  <c r="J37" i="7"/>
  <c r="C25" i="7"/>
  <c r="C33" i="7"/>
  <c r="D14" i="17" s="1"/>
  <c r="C37" i="7"/>
  <c r="K25" i="7"/>
  <c r="K19" i="17" s="1"/>
  <c r="K33" i="7"/>
  <c r="L14" i="17" s="1"/>
  <c r="K37" i="7"/>
  <c r="E25" i="7"/>
  <c r="E19" i="17" s="1"/>
  <c r="E33" i="7"/>
  <c r="E14" i="17" s="1"/>
  <c r="E37" i="7"/>
  <c r="F25" i="7"/>
  <c r="F19" i="17" s="1"/>
  <c r="F33" i="7"/>
  <c r="F14" i="17" s="1"/>
  <c r="F37" i="7"/>
  <c r="G25" i="7"/>
  <c r="G19" i="17" s="1"/>
  <c r="G33" i="7"/>
  <c r="G14" i="17" s="1"/>
  <c r="G37" i="7"/>
  <c r="H25" i="7"/>
  <c r="H19" i="17" s="1"/>
  <c r="H33" i="7"/>
  <c r="H37" i="7"/>
  <c r="M44" i="7"/>
  <c r="M40" i="7"/>
  <c r="L44" i="7"/>
  <c r="L40" i="7"/>
  <c r="L22" i="17" s="1"/>
  <c r="I48" i="10" l="1"/>
  <c r="J47" i="10"/>
  <c r="J49" i="10"/>
  <c r="C30" i="16" s="1"/>
  <c r="O48" i="17"/>
  <c r="O13" i="17"/>
  <c r="N32" i="17"/>
  <c r="N19" i="17"/>
  <c r="N48" i="17"/>
  <c r="O19" i="17"/>
  <c r="O28" i="17"/>
  <c r="O45" i="17"/>
  <c r="N45" i="17"/>
  <c r="I14" i="17"/>
  <c r="F45" i="15"/>
  <c r="O32" i="17"/>
  <c r="I70" i="15"/>
  <c r="J14" i="17"/>
  <c r="G45" i="15"/>
  <c r="N13" i="17"/>
  <c r="N20" i="17"/>
  <c r="H14" i="17"/>
  <c r="E45" i="15"/>
  <c r="N28" i="17"/>
  <c r="D30" i="17"/>
  <c r="N26" i="17"/>
  <c r="O26" i="17"/>
  <c r="H45" i="15"/>
  <c r="K14" i="17"/>
  <c r="O20" i="17"/>
  <c r="D32" i="9"/>
  <c r="D41" i="9"/>
  <c r="D38" i="9"/>
  <c r="D33" i="9"/>
  <c r="D36" i="9"/>
  <c r="D35" i="9"/>
  <c r="D40" i="9"/>
  <c r="D39" i="9"/>
  <c r="D37" i="9"/>
  <c r="D34" i="9"/>
  <c r="L48" i="7"/>
  <c r="L50" i="7" s="1"/>
  <c r="L29" i="17" s="1"/>
  <c r="L31" i="17" s="1"/>
  <c r="M50" i="7"/>
  <c r="M48" i="7"/>
  <c r="M45" i="7"/>
  <c r="E34" i="7"/>
  <c r="E21" i="17" s="1"/>
  <c r="E39" i="7"/>
  <c r="K34" i="7"/>
  <c r="K21" i="17" s="1"/>
  <c r="K39" i="7"/>
  <c r="C34" i="7"/>
  <c r="C39" i="7"/>
  <c r="D15" i="17" s="1"/>
  <c r="H39" i="7"/>
  <c r="H34" i="7"/>
  <c r="H21" i="17" s="1"/>
  <c r="J39" i="7"/>
  <c r="J34" i="7"/>
  <c r="J21" i="17" s="1"/>
  <c r="G39" i="7"/>
  <c r="G34" i="7"/>
  <c r="G21" i="17" s="1"/>
  <c r="I39" i="7"/>
  <c r="I34" i="7"/>
  <c r="I21" i="17" s="1"/>
  <c r="D44" i="7"/>
  <c r="D40" i="7"/>
  <c r="D22" i="17" s="1"/>
  <c r="F39" i="7"/>
  <c r="F34" i="7"/>
  <c r="F21" i="17" s="1"/>
  <c r="O21" i="17" l="1"/>
  <c r="C35" i="16"/>
  <c r="G24" i="16"/>
  <c r="E24" i="16"/>
  <c r="F24" i="16"/>
  <c r="H24" i="16"/>
  <c r="I24" i="16"/>
  <c r="E38" i="9"/>
  <c r="E41" i="9"/>
  <c r="N14" i="17"/>
  <c r="N21" i="17"/>
  <c r="E30" i="17"/>
  <c r="E15" i="17"/>
  <c r="F54" i="15"/>
  <c r="F56" i="15" s="1"/>
  <c r="F60" i="15" s="1"/>
  <c r="F47" i="15"/>
  <c r="F68" i="15" s="1"/>
  <c r="O14" i="17"/>
  <c r="G30" i="17"/>
  <c r="G15" i="17"/>
  <c r="E34" i="9"/>
  <c r="E54" i="15"/>
  <c r="E56" i="15" s="1"/>
  <c r="E47" i="15"/>
  <c r="J30" i="17"/>
  <c r="J15" i="17"/>
  <c r="E37" i="9"/>
  <c r="H54" i="15"/>
  <c r="H56" i="15" s="1"/>
  <c r="H60" i="15" s="1"/>
  <c r="H67" i="15" s="1"/>
  <c r="H47" i="15"/>
  <c r="H68" i="15" s="1"/>
  <c r="E33" i="9"/>
  <c r="K15" i="17"/>
  <c r="K30" i="17"/>
  <c r="L15" i="17"/>
  <c r="I30" i="17"/>
  <c r="I15" i="17"/>
  <c r="E39" i="9"/>
  <c r="H30" i="17"/>
  <c r="H15" i="17"/>
  <c r="E40" i="9"/>
  <c r="E35" i="9"/>
  <c r="G54" i="15"/>
  <c r="G56" i="15" s="1"/>
  <c r="G60" i="15" s="1"/>
  <c r="G67" i="15" s="1"/>
  <c r="G47" i="15"/>
  <c r="G68" i="15" s="1"/>
  <c r="E36" i="9"/>
  <c r="D42" i="9"/>
  <c r="E42" i="9" s="1"/>
  <c r="F30" i="17"/>
  <c r="F15" i="17"/>
  <c r="D48" i="7"/>
  <c r="D50" i="7" s="1"/>
  <c r="D29" i="17" s="1"/>
  <c r="F44" i="7"/>
  <c r="F40" i="7"/>
  <c r="F22" i="17" s="1"/>
  <c r="I44" i="7"/>
  <c r="I40" i="7"/>
  <c r="I22" i="17" s="1"/>
  <c r="G44" i="7"/>
  <c r="G40" i="7"/>
  <c r="G22" i="17" s="1"/>
  <c r="J44" i="7"/>
  <c r="J40" i="7"/>
  <c r="J22" i="17" s="1"/>
  <c r="H44" i="7"/>
  <c r="H40" i="7"/>
  <c r="H22" i="17" s="1"/>
  <c r="C44" i="7"/>
  <c r="C40" i="7"/>
  <c r="K44" i="7"/>
  <c r="K40" i="7"/>
  <c r="K22" i="17" s="1"/>
  <c r="E44" i="7"/>
  <c r="E40" i="7"/>
  <c r="E22" i="17" s="1"/>
  <c r="O30" i="17" l="1"/>
  <c r="N30" i="17"/>
  <c r="N22" i="17"/>
  <c r="O15" i="17"/>
  <c r="D43" i="9"/>
  <c r="E43" i="9" s="1"/>
  <c r="F67" i="15"/>
  <c r="F70" i="15" s="1"/>
  <c r="J63" i="15"/>
  <c r="J62" i="15"/>
  <c r="G70" i="15"/>
  <c r="O22" i="17"/>
  <c r="N15" i="17"/>
  <c r="D53" i="9" a="1"/>
  <c r="H70" i="15"/>
  <c r="D31" i="17"/>
  <c r="K45" i="7"/>
  <c r="K48" i="7"/>
  <c r="K50" i="7" s="1"/>
  <c r="K29" i="17" s="1"/>
  <c r="K31" i="17" s="1"/>
  <c r="L45" i="7"/>
  <c r="C48" i="7"/>
  <c r="C50" i="7" s="1"/>
  <c r="H45" i="7"/>
  <c r="H48" i="7"/>
  <c r="H50" i="7" s="1"/>
  <c r="H29" i="17" s="1"/>
  <c r="H31" i="17" s="1"/>
  <c r="J45" i="7"/>
  <c r="J48" i="7"/>
  <c r="J50" i="7" s="1"/>
  <c r="J29" i="17" s="1"/>
  <c r="J31" i="17" s="1"/>
  <c r="F45" i="7"/>
  <c r="F48" i="7"/>
  <c r="F50" i="7" s="1"/>
  <c r="F29" i="17" s="1"/>
  <c r="F31" i="17" s="1"/>
  <c r="E45" i="7"/>
  <c r="E48" i="7"/>
  <c r="E50" i="7" s="1"/>
  <c r="E29" i="17" s="1"/>
  <c r="E31" i="17" s="1"/>
  <c r="G45" i="7"/>
  <c r="G48" i="7"/>
  <c r="G50" i="7" s="1"/>
  <c r="G29" i="17" s="1"/>
  <c r="G31" i="17" s="1"/>
  <c r="I45" i="7"/>
  <c r="I48" i="7"/>
  <c r="I50" i="7" s="1"/>
  <c r="I29" i="17" s="1"/>
  <c r="I31" i="17" s="1"/>
  <c r="D45" i="7"/>
  <c r="D44" i="9" l="1"/>
  <c r="E44" i="9" s="1"/>
  <c r="J74" i="15"/>
  <c r="C28" i="16" s="1"/>
  <c r="J73" i="15"/>
  <c r="O29" i="17"/>
  <c r="D60" i="9"/>
  <c r="D55" i="9"/>
  <c r="D58" i="9"/>
  <c r="D57" i="9"/>
  <c r="D59" i="9"/>
  <c r="D56" i="9"/>
  <c r="D61" i="9"/>
  <c r="D54" i="9"/>
  <c r="D53" i="9"/>
  <c r="D62" i="9"/>
  <c r="N29" i="17"/>
  <c r="N31" i="17"/>
  <c r="O31" i="17"/>
  <c r="E62" i="9" l="1"/>
  <c r="D45" i="9"/>
  <c r="E45" i="9" s="1"/>
  <c r="E60" i="9"/>
  <c r="D63" i="9"/>
  <c r="E63" i="9" s="1"/>
  <c r="E54" i="9"/>
  <c r="E57" i="9"/>
  <c r="E58" i="9"/>
  <c r="E61" i="9"/>
  <c r="E55" i="9"/>
  <c r="E13" i="16"/>
  <c r="F13" i="16" s="1"/>
  <c r="G13" i="16" s="1"/>
  <c r="H13" i="16" s="1"/>
  <c r="I13" i="16" s="1"/>
  <c r="E17" i="16"/>
  <c r="E56" i="9"/>
  <c r="E59" i="9"/>
  <c r="D46" i="9" l="1"/>
  <c r="E46" i="9" s="1"/>
  <c r="D64" i="9"/>
  <c r="E64" i="9" s="1"/>
  <c r="E21" i="16"/>
  <c r="E26" i="16" s="1"/>
  <c r="F17" i="16"/>
  <c r="D47" i="9" l="1"/>
  <c r="E47" i="9" s="1"/>
  <c r="D65" i="9"/>
  <c r="D66" i="9" s="1"/>
  <c r="E66" i="9" s="1"/>
  <c r="G17" i="16"/>
  <c r="F21" i="16"/>
  <c r="F26" i="16" s="1"/>
  <c r="E65" i="9" l="1"/>
  <c r="D67" i="9"/>
  <c r="E67" i="9" s="1"/>
  <c r="H17" i="16"/>
  <c r="G21" i="16"/>
  <c r="G26" i="16" s="1"/>
  <c r="D68" i="9" l="1"/>
  <c r="E68" i="9" s="1"/>
  <c r="I17" i="16"/>
  <c r="I21" i="16" s="1"/>
  <c r="H21" i="16"/>
  <c r="H26" i="16" s="1"/>
  <c r="C34" i="16" l="1"/>
  <c r="C38" i="16" s="1"/>
  <c r="E33" i="16" s="1"/>
  <c r="I26" i="16"/>
  <c r="C43" i="16" s="1"/>
  <c r="C44" i="16" l="1"/>
  <c r="C45" i="16" s="1"/>
  <c r="C49" i="16" l="1"/>
  <c r="C52" i="16" s="1"/>
  <c r="C55" i="1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<sst xmlns="http://schemas.openxmlformats.org/spreadsheetml/2006/main" count="663" uniqueCount="503">
  <si>
    <t>COMPANY NAME</t>
  </si>
  <si>
    <t>SCREENER.IN</t>
  </si>
  <si>
    <t>Narration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</si>
  <si>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</si>
  <si>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</si>
  <si>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</si>
  <si>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</si>
  <si>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</si>
  <si>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</si>
  <si>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</si>
  <si>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</si>
  <si>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</si>
  <si>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</si>
  <si>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</si>
  <si>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</si>
  <si>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</si>
  <si>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</si>
  <si>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</si>
  <si>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</si>
  <si>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</si>
  <si>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</si>
  <si>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</si>
  <si>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</si>
  <si>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</si>
  <si>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</si>
  <si>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</si>
  <si>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</si>
  <si>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</si>
  <si>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</si>
  <si>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</si>
  <si>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</si>
  <si>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</si>
  <si>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</si>
  <si>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</si>
  <si>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</si>
  <si>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</si>
  <si>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</si>
  <si>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</si>
  <si>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</si>
  <si>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</si>
  <si>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</si>
  <si>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</si>
  <si>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</si>
  <si>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</si>
  <si>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</si>
  <si>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</si>
  <si>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</si>
  <si>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</si>
  <si>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</si>
  <si>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EICHER MOTORS LTD</t>
  </si>
  <si>
    <t>META</t>
  </si>
  <si>
    <t>10 YEARS</t>
  </si>
  <si>
    <t>7 YEARS</t>
  </si>
  <si>
    <t>5 YEARS</t>
  </si>
  <si>
    <t>3 YEARS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</si>
  <si>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</si>
  <si>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</si>
  <si>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</si>
  <si>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</si>
  <si>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</si>
  <si>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</si>
  <si>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</si>
  <si>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</si>
  <si>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</si>
  <si>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</si>
  <si>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</si>
  <si>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</si>
  <si>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</si>
  <si>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</si>
  <si>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</si>
  <si>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</si>
  <si>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</si>
  <si>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</si>
  <si>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</si>
  <si>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</si>
  <si>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</si>
  <si>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</si>
  <si>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</si>
  <si>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>Income Statement</t>
  </si>
  <si>
    <t>-</t>
  </si>
  <si>
    <t>COGS</t>
  </si>
  <si>
    <t>COGS % Sales</t>
  </si>
  <si>
    <t>Gross Profit</t>
  </si>
  <si>
    <t>Selling &amp; Other Expenses</t>
  </si>
  <si>
    <t>S&amp;G % of sales</t>
  </si>
  <si>
    <t xml:space="preserve">Intrest </t>
  </si>
  <si>
    <t>Interst % sales</t>
  </si>
  <si>
    <t xml:space="preserve">Depreciation % sales </t>
  </si>
  <si>
    <t>Gross Profit Margin</t>
  </si>
  <si>
    <t>Earnig Before Tax</t>
  </si>
  <si>
    <t>EBT % sales</t>
  </si>
  <si>
    <t>effective tax rate</t>
  </si>
  <si>
    <t>Net Profit</t>
  </si>
  <si>
    <t>Net Margin</t>
  </si>
  <si>
    <t>No of Equtiy shares</t>
  </si>
  <si>
    <t>Earning per Share</t>
  </si>
  <si>
    <t>Dividend per Share</t>
  </si>
  <si>
    <t>EPS Groth</t>
  </si>
  <si>
    <t xml:space="preserve">dividend payout ratio </t>
  </si>
  <si>
    <t>Retain Earnings</t>
  </si>
  <si>
    <t>Blancesheet</t>
  </si>
  <si>
    <t>Total Liabilities</t>
  </si>
  <si>
    <t>Fix Assest Net Block</t>
  </si>
  <si>
    <t>Total Non Current Assest</t>
  </si>
  <si>
    <t xml:space="preserve"> Total Current Assest </t>
  </si>
  <si>
    <t xml:space="preserve">Total Assest </t>
  </si>
  <si>
    <t>Check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</si>
  <si>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</si>
  <si>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</si>
  <si>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</si>
  <si>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</si>
  <si>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</si>
  <si>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</si>
  <si>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</si>
  <si>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</si>
  <si>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</si>
  <si>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</si>
  <si>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</si>
  <si>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</si>
  <si>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</si>
  <si>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</si>
  <si>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</si>
  <si>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Other investing items</t>
  </si>
  <si>
    <t>Cash flow Statement</t>
  </si>
  <si>
    <t>Operting acitivity</t>
  </si>
  <si>
    <t>Cash from Operting activity</t>
  </si>
  <si>
    <t>Cash from Investing acitivity</t>
  </si>
  <si>
    <t>Investing acitivity</t>
  </si>
  <si>
    <t>Financing activity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</si>
  <si>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</si>
  <si>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</si>
  <si>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</si>
  <si>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</si>
  <si>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</si>
  <si>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</si>
  <si>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</si>
  <si>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</si>
  <si>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Financing activity</t>
  </si>
  <si>
    <t>Eicher Motors</t>
  </si>
  <si>
    <t>year weight</t>
  </si>
  <si>
    <t>Sales Growt</t>
  </si>
  <si>
    <t>all figures are in INR unless stated Otherwise</t>
  </si>
  <si>
    <t>Name of the company</t>
  </si>
  <si>
    <t>Country</t>
  </si>
  <si>
    <t>peer comps</t>
  </si>
  <si>
    <t>Total Debt</t>
  </si>
  <si>
    <t xml:space="preserve">Total Equity </t>
  </si>
  <si>
    <t>Equity</t>
  </si>
  <si>
    <t>Date</t>
  </si>
  <si>
    <t>weekly return</t>
  </si>
  <si>
    <t>Weekly Retrun</t>
  </si>
  <si>
    <t>Niffty 50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</si>
  <si>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</si>
  <si>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</si>
  <si>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</si>
  <si>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</si>
  <si>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</si>
  <si>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</si>
  <si>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</si>
  <si>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</si>
  <si>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</si>
  <si>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</si>
  <si>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</si>
  <si>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</si>
  <si>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</si>
  <si>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</si>
  <si>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</si>
  <si>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</si>
  <si>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</si>
  <si>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</si>
  <si>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</si>
  <si>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</si>
  <si>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</si>
  <si>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</si>
  <si>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</si>
  <si>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</si>
  <si>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</t>
  </si>
  <si>
    <t>Beta Drifting</t>
  </si>
  <si>
    <t>leaverd Raw Beta</t>
  </si>
  <si>
    <t>Raw beta weight</t>
  </si>
  <si>
    <t>Market Beta Weight</t>
  </si>
  <si>
    <t>Market Beta</t>
  </si>
  <si>
    <t>Adujsted Beta</t>
  </si>
  <si>
    <t>Maruti Suzuki</t>
  </si>
  <si>
    <t>M &amp; M</t>
  </si>
  <si>
    <t>Bajaj Auto</t>
  </si>
  <si>
    <t>Hyundai Motor I</t>
  </si>
  <si>
    <t>TVS Motor Co.</t>
  </si>
  <si>
    <t>S.No.</t>
  </si>
  <si>
    <t>Name</t>
  </si>
  <si>
    <t>CMP Rs.</t>
  </si>
  <si>
    <t xml:space="preserve">Mar Cap Rs.Cr. </t>
  </si>
  <si>
    <t>India</t>
  </si>
  <si>
    <t>debt/</t>
  </si>
  <si>
    <t>Capital</t>
  </si>
  <si>
    <t>Leaverd Beta</t>
  </si>
  <si>
    <t>Unleavread Beta</t>
  </si>
  <si>
    <t>Average</t>
  </si>
  <si>
    <t>Median</t>
  </si>
  <si>
    <t>Cost of debt</t>
  </si>
  <si>
    <t>Pre-Tax  cost of debt</t>
  </si>
  <si>
    <t>Tax Rate</t>
  </si>
  <si>
    <t>Cost of Equity</t>
  </si>
  <si>
    <t>Risk Free rate</t>
  </si>
  <si>
    <t>Equity Risk Premimum</t>
  </si>
  <si>
    <r>
      <t xml:space="preserve">Leavread Beta </t>
    </r>
    <r>
      <rPr>
        <vertAlign val="superscript"/>
        <sz val="11"/>
        <color theme="1"/>
        <rFont val="Calibri"/>
        <family val="2"/>
        <scheme val="minor"/>
      </rPr>
      <t>4</t>
    </r>
  </si>
  <si>
    <t>Capital Strucutre</t>
  </si>
  <si>
    <t>Current</t>
  </si>
  <si>
    <t>Target</t>
  </si>
  <si>
    <t>Total Capitalization</t>
  </si>
  <si>
    <t xml:space="preserve">Debt/Equity </t>
  </si>
  <si>
    <t>Aftet Tax Cost</t>
  </si>
  <si>
    <t>leavread Beta</t>
  </si>
  <si>
    <t>Comps Median Unleavead Beta</t>
  </si>
  <si>
    <t>Year</t>
  </si>
  <si>
    <t>Annual</t>
  </si>
  <si>
    <t xml:space="preserve">Average Retrun </t>
  </si>
  <si>
    <t>Dividend Yeild</t>
  </si>
  <si>
    <t xml:space="preserve">Total Market Retrun </t>
  </si>
  <si>
    <r>
      <t xml:space="preserve">1.28% </t>
    </r>
    <r>
      <rPr>
        <vertAlign val="superscript"/>
        <sz val="11"/>
        <color theme="1"/>
        <rFont val="Calibri"/>
        <family val="2"/>
        <scheme val="minor"/>
      </rPr>
      <t>1</t>
    </r>
  </si>
  <si>
    <t>Particulars</t>
  </si>
  <si>
    <t>EBIDTA</t>
  </si>
  <si>
    <t>Total Liabilaty</t>
  </si>
  <si>
    <t>Total Assest</t>
  </si>
  <si>
    <t>Total assest</t>
  </si>
  <si>
    <t>other assest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</si>
  <si>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</si>
  <si>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</si>
  <si>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</si>
  <si>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</si>
  <si>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</si>
  <si>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</si>
  <si>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</si>
  <si>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</si>
  <si>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</si>
  <si>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</si>
  <si>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</si>
  <si>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</si>
  <si>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</si>
  <si>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</si>
  <si>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</si>
  <si>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</si>
  <si>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</si>
  <si>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</si>
  <si>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</si>
  <si>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</si>
  <si>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</si>
  <si>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</si>
  <si>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</si>
  <si>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</si>
  <si>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</si>
  <si>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</si>
  <si>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</si>
  <si>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</si>
  <si>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Total Assets</t>
  </si>
  <si>
    <t>Particular</t>
  </si>
  <si>
    <t>Calculation of ROIC</t>
  </si>
  <si>
    <t>Current Assests</t>
  </si>
  <si>
    <t>Total Current Assest</t>
  </si>
  <si>
    <t>Current liabities</t>
  </si>
  <si>
    <t>Net Working Capital</t>
  </si>
  <si>
    <t>Total Current Liabities</t>
  </si>
  <si>
    <t>Non Current Assests</t>
  </si>
  <si>
    <t>Accumalted Dpn</t>
  </si>
  <si>
    <t>Net non Current Assests</t>
  </si>
  <si>
    <t xml:space="preserve"> </t>
  </si>
  <si>
    <t xml:space="preserve">Invested Capital </t>
  </si>
  <si>
    <t>EBIT</t>
  </si>
  <si>
    <t>ROIC</t>
  </si>
  <si>
    <t>Calculation or reinvestment rate</t>
  </si>
  <si>
    <t>Net Capex</t>
  </si>
  <si>
    <t>Change in Working Capital</t>
  </si>
  <si>
    <t>Marginal Tax Rate</t>
  </si>
  <si>
    <t>Reinvestment</t>
  </si>
  <si>
    <t>Re investment rate</t>
  </si>
  <si>
    <t>EBIT(1-T)</t>
  </si>
  <si>
    <t xml:space="preserve">  </t>
  </si>
  <si>
    <t>4 year Average</t>
  </si>
  <si>
    <t>4 year Median</t>
  </si>
  <si>
    <t>Calculation of growth rate</t>
  </si>
  <si>
    <t>Reinvestment rate</t>
  </si>
  <si>
    <t>Roic</t>
  </si>
  <si>
    <t>Intersic Growth</t>
  </si>
  <si>
    <t>Calculation of PV of FCFF</t>
  </si>
  <si>
    <t>EBIT (1-Tax rate)</t>
  </si>
  <si>
    <t>Less: Reinvestement rate</t>
  </si>
  <si>
    <t>Free cash flow to firm FCFF</t>
  </si>
  <si>
    <t>Mid Year Convention</t>
  </si>
  <si>
    <t>Discouting factor</t>
  </si>
  <si>
    <t>PV of FCFF</t>
  </si>
  <si>
    <t>terminal growth</t>
  </si>
  <si>
    <t>WACC</t>
  </si>
  <si>
    <t>Weighted Average Cost of Capital</t>
  </si>
  <si>
    <t>Total Cost</t>
  </si>
  <si>
    <t>Total Weight</t>
  </si>
  <si>
    <t>Debt Capital</t>
  </si>
  <si>
    <t>1. Tax Rate considered as Marginal Tax Rate for the country</t>
  </si>
  <si>
    <t>2. Levered Beta is based on 5 year monthly data</t>
  </si>
  <si>
    <t>3. Unlevered Beta = Levered Beta/(1+(1-Tax Rate) x Debt/Equity)</t>
  </si>
  <si>
    <t>4. Levered Beta = Unlevered Beta*(1+(1-Tax Rate) x Debt/Equity)</t>
  </si>
  <si>
    <t>Levered Beta</t>
  </si>
  <si>
    <t>Targetd Tax Debt/Equity</t>
  </si>
  <si>
    <t xml:space="preserve"> expected growth</t>
  </si>
  <si>
    <t>Calcluation of terminal value</t>
  </si>
  <si>
    <t>Terminal Value</t>
  </si>
  <si>
    <t>Terminal growth rate</t>
  </si>
  <si>
    <t>PV of Terminal Value</t>
  </si>
  <si>
    <t>Value of Operting Assests</t>
  </si>
  <si>
    <t>Add: Cash</t>
  </si>
  <si>
    <t>less: Debt</t>
  </si>
  <si>
    <t xml:space="preserve">Calcluation of Equity Value per share </t>
  </si>
  <si>
    <t>value of Equity</t>
  </si>
  <si>
    <t>Number of share</t>
  </si>
  <si>
    <t>Equity  Value Per share</t>
  </si>
  <si>
    <t>Disciunt/Premimum</t>
  </si>
  <si>
    <t>FcF(n+1)</t>
  </si>
  <si>
    <t>Share price</t>
  </si>
  <si>
    <t>Comparble Company Valuvation</t>
  </si>
  <si>
    <t>Share Price</t>
  </si>
  <si>
    <t>Shares Outstanding</t>
  </si>
  <si>
    <t>Equaity Value</t>
  </si>
  <si>
    <t xml:space="preserve">Net Debt </t>
  </si>
  <si>
    <t>Enterprice Value</t>
  </si>
  <si>
    <t>Market data</t>
  </si>
  <si>
    <t>Revenue</t>
  </si>
  <si>
    <t>Net income</t>
  </si>
  <si>
    <t>Valution</t>
  </si>
  <si>
    <t>Debt Rs.Cr.</t>
  </si>
  <si>
    <t>No. Eq. Shares Cr.</t>
  </si>
  <si>
    <t>Cash End Rs.Cr.</t>
  </si>
  <si>
    <t>Sales Rs.Cr.</t>
  </si>
  <si>
    <t>NP 12M Rs.Cr.</t>
  </si>
  <si>
    <t>Tata Motors PVeh</t>
  </si>
  <si>
    <t>Samvardh. Mothe.</t>
  </si>
  <si>
    <t>Hero Motocorp</t>
  </si>
  <si>
    <t>Bosch</t>
  </si>
  <si>
    <t>Bharat Forge</t>
  </si>
  <si>
    <t>Uno Minda</t>
  </si>
  <si>
    <t>Schaeffler India</t>
  </si>
  <si>
    <t>MRF</t>
  </si>
  <si>
    <t>Balkrishna Inds</t>
  </si>
  <si>
    <t>Current market cap</t>
  </si>
  <si>
    <t>EV</t>
  </si>
  <si>
    <t xml:space="preserve">Company </t>
  </si>
  <si>
    <t>Ticker</t>
  </si>
  <si>
    <t>net debt</t>
  </si>
  <si>
    <t>EV/Revenue</t>
  </si>
  <si>
    <t>EV/EBIDTA</t>
  </si>
  <si>
    <t>P/E</t>
  </si>
  <si>
    <t>`</t>
  </si>
  <si>
    <t>75 Pecentile</t>
  </si>
  <si>
    <t xml:space="preserve">High </t>
  </si>
  <si>
    <t>midean</t>
  </si>
  <si>
    <t>25 percentile</t>
  </si>
  <si>
    <t>Low</t>
  </si>
  <si>
    <t>impliedEnterprice Value</t>
  </si>
  <si>
    <t>Net Debt</t>
  </si>
  <si>
    <t>Implied market Value</t>
  </si>
  <si>
    <t>shares Outstanding</t>
  </si>
  <si>
    <t>implied value per share</t>
  </si>
  <si>
    <t>senstive analysis</t>
  </si>
  <si>
    <t>Footabal annalysis</t>
  </si>
  <si>
    <t>COMPS</t>
  </si>
  <si>
    <t>DCF Bear</t>
  </si>
  <si>
    <t>DCF Base</t>
  </si>
  <si>
    <t>DCF Bull</t>
  </si>
  <si>
    <t>52W H/L</t>
  </si>
  <si>
    <t>Open Low</t>
  </si>
  <si>
    <t>Open High</t>
  </si>
  <si>
    <t>High</t>
  </si>
  <si>
    <t>Share price annalysis</t>
  </si>
  <si>
    <t>Gross Margin</t>
  </si>
  <si>
    <t>EBIDTA Growth</t>
  </si>
  <si>
    <t>Net Profit Growth</t>
  </si>
  <si>
    <t>Divide Growth</t>
  </si>
  <si>
    <t>EBIT Margin</t>
  </si>
  <si>
    <t>EBT Margin</t>
  </si>
  <si>
    <t>EBIDTA Margin</t>
  </si>
  <si>
    <t>Net Profit Margin</t>
  </si>
  <si>
    <t>Sales Expnens % Sales</t>
  </si>
  <si>
    <t>Depn % sales</t>
  </si>
  <si>
    <t>Operting Income % Sales</t>
  </si>
  <si>
    <t>Retrun on Capital Employed</t>
  </si>
  <si>
    <t>Retained Earnigns%</t>
  </si>
  <si>
    <t>Self Sustained Growth Rate</t>
  </si>
  <si>
    <t>Interest Coverage Ratio</t>
  </si>
  <si>
    <t>Debtor Turnover Ratio</t>
  </si>
  <si>
    <t>Creditor Turnover Ratio</t>
  </si>
  <si>
    <t>Invenotry Turn over Ratio</t>
  </si>
  <si>
    <t>Fixed Assest Turnover Ratio</t>
  </si>
  <si>
    <t>Capitla turn over ratio</t>
  </si>
  <si>
    <t>debtor days</t>
  </si>
  <si>
    <t>paybales day</t>
  </si>
  <si>
    <t>inveontry day</t>
  </si>
  <si>
    <t>cash converstion cycle</t>
  </si>
  <si>
    <t>CFO/sales</t>
  </si>
  <si>
    <t>CFO/Total debt</t>
  </si>
  <si>
    <t>CFO/Total Assest</t>
  </si>
  <si>
    <t>EBITDA</t>
  </si>
  <si>
    <t>EBIT Growth</t>
  </si>
  <si>
    <t>EBITA Margin</t>
  </si>
  <si>
    <t>Retrun on Equity%</t>
  </si>
  <si>
    <t>(In days)</t>
  </si>
  <si>
    <t>Mean</t>
  </si>
  <si>
    <t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t>
  </si>
  <si>
    <t xml:space="preserve">Company detials </t>
  </si>
  <si>
    <t>Key Financial Metrics</t>
  </si>
  <si>
    <t xml:space="preserve">Total sales </t>
  </si>
  <si>
    <t>Sales Growth Y-O-Y</t>
  </si>
  <si>
    <t>GROSS PROFIT</t>
  </si>
  <si>
    <t>GPM</t>
  </si>
  <si>
    <t>Gross Profit Margin(%)</t>
  </si>
  <si>
    <t>EBIDTA Margin(%)</t>
  </si>
  <si>
    <t>EBIT Margin()</t>
  </si>
  <si>
    <t>EBIT Margin(%)</t>
  </si>
  <si>
    <t>Net Profit Margin (%)</t>
  </si>
  <si>
    <t>Earnig Per Share (In rs)</t>
  </si>
  <si>
    <t>dived pay ratio</t>
  </si>
  <si>
    <t>divedend gorwth rate</t>
  </si>
  <si>
    <t>Eps Growth Margin Y-o-Y</t>
  </si>
  <si>
    <t>Divident Growth Margin Y-o-Y</t>
  </si>
  <si>
    <t>Market Return Nifty 50</t>
  </si>
  <si>
    <t>Share Price - 5Y</t>
  </si>
  <si>
    <t>market captialzation</t>
  </si>
  <si>
    <t>debt</t>
  </si>
  <si>
    <t xml:space="preserve">cash </t>
  </si>
  <si>
    <t>ev</t>
  </si>
  <si>
    <t>ev/Ebidta</t>
  </si>
  <si>
    <t>ev/sales</t>
  </si>
  <si>
    <t>P/b</t>
  </si>
  <si>
    <t>p/b</t>
  </si>
  <si>
    <t>Key Financial Ratio</t>
  </si>
  <si>
    <t>Price to Earnings</t>
  </si>
  <si>
    <t>EV/Sales</t>
  </si>
  <si>
    <t>Price to Book</t>
  </si>
  <si>
    <t>Retrun on Capital(%)</t>
  </si>
  <si>
    <t>Retrun on Equity(%)</t>
  </si>
  <si>
    <t>Shareholder's name</t>
  </si>
  <si>
    <t>Shareholding (%)</t>
  </si>
  <si>
    <t>THE SIMRAN SIDDHARTHA TARA BENEFIT TRUST (Name of trustees are mentioned in Note-4)</t>
  </si>
  <si>
    <t>Sbi Nifty 50 Etf</t>
  </si>
  <si>
    <t>Hdfc Trustee Company Limited-Hdfc Flexi Cap Fund</t>
  </si>
  <si>
    <t>THE BRINDA LAL TRUST (Mrs Anita Lal Mr. Vikram Lal &amp; Mr. Ravi Prakash)</t>
  </si>
  <si>
    <t>New World Fund Inc</t>
  </si>
  <si>
    <t>Uti Nifty 50 Etf</t>
  </si>
  <si>
    <t>Government Of Singapore</t>
  </si>
  <si>
    <t>Simran Lal</t>
  </si>
  <si>
    <t>TARA LAL</t>
  </si>
  <si>
    <t>Nps Trust- A/C Sbi Pension Fund Scheme - State Govt</t>
  </si>
  <si>
    <t>Top 10 Share Holders</t>
  </si>
  <si>
    <t>Market value(in Cr)</t>
  </si>
  <si>
    <t>No of Shares (in Cr)</t>
  </si>
  <si>
    <t>Government</t>
  </si>
  <si>
    <t>Public</t>
  </si>
  <si>
    <t>Promoters</t>
  </si>
  <si>
    <t>FIIs</t>
  </si>
  <si>
    <t>DIIs</t>
  </si>
  <si>
    <t>Share Price as 18-02-2026</t>
  </si>
  <si>
    <t>Number of Shares o/s</t>
  </si>
  <si>
    <t>Market Captialziation</t>
  </si>
  <si>
    <t>Less: Cash &amp; Equlivant</t>
  </si>
  <si>
    <t>Add:Total Debt</t>
  </si>
  <si>
    <t>Entrpise Value</t>
  </si>
  <si>
    <t>1. Mr. Siddhartha Lal Executive Chairman (from February 13, 2025)</t>
  </si>
  <si>
    <t>Managing Director (upto February 12, 2025)</t>
  </si>
  <si>
    <t>358.4 5.3</t>
  </si>
  <si>
    <t>2. Mr. S Sandilya Chairman - Non-Executive Independent Director (upto</t>
  </si>
  <si>
    <t>February 12, 2025)</t>
  </si>
  <si>
    <t>9.1 N.A.**</t>
  </si>
  <si>
    <t>3. Mr. Govindarajan</t>
  </si>
  <si>
    <t>Balakrishnan</t>
  </si>
  <si>
    <t>Managing Director (from February 13, 2025)</t>
  </si>
  <si>
    <t>Whole Time Director (upto February 12, 2025)</t>
  </si>
  <si>
    <t>211.8 20.6#</t>
  </si>
  <si>
    <r>
      <t xml:space="preserve">Tax Rate </t>
    </r>
    <r>
      <rPr>
        <b/>
        <vertAlign val="superscript"/>
        <sz val="12"/>
        <color theme="0"/>
        <rFont val="Calibri"/>
        <family val="2"/>
        <scheme val="minor"/>
      </rPr>
      <t>1</t>
    </r>
  </si>
  <si>
    <t>Valoume</t>
  </si>
  <si>
    <t>Volume - 5Y</t>
  </si>
  <si>
    <t xml:space="preserve">Share Holding Pattern </t>
  </si>
  <si>
    <t>Mangerial Remuneration</t>
  </si>
  <si>
    <t>Mr. Siddhartha Lal</t>
  </si>
  <si>
    <t>Mr. S Sandilya</t>
  </si>
  <si>
    <t>Mr. Govindarajan Balakrishnan</t>
  </si>
  <si>
    <t>Mr. Atul Sharma</t>
  </si>
  <si>
    <t>Ms. Vidhya Srinivasan</t>
  </si>
  <si>
    <t>Remuneration</t>
  </si>
  <si>
    <t>Designation</t>
  </si>
  <si>
    <t>x of Median Salary</t>
  </si>
  <si>
    <t>CMD</t>
  </si>
  <si>
    <t>CNID</t>
  </si>
  <si>
    <t>MD</t>
  </si>
  <si>
    <t>CS</t>
  </si>
  <si>
    <t>CFO</t>
  </si>
  <si>
    <t>Eicher Motors Ltd Hits New 52-Week High of Rs.8140 on 19 Feb 2026</t>
  </si>
  <si>
    <t>Recent updates</t>
  </si>
  <si>
    <t>Eicher Motors Q3 earnings: Net profit rises 21% to ?1,421 crore, board approves capacity expansion for Royal Enfield</t>
  </si>
  <si>
    <t>Eicher Motors Q3 Results: Cons PAT jumps 21% YoY to Rs 1,420 crore, revenue surges 23%</t>
  </si>
  <si>
    <t>Top gainers and losers on February 11: Eicher Motors rise 6.45%, Apollo Hospitals, Max Healthcare gain over 3%; check full list</t>
  </si>
  <si>
    <t>Souces</t>
  </si>
  <si>
    <t>Screner</t>
  </si>
  <si>
    <t>yaho finnaces</t>
  </si>
  <si>
    <t>Investpedia</t>
  </si>
  <si>
    <t>Euitymaster</t>
  </si>
  <si>
    <t>Company annual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</si>
</sst>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[$-409]mmm\-yy;@"/>
    <numFmt numFmtId="167" formatCode="[$₹-4009]\ #,##0.0;\([$₹-4009]#,##0.0\)"/>
    <numFmt numFmtId="168" formatCode="#,##0.0"/>
    <numFmt numFmtId="169" formatCode="mmm\-yy&quot;A&quot;"/>
    <numFmt numFmtId="170" formatCode="mmm\-yy&quot;F&quot;"/>
    <numFmt numFmtId="171" formatCode="0.00000"/>
    <numFmt numFmtId="172" formatCode="#,##0.0;\(#,##0.0\);\-"/>
    <numFmt numFmtId="173" formatCode="mmm\-yy\'\A\'"/>
    <numFmt numFmtId="174" formatCode="mmm\-yy&quot;E&quot;"/>
    <numFmt numFmtId="175" formatCode="0.00&quot;X&quot;"/>
    <numFmt numFmtId="176" formatCode="mm\-yyyy"/>
    <numFmt numFmtId="177" formatCode="mmmm\-yyyy"/>
    <numFmt numFmtId="178" formatCode="0.0\x"/>
    <numFmt numFmtId="179" formatCode="0.00&quot;x&quot;"/>
    <numFmt numFmtId="180" formatCode="#,##0.0;\(#,##0.0\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3333FF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i/>
      <u/>
      <sz val="11"/>
      <color theme="0" tint="-0.14999847407452621"/>
      <name val="Calibri"/>
      <family val="2"/>
      <scheme val="minor"/>
    </font>
    <font>
      <i/>
      <sz val="9"/>
      <color theme="1"/>
      <name val="Calibri"/>
      <family val="2"/>
    </font>
    <font>
      <sz val="9"/>
      <color rgb="FF22222F"/>
      <name val="Arial"/>
      <family val="2"/>
    </font>
    <font>
      <b/>
      <sz val="11"/>
      <color theme="7" tint="-0.249977111117893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7"/>
      <color theme="0"/>
      <name val="Arial"/>
      <family val="2"/>
    </font>
    <font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vertAlign val="superscript"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12"/>
      <color theme="5" tint="0.39997558519241921"/>
      <name val="Calibri"/>
      <family val="2"/>
      <scheme val="minor"/>
    </font>
    <font>
      <sz val="10"/>
      <name val="Arial"/>
      <family val="2"/>
    </font>
    <font>
      <u/>
      <sz val="9"/>
      <name val="Calibri"/>
      <family val="2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/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theme="0"/>
      </top>
      <bottom style="thin">
        <color rgb="FFFF0000"/>
      </bottom>
      <diagonal/>
    </border>
  </borders>
  <cellStyleXfs count="7">
    <xf numFmtId="0" fontId="0" fillId="0" borderId="0"/>
    <xf numFmtId="165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9" fontId="4" fillId="0" borderId="0" applyFont="0" applyFill="0" applyBorder="0" applyAlignment="0" applyProtection="0"/>
  </cellStyleXfs>
  <cellXfs count="399">
    <xf numFmtId="0" fontId="0" fillId="0" borderId="0" xfId="0"/>
    <xf numFmtId="165" fontId="2" fillId="0" borderId="0" xfId="1" applyFont="1" applyBorder="1"/>
    <xf numFmtId="0" fontId="2" fillId="0" borderId="0" xfId="0" applyFont="1"/>
    <xf numFmtId="0" fontId="7" fillId="0" borderId="0" xfId="0" applyFont="1"/>
    <xf numFmtId="165" fontId="0" fillId="0" borderId="0" xfId="1" applyFont="1" applyBorder="1"/>
    <xf numFmtId="10" fontId="0" fillId="0" borderId="0" xfId="0" applyNumberFormat="1"/>
    <xf numFmtId="165" fontId="4" fillId="0" borderId="0" xfId="1" applyFont="1" applyBorder="1"/>
    <xf numFmtId="9" fontId="2" fillId="0" borderId="0" xfId="6" applyFont="1" applyBorder="1"/>
    <xf numFmtId="0" fontId="3" fillId="5" borderId="0" xfId="0" applyFont="1" applyFill="1"/>
    <xf numFmtId="166" fontId="3" fillId="5" borderId="0" xfId="0" applyNumberFormat="1" applyFont="1" applyFill="1" applyAlignment="1">
      <alignment horizontal="center"/>
    </xf>
    <xf numFmtId="165" fontId="0" fillId="0" borderId="0" xfId="1" applyFont="1" applyBorder="1" applyAlignment="1">
      <alignment horizontal="center"/>
    </xf>
    <xf numFmtId="165" fontId="2" fillId="0" borderId="0" xfId="1" applyFont="1" applyBorder="1" applyAlignment="1">
      <alignment horizontal="center"/>
    </xf>
    <xf numFmtId="166" fontId="3" fillId="5" borderId="0" xfId="1" applyNumberFormat="1" applyFont="1" applyFill="1" applyBorder="1"/>
    <xf numFmtId="166" fontId="8" fillId="0" borderId="0" xfId="1" applyNumberFormat="1" applyFont="1" applyFill="1" applyBorder="1"/>
    <xf numFmtId="164" fontId="0" fillId="0" borderId="0" xfId="1" applyNumberFormat="1" applyFont="1" applyBorder="1"/>
    <xf numFmtId="167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14" fontId="0" fillId="0" borderId="0" xfId="0" applyNumberFormat="1"/>
    <xf numFmtId="2" fontId="0" fillId="0" borderId="0" xfId="0" applyNumberFormat="1"/>
    <xf numFmtId="0" fontId="0" fillId="0" borderId="1" xfId="0" applyBorder="1"/>
    <xf numFmtId="0" fontId="12" fillId="0" borderId="2" xfId="0" applyFont="1" applyBorder="1" applyAlignment="1">
      <alignment horizontal="center"/>
    </xf>
    <xf numFmtId="0" fontId="0" fillId="0" borderId="0" xfId="0" applyAlignment="1">
      <alignment horizontal="right"/>
    </xf>
    <xf numFmtId="165" fontId="0" fillId="0" borderId="0" xfId="1" applyFont="1" applyFill="1" applyBorder="1"/>
    <xf numFmtId="166" fontId="3" fillId="0" borderId="0" xfId="1" applyNumberFormat="1" applyFont="1" applyFill="1" applyBorder="1"/>
    <xf numFmtId="166" fontId="3" fillId="0" borderId="0" xfId="0" applyNumberFormat="1" applyFont="1" applyAlignment="1">
      <alignment horizontal="center"/>
    </xf>
    <xf numFmtId="165" fontId="4" fillId="0" borderId="0" xfId="1" applyFont="1" applyFill="1" applyBorder="1"/>
    <xf numFmtId="172" fontId="0" fillId="0" borderId="0" xfId="0" applyNumberFormat="1" applyAlignment="1">
      <alignment wrapText="1"/>
    </xf>
    <xf numFmtId="172" fontId="0" fillId="0" borderId="0" xfId="0" applyNumberFormat="1"/>
    <xf numFmtId="0" fontId="21" fillId="0" borderId="0" xfId="0" applyFont="1"/>
    <xf numFmtId="10" fontId="0" fillId="0" borderId="0" xfId="6" applyNumberFormat="1" applyFont="1"/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horizontal="center"/>
    </xf>
    <xf numFmtId="165" fontId="22" fillId="0" borderId="0" xfId="1" applyFont="1" applyFill="1" applyBorder="1"/>
    <xf numFmtId="165" fontId="23" fillId="0" borderId="0" xfId="1" applyFont="1" applyFill="1" applyBorder="1"/>
    <xf numFmtId="9" fontId="23" fillId="0" borderId="0" xfId="1" applyNumberFormat="1" applyFont="1" applyFill="1" applyBorder="1"/>
    <xf numFmtId="165" fontId="22" fillId="0" borderId="0" xfId="3" applyNumberFormat="1" applyFont="1" applyFill="1" applyBorder="1"/>
    <xf numFmtId="165" fontId="22" fillId="0" borderId="0" xfId="4" applyNumberFormat="1" applyFont="1" applyFill="1" applyBorder="1"/>
    <xf numFmtId="10" fontId="23" fillId="0" borderId="0" xfId="0" applyNumberFormat="1" applyFont="1"/>
    <xf numFmtId="10" fontId="22" fillId="0" borderId="0" xfId="0" applyNumberFormat="1" applyFont="1"/>
    <xf numFmtId="10" fontId="0" fillId="0" borderId="0" xfId="6" applyNumberFormat="1" applyFont="1" applyBorder="1" applyAlignment="1">
      <alignment horizontal="right"/>
    </xf>
    <xf numFmtId="167" fontId="6" fillId="0" borderId="0" xfId="0" applyNumberFormat="1" applyFont="1"/>
    <xf numFmtId="0" fontId="0" fillId="0" borderId="3" xfId="0" applyBorder="1"/>
    <xf numFmtId="0" fontId="0" fillId="9" borderId="0" xfId="0" applyFill="1"/>
    <xf numFmtId="0" fontId="3" fillId="0" borderId="0" xfId="0" applyFont="1" applyAlignment="1">
      <alignment horizontal="center" vertical="top"/>
    </xf>
    <xf numFmtId="9" fontId="0" fillId="0" borderId="0" xfId="6" applyFont="1" applyBorder="1"/>
    <xf numFmtId="0" fontId="0" fillId="10" borderId="0" xfId="0" applyFill="1"/>
    <xf numFmtId="43" fontId="0" fillId="0" borderId="0" xfId="0" applyNumberFormat="1"/>
    <xf numFmtId="0" fontId="3" fillId="11" borderId="0" xfId="0" applyFont="1" applyFill="1"/>
    <xf numFmtId="0" fontId="0" fillId="11" borderId="0" xfId="0" applyFill="1"/>
    <xf numFmtId="17" fontId="6" fillId="11" borderId="0" xfId="0" applyNumberFormat="1" applyFont="1" applyFill="1"/>
    <xf numFmtId="0" fontId="0" fillId="0" borderId="4" xfId="0" applyBorder="1"/>
    <xf numFmtId="172" fontId="0" fillId="0" borderId="4" xfId="0" applyNumberFormat="1" applyBorder="1"/>
    <xf numFmtId="17" fontId="29" fillId="11" borderId="0" xfId="0" applyNumberFormat="1" applyFont="1" applyFill="1"/>
    <xf numFmtId="172" fontId="29" fillId="11" borderId="0" xfId="0" applyNumberFormat="1" applyFont="1" applyFill="1"/>
    <xf numFmtId="10" fontId="0" fillId="0" borderId="7" xfId="0" applyNumberFormat="1" applyBorder="1"/>
    <xf numFmtId="0" fontId="0" fillId="0" borderId="7" xfId="0" applyBorder="1"/>
    <xf numFmtId="167" fontId="0" fillId="0" borderId="7" xfId="0" applyNumberFormat="1" applyBorder="1"/>
    <xf numFmtId="0" fontId="0" fillId="0" borderId="6" xfId="0" applyBorder="1"/>
    <xf numFmtId="10" fontId="0" fillId="0" borderId="6" xfId="0" applyNumberFormat="1" applyBorder="1"/>
    <xf numFmtId="0" fontId="0" fillId="0" borderId="6" xfId="0" applyBorder="1" applyAlignment="1">
      <alignment horizontal="right"/>
    </xf>
    <xf numFmtId="0" fontId="2" fillId="8" borderId="6" xfId="0" applyFont="1" applyFill="1" applyBorder="1"/>
    <xf numFmtId="0" fontId="0" fillId="0" borderId="6" xfId="0" applyBorder="1" applyAlignment="1">
      <alignment horizontal="left"/>
    </xf>
    <xf numFmtId="9" fontId="0" fillId="0" borderId="6" xfId="0" applyNumberFormat="1" applyBorder="1"/>
    <xf numFmtId="172" fontId="0" fillId="0" borderId="6" xfId="0" applyNumberFormat="1" applyBorder="1"/>
    <xf numFmtId="172" fontId="2" fillId="0" borderId="6" xfId="0" applyNumberFormat="1" applyFont="1" applyBorder="1"/>
    <xf numFmtId="15" fontId="0" fillId="0" borderId="6" xfId="0" applyNumberFormat="1" applyBorder="1" applyAlignment="1">
      <alignment horizontal="left"/>
    </xf>
    <xf numFmtId="168" fontId="0" fillId="0" borderId="6" xfId="0" applyNumberFormat="1" applyBorder="1"/>
    <xf numFmtId="169" fontId="0" fillId="0" borderId="6" xfId="0" applyNumberFormat="1" applyBorder="1" applyAlignment="1">
      <alignment horizontal="left"/>
    </xf>
    <xf numFmtId="168" fontId="11" fillId="0" borderId="6" xfId="0" applyNumberFormat="1" applyFont="1" applyBorder="1" applyAlignment="1">
      <alignment horizontal="right"/>
    </xf>
    <xf numFmtId="10" fontId="0" fillId="0" borderId="6" xfId="0" applyNumberFormat="1" applyBorder="1" applyAlignment="1">
      <alignment horizontal="right"/>
    </xf>
    <xf numFmtId="175" fontId="0" fillId="0" borderId="6" xfId="6" applyNumberFormat="1" applyFont="1" applyBorder="1"/>
    <xf numFmtId="10" fontId="9" fillId="0" borderId="6" xfId="0" applyNumberFormat="1" applyFont="1" applyBorder="1"/>
    <xf numFmtId="10" fontId="9" fillId="0" borderId="6" xfId="0" applyNumberFormat="1" applyFont="1" applyBorder="1" applyAlignment="1">
      <alignment horizontal="right"/>
    </xf>
    <xf numFmtId="10" fontId="0" fillId="0" borderId="6" xfId="6" applyNumberFormat="1" applyFont="1" applyBorder="1" applyAlignment="1">
      <alignment horizontal="right"/>
    </xf>
    <xf numFmtId="2" fontId="0" fillId="0" borderId="6" xfId="0" applyNumberFormat="1" applyBorder="1"/>
    <xf numFmtId="0" fontId="0" fillId="8" borderId="6" xfId="0" applyFill="1" applyBorder="1"/>
    <xf numFmtId="0" fontId="16" fillId="0" borderId="6" xfId="0" applyFont="1" applyBorder="1"/>
    <xf numFmtId="14" fontId="0" fillId="0" borderId="6" xfId="0" applyNumberFormat="1" applyBorder="1"/>
    <xf numFmtId="4" fontId="0" fillId="0" borderId="6" xfId="0" applyNumberFormat="1" applyBorder="1"/>
    <xf numFmtId="167" fontId="0" fillId="0" borderId="6" xfId="0" applyNumberFormat="1" applyBorder="1"/>
    <xf numFmtId="2" fontId="0" fillId="0" borderId="6" xfId="0" applyNumberFormat="1" applyBorder="1" applyAlignment="1">
      <alignment horizontal="right"/>
    </xf>
    <xf numFmtId="172" fontId="0" fillId="0" borderId="7" xfId="0" applyNumberFormat="1" applyBorder="1"/>
    <xf numFmtId="0" fontId="1" fillId="0" borderId="6" xfId="0" applyFont="1" applyBorder="1"/>
    <xf numFmtId="1" fontId="0" fillId="0" borderId="6" xfId="0" applyNumberFormat="1" applyBorder="1"/>
    <xf numFmtId="170" fontId="0" fillId="8" borderId="6" xfId="0" applyNumberFormat="1" applyFill="1" applyBorder="1" applyAlignment="1">
      <alignment horizontal="left"/>
    </xf>
    <xf numFmtId="168" fontId="0" fillId="8" borderId="6" xfId="0" applyNumberFormat="1" applyFill="1" applyBorder="1" applyAlignment="1">
      <alignment horizontal="right"/>
    </xf>
    <xf numFmtId="10" fontId="0" fillId="8" borderId="6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0" fontId="0" fillId="0" borderId="7" xfId="0" applyBorder="1" applyAlignment="1">
      <alignment horizontal="left"/>
    </xf>
    <xf numFmtId="4" fontId="0" fillId="0" borderId="0" xfId="0" applyNumberFormat="1"/>
    <xf numFmtId="0" fontId="2" fillId="0" borderId="6" xfId="0" applyFont="1" applyBorder="1" applyAlignment="1">
      <alignment horizontal="left"/>
    </xf>
    <xf numFmtId="0" fontId="34" fillId="11" borderId="6" xfId="0" applyFont="1" applyFill="1" applyBorder="1" applyAlignment="1">
      <alignment horizontal="right"/>
    </xf>
    <xf numFmtId="0" fontId="29" fillId="11" borderId="6" xfId="0" applyFont="1" applyFill="1" applyBorder="1" applyAlignment="1">
      <alignment horizontal="left"/>
    </xf>
    <xf numFmtId="0" fontId="29" fillId="11" borderId="6" xfId="0" applyFont="1" applyFill="1" applyBorder="1" applyAlignment="1">
      <alignment horizontal="right" wrapText="1"/>
    </xf>
    <xf numFmtId="0" fontId="29" fillId="11" borderId="6" xfId="0" applyFont="1" applyFill="1" applyBorder="1" applyAlignment="1">
      <alignment horizontal="right"/>
    </xf>
    <xf numFmtId="172" fontId="0" fillId="0" borderId="6" xfId="0" applyNumberFormat="1" applyBorder="1" applyAlignment="1">
      <alignment horizontal="right"/>
    </xf>
    <xf numFmtId="0" fontId="0" fillId="8" borderId="6" xfId="0" applyFill="1" applyBorder="1" applyAlignment="1">
      <alignment horizontal="left"/>
    </xf>
    <xf numFmtId="172" fontId="0" fillId="8" borderId="6" xfId="0" applyNumberFormat="1" applyFill="1" applyBorder="1" applyAlignment="1">
      <alignment horizontal="right"/>
    </xf>
    <xf numFmtId="10" fontId="15" fillId="8" borderId="6" xfId="0" applyNumberFormat="1" applyFont="1" applyFill="1" applyBorder="1"/>
    <xf numFmtId="10" fontId="8" fillId="0" borderId="6" xfId="0" applyNumberFormat="1" applyFont="1" applyBorder="1"/>
    <xf numFmtId="0" fontId="15" fillId="0" borderId="6" xfId="0" applyFont="1" applyBorder="1"/>
    <xf numFmtId="0" fontId="12" fillId="0" borderId="6" xfId="0" applyFont="1" applyBorder="1"/>
    <xf numFmtId="0" fontId="30" fillId="11" borderId="6" xfId="0" applyFont="1" applyFill="1" applyBorder="1"/>
    <xf numFmtId="0" fontId="29" fillId="11" borderId="6" xfId="0" applyFont="1" applyFill="1" applyBorder="1"/>
    <xf numFmtId="0" fontId="15" fillId="0" borderId="6" xfId="0" applyFont="1" applyBorder="1" applyAlignment="1">
      <alignment horizontal="left"/>
    </xf>
    <xf numFmtId="0" fontId="15" fillId="0" borderId="6" xfId="0" applyFont="1" applyBorder="1" applyAlignment="1">
      <alignment horizontal="right"/>
    </xf>
    <xf numFmtId="10" fontId="15" fillId="0" borderId="6" xfId="0" applyNumberFormat="1" applyFont="1" applyBorder="1" applyAlignment="1">
      <alignment horizontal="right"/>
    </xf>
    <xf numFmtId="2" fontId="15" fillId="0" borderId="6" xfId="0" applyNumberFormat="1" applyFont="1" applyBorder="1" applyAlignment="1">
      <alignment horizontal="right"/>
    </xf>
    <xf numFmtId="0" fontId="2" fillId="0" borderId="6" xfId="0" applyFont="1" applyBorder="1"/>
    <xf numFmtId="10" fontId="0" fillId="0" borderId="6" xfId="6" applyNumberFormat="1" applyFont="1" applyBorder="1"/>
    <xf numFmtId="167" fontId="2" fillId="0" borderId="6" xfId="0" applyNumberFormat="1" applyFont="1" applyBorder="1"/>
    <xf numFmtId="0" fontId="3" fillId="11" borderId="6" xfId="0" applyFont="1" applyFill="1" applyBorder="1"/>
    <xf numFmtId="17" fontId="6" fillId="11" borderId="6" xfId="0" applyNumberFormat="1" applyFont="1" applyFill="1" applyBorder="1"/>
    <xf numFmtId="179" fontId="0" fillId="0" borderId="6" xfId="0" applyNumberFormat="1" applyBorder="1"/>
    <xf numFmtId="10" fontId="2" fillId="0" borderId="6" xfId="0" applyNumberFormat="1" applyFont="1" applyBorder="1"/>
    <xf numFmtId="3" fontId="0" fillId="0" borderId="6" xfId="0" applyNumberFormat="1" applyBorder="1"/>
    <xf numFmtId="2" fontId="2" fillId="0" borderId="6" xfId="6" applyNumberFormat="1" applyFont="1" applyBorder="1"/>
    <xf numFmtId="2" fontId="0" fillId="0" borderId="6" xfId="6" applyNumberFormat="1" applyFont="1" applyBorder="1"/>
    <xf numFmtId="2" fontId="6" fillId="0" borderId="6" xfId="0" applyNumberFormat="1" applyFont="1" applyBorder="1"/>
    <xf numFmtId="0" fontId="29" fillId="11" borderId="6" xfId="0" applyFont="1" applyFill="1" applyBorder="1" applyAlignment="1">
      <alignment horizontal="left" indent="1"/>
    </xf>
    <xf numFmtId="0" fontId="0" fillId="11" borderId="6" xfId="0" applyFill="1" applyBorder="1"/>
    <xf numFmtId="0" fontId="0" fillId="0" borderId="9" xfId="0" applyBorder="1"/>
    <xf numFmtId="0" fontId="0" fillId="0" borderId="9" xfId="0" applyBorder="1" applyAlignment="1">
      <alignment horizontal="left"/>
    </xf>
    <xf numFmtId="172" fontId="0" fillId="0" borderId="9" xfId="0" applyNumberFormat="1" applyBorder="1"/>
    <xf numFmtId="0" fontId="6" fillId="0" borderId="9" xfId="0" applyFont="1" applyBorder="1"/>
    <xf numFmtId="167" fontId="0" fillId="0" borderId="9" xfId="0" applyNumberFormat="1" applyBorder="1"/>
    <xf numFmtId="0" fontId="0" fillId="0" borderId="9" xfId="0" applyBorder="1" applyAlignment="1">
      <alignment horizontal="right"/>
    </xf>
    <xf numFmtId="0" fontId="0" fillId="0" borderId="3" xfId="0" applyBorder="1" applyAlignment="1">
      <alignment horizontal="left"/>
    </xf>
    <xf numFmtId="172" fontId="0" fillId="0" borderId="3" xfId="0" applyNumberFormat="1" applyBorder="1"/>
    <xf numFmtId="15" fontId="0" fillId="0" borderId="3" xfId="0" applyNumberFormat="1" applyBorder="1" applyAlignment="1">
      <alignment horizontal="left"/>
    </xf>
    <xf numFmtId="168" fontId="0" fillId="0" borderId="3" xfId="0" applyNumberFormat="1" applyBorder="1"/>
    <xf numFmtId="10" fontId="0" fillId="0" borderId="3" xfId="0" applyNumberFormat="1" applyBorder="1"/>
    <xf numFmtId="0" fontId="2" fillId="8" borderId="6" xfId="0" applyFont="1" applyFill="1" applyBorder="1" applyAlignment="1">
      <alignment horizontal="left"/>
    </xf>
    <xf numFmtId="10" fontId="20" fillId="8" borderId="6" xfId="0" applyNumberFormat="1" applyFont="1" applyFill="1" applyBorder="1"/>
    <xf numFmtId="10" fontId="2" fillId="8" borderId="6" xfId="0" applyNumberFormat="1" applyFont="1" applyFill="1" applyBorder="1"/>
    <xf numFmtId="0" fontId="3" fillId="0" borderId="6" xfId="0" applyFont="1" applyBorder="1"/>
    <xf numFmtId="10" fontId="15" fillId="0" borderId="6" xfId="0" applyNumberFormat="1" applyFont="1" applyBorder="1"/>
    <xf numFmtId="0" fontId="0" fillId="0" borderId="6" xfId="0" applyBorder="1" applyAlignment="1">
      <alignment horizontal="center"/>
    </xf>
    <xf numFmtId="0" fontId="32" fillId="11" borderId="6" xfId="0" applyFont="1" applyFill="1" applyBorder="1" applyAlignment="1">
      <alignment horizontal="left"/>
    </xf>
    <xf numFmtId="0" fontId="32" fillId="11" borderId="6" xfId="0" applyFont="1" applyFill="1" applyBorder="1" applyAlignment="1">
      <alignment horizontal="right"/>
    </xf>
    <xf numFmtId="167" fontId="0" fillId="0" borderId="6" xfId="0" applyNumberFormat="1" applyBorder="1" applyAlignment="1">
      <alignment wrapText="1"/>
    </xf>
    <xf numFmtId="17" fontId="3" fillId="11" borderId="6" xfId="0" applyNumberFormat="1" applyFont="1" applyFill="1" applyBorder="1"/>
    <xf numFmtId="17" fontId="3" fillId="0" borderId="6" xfId="0" applyNumberFormat="1" applyFont="1" applyBorder="1"/>
    <xf numFmtId="17" fontId="3" fillId="0" borderId="6" xfId="0" applyNumberFormat="1" applyFont="1" applyBorder="1" applyAlignment="1">
      <alignment horizontal="center" wrapText="1"/>
    </xf>
    <xf numFmtId="17" fontId="29" fillId="11" borderId="6" xfId="0" applyNumberFormat="1" applyFont="1" applyFill="1" applyBorder="1"/>
    <xf numFmtId="167" fontId="0" fillId="12" borderId="6" xfId="0" applyNumberFormat="1" applyFill="1" applyBorder="1"/>
    <xf numFmtId="15" fontId="0" fillId="0" borderId="0" xfId="0" applyNumberFormat="1" applyAlignment="1">
      <alignment horizontal="left"/>
    </xf>
    <xf numFmtId="168" fontId="0" fillId="0" borderId="0" xfId="0" applyNumberFormat="1"/>
    <xf numFmtId="0" fontId="26" fillId="0" borderId="9" xfId="0" applyFont="1" applyBorder="1"/>
    <xf numFmtId="0" fontId="0" fillId="0" borderId="8" xfId="0" applyBorder="1"/>
    <xf numFmtId="172" fontId="0" fillId="0" borderId="8" xfId="0" applyNumberFormat="1" applyBorder="1"/>
    <xf numFmtId="10" fontId="0" fillId="0" borderId="8" xfId="0" applyNumberFormat="1" applyBorder="1"/>
    <xf numFmtId="0" fontId="0" fillId="0" borderId="8" xfId="0" applyBorder="1" applyAlignment="1">
      <alignment horizontal="left"/>
    </xf>
    <xf numFmtId="167" fontId="0" fillId="0" borderId="8" xfId="0" applyNumberFormat="1" applyBorder="1"/>
    <xf numFmtId="15" fontId="0" fillId="0" borderId="7" xfId="0" applyNumberFormat="1" applyBorder="1" applyAlignment="1">
      <alignment horizontal="left"/>
    </xf>
    <xf numFmtId="168" fontId="0" fillId="0" borderId="7" xfId="0" applyNumberFormat="1" applyBorder="1"/>
    <xf numFmtId="0" fontId="29" fillId="11" borderId="3" xfId="0" applyFont="1" applyFill="1" applyBorder="1"/>
    <xf numFmtId="0" fontId="0" fillId="0" borderId="7" xfId="0" applyBorder="1" applyAlignment="1">
      <alignment horizontal="center"/>
    </xf>
    <xf numFmtId="167" fontId="0" fillId="0" borderId="3" xfId="0" applyNumberFormat="1" applyBorder="1"/>
    <xf numFmtId="10" fontId="0" fillId="0" borderId="3" xfId="6" applyNumberFormat="1" applyFont="1" applyBorder="1" applyAlignment="1">
      <alignment horizontal="right"/>
    </xf>
    <xf numFmtId="178" fontId="0" fillId="8" borderId="6" xfId="0" applyNumberFormat="1" applyFill="1" applyBorder="1" applyAlignment="1">
      <alignment horizontal="right"/>
    </xf>
    <xf numFmtId="178" fontId="0" fillId="0" borderId="6" xfId="0" applyNumberFormat="1" applyBorder="1" applyAlignment="1">
      <alignment horizontal="right"/>
    </xf>
    <xf numFmtId="169" fontId="0" fillId="0" borderId="0" xfId="0" applyNumberFormat="1" applyAlignment="1">
      <alignment horizontal="left"/>
    </xf>
    <xf numFmtId="178" fontId="0" fillId="8" borderId="6" xfId="0" applyNumberFormat="1" applyFill="1" applyBorder="1"/>
    <xf numFmtId="178" fontId="2" fillId="8" borderId="6" xfId="0" applyNumberFormat="1" applyFont="1" applyFill="1" applyBorder="1"/>
    <xf numFmtId="175" fontId="0" fillId="0" borderId="6" xfId="6" applyNumberFormat="1" applyFont="1" applyBorder="1" applyAlignment="1">
      <alignment horizontal="right"/>
    </xf>
    <xf numFmtId="15" fontId="0" fillId="0" borderId="8" xfId="0" applyNumberFormat="1" applyBorder="1" applyAlignment="1">
      <alignment horizontal="left"/>
    </xf>
    <xf numFmtId="168" fontId="0" fillId="0" borderId="8" xfId="0" applyNumberFormat="1" applyBorder="1"/>
    <xf numFmtId="167" fontId="2" fillId="0" borderId="8" xfId="0" applyNumberFormat="1" applyFont="1" applyBorder="1"/>
    <xf numFmtId="10" fontId="0" fillId="0" borderId="8" xfId="6" applyNumberFormat="1" applyFont="1" applyBorder="1" applyAlignment="1">
      <alignment horizontal="right"/>
    </xf>
    <xf numFmtId="167" fontId="2" fillId="0" borderId="3" xfId="0" applyNumberFormat="1" applyFont="1" applyBorder="1"/>
    <xf numFmtId="0" fontId="0" fillId="11" borderId="3" xfId="0" applyFill="1" applyBorder="1"/>
    <xf numFmtId="168" fontId="11" fillId="0" borderId="0" xfId="0" applyNumberFormat="1" applyFont="1" applyAlignment="1">
      <alignment horizontal="right"/>
    </xf>
    <xf numFmtId="173" fontId="29" fillId="11" borderId="6" xfId="0" applyNumberFormat="1" applyFont="1" applyFill="1" applyBorder="1"/>
    <xf numFmtId="174" fontId="29" fillId="11" borderId="6" xfId="0" applyNumberFormat="1" applyFont="1" applyFill="1" applyBorder="1"/>
    <xf numFmtId="15" fontId="2" fillId="0" borderId="6" xfId="0" applyNumberFormat="1" applyFont="1" applyBorder="1" applyAlignment="1">
      <alignment horizontal="left"/>
    </xf>
    <xf numFmtId="168" fontId="2" fillId="0" borderId="6" xfId="0" applyNumberFormat="1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15" fontId="2" fillId="0" borderId="6" xfId="0" applyNumberFormat="1" applyFont="1" applyBorder="1" applyAlignment="1">
      <alignment horizontal="right"/>
    </xf>
    <xf numFmtId="167" fontId="29" fillId="11" borderId="6" xfId="0" applyNumberFormat="1" applyFont="1" applyFill="1" applyBorder="1"/>
    <xf numFmtId="17" fontId="29" fillId="11" borderId="6" xfId="0" applyNumberFormat="1" applyFont="1" applyFill="1" applyBorder="1" applyAlignment="1">
      <alignment horizontal="right"/>
    </xf>
    <xf numFmtId="176" fontId="29" fillId="11" borderId="6" xfId="0" applyNumberFormat="1" applyFont="1" applyFill="1" applyBorder="1"/>
    <xf numFmtId="177" fontId="29" fillId="11" borderId="6" xfId="0" applyNumberFormat="1" applyFont="1" applyFill="1" applyBorder="1"/>
    <xf numFmtId="0" fontId="0" fillId="10" borderId="9" xfId="0" applyFill="1" applyBorder="1"/>
    <xf numFmtId="17" fontId="29" fillId="11" borderId="9" xfId="0" applyNumberFormat="1" applyFont="1" applyFill="1" applyBorder="1" applyAlignment="1">
      <alignment horizontal="right"/>
    </xf>
    <xf numFmtId="167" fontId="6" fillId="0" borderId="9" xfId="0" applyNumberFormat="1" applyFont="1" applyBorder="1"/>
    <xf numFmtId="17" fontId="29" fillId="11" borderId="8" xfId="0" applyNumberFormat="1" applyFont="1" applyFill="1" applyBorder="1"/>
    <xf numFmtId="10" fontId="12" fillId="0" borderId="5" xfId="6" applyNumberFormat="1" applyFont="1" applyBorder="1"/>
    <xf numFmtId="0" fontId="26" fillId="0" borderId="8" xfId="0" applyFont="1" applyBorder="1"/>
    <xf numFmtId="2" fontId="0" fillId="0" borderId="7" xfId="6" applyNumberFormat="1" applyFont="1" applyBorder="1"/>
    <xf numFmtId="0" fontId="3" fillId="11" borderId="8" xfId="0" applyFont="1" applyFill="1" applyBorder="1" applyAlignment="1">
      <alignment horizontal="center"/>
    </xf>
    <xf numFmtId="0" fontId="10" fillId="0" borderId="8" xfId="0" applyFont="1" applyBorder="1" applyAlignment="1">
      <alignment horizontal="left"/>
    </xf>
    <xf numFmtId="167" fontId="29" fillId="0" borderId="8" xfId="0" applyNumberFormat="1" applyFont="1" applyBorder="1" applyAlignment="1">
      <alignment horizontal="center"/>
    </xf>
    <xf numFmtId="0" fontId="12" fillId="0" borderId="5" xfId="0" applyFont="1" applyBorder="1"/>
    <xf numFmtId="0" fontId="0" fillId="10" borderId="8" xfId="0" applyFill="1" applyBorder="1"/>
    <xf numFmtId="0" fontId="34" fillId="11" borderId="0" xfId="0" applyFont="1" applyFill="1"/>
    <xf numFmtId="0" fontId="0" fillId="10" borderId="3" xfId="0" applyFill="1" applyBorder="1"/>
    <xf numFmtId="167" fontId="0" fillId="12" borderId="8" xfId="0" applyNumberFormat="1" applyFill="1" applyBorder="1"/>
    <xf numFmtId="0" fontId="1" fillId="8" borderId="7" xfId="0" applyFont="1" applyFill="1" applyBorder="1" applyAlignment="1">
      <alignment vertical="top"/>
    </xf>
    <xf numFmtId="10" fontId="1" fillId="8" borderId="7" xfId="0" applyNumberFormat="1" applyFont="1" applyFill="1" applyBorder="1"/>
    <xf numFmtId="10" fontId="1" fillId="0" borderId="6" xfId="0" applyNumberFormat="1" applyFont="1" applyBorder="1"/>
    <xf numFmtId="175" fontId="0" fillId="0" borderId="3" xfId="6" applyNumberFormat="1" applyFont="1" applyBorder="1" applyAlignment="1">
      <alignment horizontal="right"/>
    </xf>
    <xf numFmtId="0" fontId="8" fillId="0" borderId="6" xfId="0" applyFont="1" applyBorder="1" applyAlignment="1">
      <alignment horizontal="left"/>
    </xf>
    <xf numFmtId="0" fontId="29" fillId="11" borderId="6" xfId="0" applyFont="1" applyFill="1" applyBorder="1" applyAlignment="1">
      <alignment horizontal="left" indent="1"/>
    </xf>
    <xf numFmtId="0" fontId="29" fillId="11" borderId="6" xfId="0" applyFont="1" applyFill="1" applyBorder="1" applyAlignment="1">
      <alignment horizontal="left"/>
    </xf>
    <xf numFmtId="0" fontId="35" fillId="0" borderId="0" xfId="0" applyFont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" fillId="11" borderId="0" xfId="0" applyFont="1" applyFill="1" applyAlignment="1">
      <alignment horizontal="center" vertical="top"/>
    </xf>
    <xf numFmtId="0" fontId="0" fillId="0" borderId="0" xfId="0" applyAlignment="1">
      <alignment horizontal="left" vertical="top" wrapText="1"/>
    </xf>
    <xf numFmtId="17" fontId="3" fillId="11" borderId="6" xfId="0" applyNumberFormat="1" applyFont="1" applyFill="1" applyBorder="1" applyAlignment="1">
      <alignment horizontal="center" wrapText="1"/>
    </xf>
    <xf numFmtId="0" fontId="3" fillId="11" borderId="0" xfId="0" applyFont="1" applyFill="1" applyAlignment="1">
      <alignment horizontal="center"/>
    </xf>
    <xf numFmtId="167" fontId="29" fillId="11" borderId="0" xfId="0" applyNumberFormat="1" applyFont="1" applyFill="1" applyAlignment="1">
      <alignment horizontal="center"/>
    </xf>
    <xf numFmtId="167" fontId="29" fillId="11" borderId="8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horizontal="left" vertical="top" wrapText="1"/>
    </xf>
    <xf numFmtId="167" fontId="27" fillId="0" borderId="9" xfId="0" applyNumberFormat="1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28" fillId="0" borderId="0" xfId="0" applyFont="1" applyAlignment="1">
      <alignment horizontal="left" vertical="top" wrapText="1"/>
    </xf>
    <xf numFmtId="0" fontId="28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0" fillId="0" borderId="9" xfId="0" applyBorder="1" applyAlignment="1">
      <alignment horizontal="left" vertical="top" wrapText="1"/>
    </xf>
    <xf numFmtId="0" fontId="29" fillId="11" borderId="0" xfId="0" applyFont="1" applyFill="1" applyAlignment="1">
      <alignment horizontal="center"/>
    </xf>
    <xf numFmtId="0" fontId="29" fillId="11" borderId="8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26" fillId="0" borderId="0" xfId="0" applyFont="1" applyAlignment="1">
      <alignment horizontal="left" vertical="top" wrapText="1"/>
    </xf>
    <xf numFmtId="0" fontId="26" fillId="0" borderId="9" xfId="0" applyFont="1" applyBorder="1" applyAlignment="1">
      <alignment horizontal="left" vertical="top" wrapText="1"/>
    </xf>
    <xf numFmtId="2" fontId="0" fillId="0" borderId="0" xfId="0" applyNumberFormat="1" applyAlignment="1">
      <alignment horizontal="left" vertical="top" wrapText="1"/>
    </xf>
    <xf numFmtId="172" fontId="0" fillId="0" borderId="0" xfId="0" applyNumberFormat="1" applyAlignment="1">
      <alignment horizontal="center"/>
    </xf>
    <xf numFmtId="172" fontId="0" fillId="0" borderId="0" xfId="0" applyNumberFormat="1" applyAlignment="1">
      <alignment horizontal="left" vertical="top" wrapText="1"/>
    </xf>
    <xf numFmtId="172" fontId="0" fillId="0" borderId="9" xfId="0" applyNumberFormat="1" applyBorder="1" applyAlignment="1">
      <alignment horizontal="left" vertical="top" wrapText="1"/>
    </xf>
    <xf numFmtId="172" fontId="29" fillId="11" borderId="0" xfId="0" applyNumberFormat="1" applyFont="1" applyFill="1" applyAlignment="1">
      <alignment horizontal="center"/>
    </xf>
    <xf numFmtId="172" fontId="29" fillId="11" borderId="8" xfId="0" applyNumberFormat="1" applyFont="1" applyFill="1" applyBorder="1" applyAlignment="1">
      <alignment horizontal="center"/>
    </xf>
    <xf numFmtId="0" fontId="30" fillId="11" borderId="0" xfId="0" applyFont="1" applyFill="1" applyAlignment="1">
      <alignment horizontal="center"/>
    </xf>
    <xf numFmtId="0" fontId="29" fillId="11" borderId="9" xfId="0" applyFont="1" applyFill="1" applyBorder="1" applyAlignment="1">
      <alignment horizontal="center"/>
    </xf>
    <xf numFmtId="165" fontId="5" fillId="0" borderId="0" xfId="2" applyNumberFormat="1" applyBorder="1" applyAlignment="1" applyProtection="1">
      <alignment horizontal="center"/>
    </xf>
    <xf numFmtId="165" fontId="3" fillId="4" borderId="0" xfId="5" applyNumberFormat="1" applyFont="1" applyBorder="1" applyAlignment="1">
      <alignment horizontal="center"/>
    </xf>
    <xf numFmtId="0" fontId="0" fillId="9" borderId="0" xfId="0" applyFill="1" applyAlignment="1">
      <alignment horizontal="left" vertical="top" wrapText="1"/>
    </xf>
    <xf numFmtId="0" fontId="0" fillId="13" borderId="3" xfId="0" applyFill="1" applyBorder="1"/>
    <xf numFmtId="0" fontId="0" fillId="13" borderId="9" xfId="0" applyFill="1" applyBorder="1"/>
    <xf numFmtId="172" fontId="0" fillId="13" borderId="6" xfId="0" applyNumberFormat="1" applyFill="1" applyBorder="1"/>
    <xf numFmtId="10" fontId="0" fillId="13" borderId="6" xfId="0" applyNumberFormat="1" applyFill="1" applyBorder="1"/>
    <xf numFmtId="172" fontId="0" fillId="13" borderId="3" xfId="0" applyNumberFormat="1" applyFill="1" applyBorder="1"/>
    <xf numFmtId="172" fontId="0" fillId="13" borderId="9" xfId="0" applyNumberFormat="1" applyFill="1" applyBorder="1"/>
    <xf numFmtId="172" fontId="0" fillId="13" borderId="8" xfId="0" applyNumberFormat="1" applyFill="1" applyBorder="1"/>
    <xf numFmtId="172" fontId="2" fillId="13" borderId="6" xfId="0" applyNumberFormat="1" applyFont="1" applyFill="1" applyBorder="1"/>
    <xf numFmtId="0" fontId="0" fillId="13" borderId="9" xfId="0" applyFill="1" applyBorder="1" applyAlignment="1">
      <alignment horizontal="left"/>
    </xf>
    <xf numFmtId="167" fontId="0" fillId="13" borderId="6" xfId="0" applyNumberFormat="1" applyFill="1" applyBorder="1"/>
    <xf numFmtId="167" fontId="2" fillId="13" borderId="6" xfId="0" applyNumberFormat="1" applyFont="1" applyFill="1" applyBorder="1"/>
    <xf numFmtId="167" fontId="0" fillId="13" borderId="3" xfId="0" applyNumberFormat="1" applyFill="1" applyBorder="1"/>
    <xf numFmtId="167" fontId="2" fillId="13" borderId="9" xfId="0" applyNumberFormat="1" applyFont="1" applyFill="1" applyBorder="1"/>
    <xf numFmtId="167" fontId="0" fillId="13" borderId="9" xfId="0" applyNumberFormat="1" applyFill="1" applyBorder="1"/>
    <xf numFmtId="167" fontId="0" fillId="13" borderId="8" xfId="0" applyNumberFormat="1" applyFill="1" applyBorder="1"/>
    <xf numFmtId="0" fontId="0" fillId="11" borderId="10" xfId="0" applyFill="1" applyBorder="1"/>
    <xf numFmtId="0" fontId="0" fillId="0" borderId="10" xfId="0" applyBorder="1"/>
    <xf numFmtId="172" fontId="0" fillId="0" borderId="10" xfId="0" applyNumberFormat="1" applyBorder="1"/>
    <xf numFmtId="172" fontId="2" fillId="0" borderId="10" xfId="0" applyNumberFormat="1" applyFont="1" applyBorder="1"/>
    <xf numFmtId="0" fontId="0" fillId="0" borderId="10" xfId="0" applyBorder="1" applyAlignment="1">
      <alignment horizontal="left"/>
    </xf>
    <xf numFmtId="2" fontId="0" fillId="0" borderId="10" xfId="0" applyNumberFormat="1" applyBorder="1"/>
    <xf numFmtId="0" fontId="0" fillId="8" borderId="10" xfId="0" applyFill="1" applyBorder="1" applyAlignment="1">
      <alignment horizontal="left"/>
    </xf>
    <xf numFmtId="170" fontId="0" fillId="8" borderId="10" xfId="0" applyNumberFormat="1" applyFill="1" applyBorder="1" applyAlignment="1">
      <alignment horizontal="left"/>
    </xf>
    <xf numFmtId="168" fontId="0" fillId="8" borderId="10" xfId="0" applyNumberFormat="1" applyFill="1" applyBorder="1" applyAlignment="1">
      <alignment horizontal="right"/>
    </xf>
    <xf numFmtId="10" fontId="0" fillId="8" borderId="10" xfId="0" applyNumberFormat="1" applyFill="1" applyBorder="1" applyAlignment="1">
      <alignment horizontal="right"/>
    </xf>
    <xf numFmtId="167" fontId="2" fillId="0" borderId="10" xfId="0" applyNumberFormat="1" applyFont="1" applyBorder="1"/>
    <xf numFmtId="17" fontId="29" fillId="13" borderId="9" xfId="0" applyNumberFormat="1" applyFont="1" applyFill="1" applyBorder="1"/>
    <xf numFmtId="2" fontId="0" fillId="0" borderId="9" xfId="0" applyNumberFormat="1" applyBorder="1"/>
    <xf numFmtId="2" fontId="0" fillId="13" borderId="9" xfId="0" applyNumberFormat="1" applyFill="1" applyBorder="1"/>
    <xf numFmtId="167" fontId="3" fillId="0" borderId="9" xfId="0" applyNumberFormat="1" applyFont="1" applyBorder="1"/>
    <xf numFmtId="9" fontId="0" fillId="0" borderId="9" xfId="0" applyNumberFormat="1" applyBorder="1"/>
    <xf numFmtId="0" fontId="0" fillId="0" borderId="7" xfId="0" applyBorder="1" applyAlignment="1">
      <alignment horizontal="left" indent="1"/>
    </xf>
    <xf numFmtId="0" fontId="3" fillId="11" borderId="9" xfId="0" applyFont="1" applyFill="1" applyBorder="1"/>
    <xf numFmtId="0" fontId="0" fillId="11" borderId="9" xfId="0" applyFill="1" applyBorder="1"/>
    <xf numFmtId="0" fontId="2" fillId="0" borderId="9" xfId="0" applyFont="1" applyBorder="1"/>
    <xf numFmtId="0" fontId="0" fillId="0" borderId="9" xfId="0" applyBorder="1" applyAlignment="1">
      <alignment horizontal="left" indent="1"/>
    </xf>
    <xf numFmtId="180" fontId="0" fillId="0" borderId="9" xfId="0" applyNumberFormat="1" applyBorder="1"/>
    <xf numFmtId="0" fontId="2" fillId="0" borderId="9" xfId="0" applyFont="1" applyBorder="1" applyAlignment="1">
      <alignment horizontal="left" indent="1"/>
    </xf>
    <xf numFmtId="0" fontId="0" fillId="0" borderId="0" xfId="0" applyBorder="1"/>
    <xf numFmtId="0" fontId="3" fillId="11" borderId="9" xfId="0" applyFont="1" applyFill="1" applyBorder="1" applyAlignment="1">
      <alignment horizontal="center"/>
    </xf>
    <xf numFmtId="167" fontId="6" fillId="0" borderId="3" xfId="0" applyNumberFormat="1" applyFont="1" applyBorder="1"/>
    <xf numFmtId="167" fontId="3" fillId="0" borderId="9" xfId="0" applyNumberFormat="1" applyFont="1" applyBorder="1" applyAlignment="1">
      <alignment horizontal="center"/>
    </xf>
    <xf numFmtId="167" fontId="3" fillId="0" borderId="9" xfId="0" applyNumberFormat="1" applyFont="1" applyBorder="1" applyAlignment="1">
      <alignment horizontal="right"/>
    </xf>
    <xf numFmtId="10" fontId="25" fillId="0" borderId="9" xfId="0" applyNumberFormat="1" applyFont="1" applyBorder="1"/>
    <xf numFmtId="0" fontId="10" fillId="0" borderId="9" xfId="0" applyFont="1" applyBorder="1" applyAlignment="1">
      <alignment horizontal="left"/>
    </xf>
    <xf numFmtId="10" fontId="0" fillId="0" borderId="9" xfId="0" applyNumberFormat="1" applyBorder="1"/>
    <xf numFmtId="168" fontId="0" fillId="0" borderId="9" xfId="0" applyNumberFormat="1" applyBorder="1"/>
    <xf numFmtId="0" fontId="2" fillId="0" borderId="10" xfId="0" applyFont="1" applyBorder="1"/>
    <xf numFmtId="0" fontId="14" fillId="7" borderId="9" xfId="0" applyFont="1" applyFill="1" applyBorder="1" applyAlignment="1">
      <alignment horizontal="right" vertical="center" wrapText="1"/>
    </xf>
    <xf numFmtId="0" fontId="2" fillId="0" borderId="9" xfId="0" applyFont="1" applyBorder="1" applyAlignment="1">
      <alignment horizontal="right"/>
    </xf>
    <xf numFmtId="0" fontId="16" fillId="0" borderId="9" xfId="0" applyFont="1" applyBorder="1" applyAlignment="1">
      <alignment horizontal="left" vertical="center" indent="1"/>
    </xf>
    <xf numFmtId="0" fontId="17" fillId="0" borderId="9" xfId="2" applyFont="1" applyFill="1" applyBorder="1" applyAlignment="1" applyProtection="1">
      <alignment horizontal="left" vertical="center"/>
    </xf>
    <xf numFmtId="0" fontId="16" fillId="0" borderId="9" xfId="0" applyFont="1" applyBorder="1"/>
    <xf numFmtId="0" fontId="16" fillId="0" borderId="9" xfId="0" applyFont="1" applyBorder="1" applyAlignment="1">
      <alignment horizontal="right"/>
    </xf>
    <xf numFmtId="0" fontId="16" fillId="0" borderId="9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right" vertical="center" wrapText="1"/>
    </xf>
    <xf numFmtId="0" fontId="12" fillId="0" borderId="9" xfId="0" applyFont="1" applyBorder="1"/>
    <xf numFmtId="0" fontId="12" fillId="0" borderId="9" xfId="0" applyFont="1" applyBorder="1" applyAlignment="1">
      <alignment horizontal="right"/>
    </xf>
    <xf numFmtId="0" fontId="16" fillId="0" borderId="9" xfId="0" applyFont="1" applyBorder="1" applyAlignment="1">
      <alignment horizontal="left"/>
    </xf>
    <xf numFmtId="0" fontId="3" fillId="0" borderId="9" xfId="0" applyFont="1" applyBorder="1"/>
    <xf numFmtId="10" fontId="6" fillId="0" borderId="9" xfId="0" applyNumberFormat="1" applyFont="1" applyBorder="1"/>
    <xf numFmtId="0" fontId="24" fillId="0" borderId="9" xfId="0" applyFont="1" applyBorder="1"/>
    <xf numFmtId="2" fontId="6" fillId="0" borderId="9" xfId="0" applyNumberFormat="1" applyFont="1" applyBorder="1"/>
    <xf numFmtId="0" fontId="1" fillId="0" borderId="10" xfId="0" applyFont="1" applyBorder="1" applyAlignment="1">
      <alignment vertical="top"/>
    </xf>
    <xf numFmtId="3" fontId="0" fillId="0" borderId="9" xfId="0" applyNumberFormat="1" applyBorder="1"/>
    <xf numFmtId="171" fontId="0" fillId="0" borderId="9" xfId="0" applyNumberFormat="1" applyBorder="1"/>
    <xf numFmtId="0" fontId="12" fillId="0" borderId="9" xfId="0" applyFont="1" applyBorder="1" applyAlignment="1">
      <alignment horizontal="centerContinuous"/>
    </xf>
    <xf numFmtId="0" fontId="12" fillId="0" borderId="9" xfId="0" applyFont="1" applyBorder="1" applyAlignment="1">
      <alignment horizontal="center"/>
    </xf>
    <xf numFmtId="168" fontId="0" fillId="0" borderId="9" xfId="0" applyNumberFormat="1" applyBorder="1" applyAlignment="1">
      <alignment horizontal="right"/>
    </xf>
    <xf numFmtId="15" fontId="0" fillId="0" borderId="9" xfId="0" applyNumberFormat="1" applyBorder="1"/>
    <xf numFmtId="14" fontId="0" fillId="0" borderId="9" xfId="0" applyNumberFormat="1" applyBorder="1"/>
    <xf numFmtId="4" fontId="0" fillId="0" borderId="10" xfId="0" applyNumberFormat="1" applyBorder="1"/>
    <xf numFmtId="14" fontId="0" fillId="0" borderId="10" xfId="0" applyNumberFormat="1" applyBorder="1"/>
    <xf numFmtId="4" fontId="0" fillId="0" borderId="9" xfId="0" applyNumberFormat="1" applyBorder="1"/>
    <xf numFmtId="9" fontId="0" fillId="0" borderId="10" xfId="0" applyNumberFormat="1" applyBorder="1"/>
    <xf numFmtId="4" fontId="0" fillId="6" borderId="7" xfId="0" applyNumberFormat="1" applyFill="1" applyBorder="1"/>
    <xf numFmtId="0" fontId="0" fillId="6" borderId="7" xfId="0" applyFill="1" applyBorder="1"/>
    <xf numFmtId="2" fontId="0" fillId="6" borderId="7" xfId="0" applyNumberFormat="1" applyFill="1" applyBorder="1"/>
    <xf numFmtId="172" fontId="0" fillId="0" borderId="0" xfId="0" applyNumberFormat="1" applyBorder="1"/>
    <xf numFmtId="17" fontId="6" fillId="0" borderId="9" xfId="0" applyNumberFormat="1" applyFont="1" applyBorder="1"/>
    <xf numFmtId="0" fontId="2" fillId="8" borderId="9" xfId="0" applyFont="1" applyFill="1" applyBorder="1"/>
    <xf numFmtId="0" fontId="0" fillId="0" borderId="10" xfId="0" applyBorder="1" applyAlignment="1">
      <alignment horizontal="right"/>
    </xf>
    <xf numFmtId="10" fontId="0" fillId="0" borderId="10" xfId="0" applyNumberFormat="1" applyBorder="1"/>
    <xf numFmtId="0" fontId="2" fillId="0" borderId="10" xfId="0" applyFont="1" applyBorder="1" applyAlignment="1">
      <alignment horizontal="left"/>
    </xf>
    <xf numFmtId="10" fontId="2" fillId="0" borderId="10" xfId="0" applyNumberFormat="1" applyFont="1" applyBorder="1" applyAlignment="1">
      <alignment horizontal="right"/>
    </xf>
    <xf numFmtId="2" fontId="2" fillId="0" borderId="10" xfId="0" applyNumberFormat="1" applyFont="1" applyBorder="1"/>
    <xf numFmtId="167" fontId="0" fillId="13" borderId="0" xfId="0" applyNumberFormat="1" applyFill="1" applyBorder="1"/>
    <xf numFmtId="172" fontId="0" fillId="13" borderId="0" xfId="0" applyNumberFormat="1" applyFill="1" applyBorder="1"/>
    <xf numFmtId="172" fontId="0" fillId="0" borderId="7" xfId="0" applyNumberFormat="1" applyBorder="1" applyAlignment="1">
      <alignment horizontal="right"/>
    </xf>
    <xf numFmtId="172" fontId="0" fillId="0" borderId="0" xfId="0" applyNumberFormat="1" applyBorder="1" applyAlignment="1">
      <alignment horizontal="right"/>
    </xf>
    <xf numFmtId="0" fontId="0" fillId="8" borderId="10" xfId="0" applyFill="1" applyBorder="1"/>
    <xf numFmtId="0" fontId="0" fillId="0" borderId="11" xfId="0" applyBorder="1"/>
    <xf numFmtId="178" fontId="0" fillId="8" borderId="10" xfId="0" applyNumberFormat="1" applyFill="1" applyBorder="1"/>
    <xf numFmtId="0" fontId="29" fillId="11" borderId="7" xfId="0" applyFont="1" applyFill="1" applyBorder="1"/>
    <xf numFmtId="0" fontId="26" fillId="11" borderId="3" xfId="0" applyFont="1" applyFill="1" applyBorder="1"/>
    <xf numFmtId="0" fontId="29" fillId="11" borderId="7" xfId="0" applyFont="1" applyFill="1" applyBorder="1" applyAlignment="1">
      <alignment horizontal="right" wrapText="1"/>
    </xf>
    <xf numFmtId="0" fontId="29" fillId="11" borderId="0" xfId="0" applyFont="1" applyFill="1" applyBorder="1" applyAlignment="1">
      <alignment horizontal="right" wrapText="1"/>
    </xf>
    <xf numFmtId="0" fontId="29" fillId="11" borderId="7" xfId="0" applyFont="1" applyFill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15" fillId="0" borderId="10" xfId="0" applyFont="1" applyBorder="1"/>
    <xf numFmtId="0" fontId="15" fillId="0" borderId="10" xfId="0" applyFont="1" applyBorder="1" applyAlignment="1">
      <alignment horizontal="right"/>
    </xf>
    <xf numFmtId="0" fontId="18" fillId="0" borderId="9" xfId="0" applyFont="1" applyBorder="1"/>
    <xf numFmtId="0" fontId="1" fillId="0" borderId="9" xfId="0" applyFont="1" applyBorder="1"/>
    <xf numFmtId="0" fontId="18" fillId="0" borderId="9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32" fillId="11" borderId="7" xfId="0" applyFont="1" applyFill="1" applyBorder="1"/>
    <xf numFmtId="0" fontId="33" fillId="11" borderId="7" xfId="0" applyFont="1" applyFill="1" applyBorder="1"/>
    <xf numFmtId="172" fontId="2" fillId="0" borderId="7" xfId="0" applyNumberFormat="1" applyFont="1" applyBorder="1"/>
    <xf numFmtId="172" fontId="2" fillId="0" borderId="0" xfId="0" applyNumberFormat="1" applyFont="1" applyBorder="1"/>
    <xf numFmtId="3" fontId="19" fillId="0" borderId="7" xfId="0" applyNumberFormat="1" applyFont="1" applyBorder="1"/>
    <xf numFmtId="2" fontId="2" fillId="0" borderId="10" xfId="6" applyNumberFormat="1" applyFont="1" applyBorder="1"/>
    <xf numFmtId="2" fontId="0" fillId="0" borderId="9" xfId="6" applyNumberFormat="1" applyFont="1" applyBorder="1"/>
    <xf numFmtId="2" fontId="2" fillId="0" borderId="10" xfId="0" applyNumberFormat="1" applyFont="1" applyBorder="1" applyAlignment="1">
      <alignment horizontal="left"/>
    </xf>
    <xf numFmtId="0" fontId="2" fillId="8" borderId="7" xfId="0" applyFont="1" applyFill="1" applyBorder="1" applyAlignment="1">
      <alignment horizontal="left"/>
    </xf>
    <xf numFmtId="10" fontId="20" fillId="8" borderId="7" xfId="0" applyNumberFormat="1" applyFont="1" applyFill="1" applyBorder="1"/>
    <xf numFmtId="0" fontId="29" fillId="11" borderId="0" xfId="0" applyFont="1" applyFill="1" applyBorder="1"/>
    <xf numFmtId="0" fontId="26" fillId="11" borderId="0" xfId="0" applyFont="1" applyFill="1" applyBorder="1"/>
    <xf numFmtId="172" fontId="2" fillId="0" borderId="9" xfId="0" applyNumberFormat="1" applyFont="1" applyBorder="1"/>
    <xf numFmtId="2" fontId="1" fillId="0" borderId="10" xfId="0" applyNumberFormat="1" applyFont="1" applyBorder="1"/>
    <xf numFmtId="0" fontId="1" fillId="0" borderId="10" xfId="0" applyFont="1" applyBorder="1"/>
    <xf numFmtId="0" fontId="1" fillId="0" borderId="7" xfId="0" applyFont="1" applyBorder="1"/>
    <xf numFmtId="10" fontId="1" fillId="0" borderId="7" xfId="0" applyNumberFormat="1" applyFont="1" applyBorder="1"/>
    <xf numFmtId="10" fontId="15" fillId="0" borderId="7" xfId="0" applyNumberFormat="1" applyFont="1" applyBorder="1"/>
    <xf numFmtId="0" fontId="0" fillId="0" borderId="7" xfId="0" applyBorder="1" applyAlignment="1">
      <alignment horizontal="right"/>
    </xf>
    <xf numFmtId="2" fontId="0" fillId="0" borderId="7" xfId="0" applyNumberFormat="1" applyBorder="1"/>
    <xf numFmtId="0" fontId="2" fillId="0" borderId="7" xfId="0" applyFont="1" applyBorder="1"/>
    <xf numFmtId="10" fontId="2" fillId="0" borderId="7" xfId="0" applyNumberFormat="1" applyFont="1" applyBorder="1"/>
    <xf numFmtId="175" fontId="0" fillId="0" borderId="10" xfId="6" applyNumberFormat="1" applyFont="1" applyBorder="1"/>
    <xf numFmtId="175" fontId="0" fillId="0" borderId="0" xfId="6" applyNumberFormat="1" applyFont="1" applyBorder="1"/>
    <xf numFmtId="10" fontId="0" fillId="0" borderId="7" xfId="6" applyNumberFormat="1" applyFont="1" applyBorder="1"/>
    <xf numFmtId="10" fontId="0" fillId="0" borderId="7" xfId="6" applyNumberFormat="1" applyFont="1" applyBorder="1" applyAlignment="1">
      <alignment horizontal="right"/>
    </xf>
    <xf numFmtId="167" fontId="29" fillId="0" borderId="8" xfId="0" applyNumberFormat="1" applyFont="1" applyBorder="1"/>
    <xf numFmtId="175" fontId="0" fillId="0" borderId="10" xfId="6" applyNumberFormat="1" applyFont="1" applyBorder="1" applyAlignment="1">
      <alignment horizontal="right"/>
    </xf>
    <xf numFmtId="175" fontId="0" fillId="0" borderId="8" xfId="6" applyNumberFormat="1" applyFont="1" applyBorder="1" applyAlignment="1">
      <alignment horizontal="right"/>
    </xf>
    <xf numFmtId="1" fontId="0" fillId="0" borderId="10" xfId="0" applyNumberFormat="1" applyBorder="1"/>
    <xf numFmtId="10" fontId="0" fillId="0" borderId="10" xfId="6" applyNumberFormat="1" applyFont="1" applyBorder="1" applyAlignment="1">
      <alignment horizontal="right"/>
    </xf>
    <xf numFmtId="175" fontId="0" fillId="0" borderId="7" xfId="6" applyNumberFormat="1" applyFont="1" applyBorder="1"/>
    <xf numFmtId="175" fontId="0" fillId="0" borderId="7" xfId="6" applyNumberFormat="1" applyFont="1" applyBorder="1" applyAlignment="1">
      <alignment horizontal="right"/>
    </xf>
    <xf numFmtId="0" fontId="2" fillId="12" borderId="6" xfId="0" applyFont="1" applyFill="1" applyBorder="1"/>
    <xf numFmtId="17" fontId="2" fillId="12" borderId="6" xfId="0" applyNumberFormat="1" applyFont="1" applyFill="1" applyBorder="1"/>
    <xf numFmtId="0" fontId="2" fillId="12" borderId="6" xfId="0" applyFont="1" applyFill="1" applyBorder="1" applyAlignment="1">
      <alignment horizontal="left"/>
    </xf>
    <xf numFmtId="17" fontId="2" fillId="12" borderId="6" xfId="0" applyNumberFormat="1" applyFont="1" applyFill="1" applyBorder="1" applyAlignment="1">
      <alignment horizontal="right"/>
    </xf>
    <xf numFmtId="0" fontId="6" fillId="12" borderId="9" xfId="0" applyFont="1" applyFill="1" applyBorder="1"/>
    <xf numFmtId="0" fontId="0" fillId="0" borderId="0" xfId="0" applyFill="1"/>
    <xf numFmtId="0" fontId="29" fillId="0" borderId="0" xfId="0" applyFont="1" applyFill="1" applyAlignment="1">
      <alignment horizontal="center"/>
    </xf>
    <xf numFmtId="0" fontId="29" fillId="0" borderId="0" xfId="0" applyFont="1" applyFill="1" applyBorder="1" applyAlignment="1">
      <alignment horizontal="center"/>
    </xf>
    <xf numFmtId="0" fontId="0" fillId="0" borderId="9" xfId="0" applyFill="1" applyBorder="1"/>
    <xf numFmtId="172" fontId="2" fillId="8" borderId="0" xfId="0" applyNumberFormat="1" applyFont="1" applyFill="1" applyBorder="1"/>
    <xf numFmtId="172" fontId="0" fillId="8" borderId="0" xfId="0" applyNumberFormat="1" applyFill="1" applyBorder="1"/>
    <xf numFmtId="0" fontId="29" fillId="11" borderId="7" xfId="0" applyFont="1" applyFill="1" applyBorder="1" applyAlignment="1">
      <alignment horizontal="left"/>
    </xf>
    <xf numFmtId="0" fontId="36" fillId="0" borderId="6" xfId="2" applyFont="1" applyBorder="1" applyAlignment="1" applyProtection="1">
      <alignment horizontal="left" vertical="top" wrapText="1"/>
    </xf>
    <xf numFmtId="0" fontId="36" fillId="0" borderId="8" xfId="2" applyFont="1" applyBorder="1" applyAlignment="1" applyProtection="1">
      <alignment horizontal="left" vertical="top" wrapText="1"/>
    </xf>
    <xf numFmtId="0" fontId="37" fillId="0" borderId="0" xfId="0" applyFont="1" applyAlignment="1">
      <alignment vertical="top"/>
    </xf>
    <xf numFmtId="0" fontId="37" fillId="10" borderId="0" xfId="0" applyFont="1" applyFill="1" applyAlignment="1">
      <alignment vertical="top"/>
    </xf>
    <xf numFmtId="0" fontId="0" fillId="0" borderId="0" xfId="0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8" xfId="0" applyBorder="1" applyAlignment="1">
      <alignment horizontal="right"/>
    </xf>
    <xf numFmtId="0" fontId="32" fillId="11" borderId="7" xfId="0" applyFont="1" applyFill="1" applyBorder="1" applyAlignment="1">
      <alignment horizontal="left"/>
    </xf>
    <xf numFmtId="0" fontId="32" fillId="11" borderId="7" xfId="0" applyFont="1" applyFill="1" applyBorder="1" applyAlignment="1">
      <alignment horizontal="right"/>
    </xf>
    <xf numFmtId="0" fontId="0" fillId="0" borderId="0" xfId="0" applyBorder="1" applyAlignment="1">
      <alignment horizontal="center"/>
    </xf>
    <xf numFmtId="0" fontId="2" fillId="0" borderId="7" xfId="0" applyFont="1" applyBorder="1" applyAlignment="1">
      <alignment horizontal="left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20">
    <dxf>
      <font>
        <b/>
        <i val="0"/>
        <color theme="0"/>
      </font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theme="2" tint="-0.249977111117893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1" defaultTableStyle="TableStyleMedium9" defaultPivotStyle="PivotStyleLight16">
    <tableStyle name="Invisible" pivot="0" table="0" count="0" xr9:uid="{B361EF96-B8F4-479C-9FB0-D47B1DEC8EF9}"/>
  </tableStyles>
  <colors>
    <mruColors>
      <color rgb="FFFF0066"/>
      <color rgb="FF3333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474726949453898E-2"/>
          <c:y val="2.6217277732884823E-2"/>
          <c:w val="0.87749301498602983"/>
          <c:h val="0.88691748257004865"/>
        </c:manualLayout>
      </c:layout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5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7CCB-4355-AB33-7A8B2D61A4BB}"/>
              </c:ext>
            </c:extLst>
          </c:dPt>
          <c:dPt>
            <c:idx val="120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7CCB-4355-AB33-7A8B2D61A4BB}"/>
              </c:ext>
            </c:extLst>
          </c:dPt>
          <c:cat>
            <c:numRef>
              <c:f>data!$R$2:$R$1523</c:f>
              <c:numCache>
                <c:formatCode>m/d/yyyy</c:formatCode>
                <c:ptCount val="1522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43836</c:v>
                </c:pt>
                <c:pt idx="4">
                  <c:v>43837</c:v>
                </c:pt>
                <c:pt idx="5">
                  <c:v>43838</c:v>
                </c:pt>
                <c:pt idx="6">
                  <c:v>43839</c:v>
                </c:pt>
                <c:pt idx="7">
                  <c:v>43840</c:v>
                </c:pt>
                <c:pt idx="8">
                  <c:v>43843</c:v>
                </c:pt>
                <c:pt idx="9">
                  <c:v>43844</c:v>
                </c:pt>
                <c:pt idx="10">
                  <c:v>43845</c:v>
                </c:pt>
                <c:pt idx="11">
                  <c:v>43846</c:v>
                </c:pt>
                <c:pt idx="12">
                  <c:v>43847</c:v>
                </c:pt>
                <c:pt idx="13">
                  <c:v>43850</c:v>
                </c:pt>
                <c:pt idx="14">
                  <c:v>43851</c:v>
                </c:pt>
                <c:pt idx="15">
                  <c:v>43852</c:v>
                </c:pt>
                <c:pt idx="16">
                  <c:v>43853</c:v>
                </c:pt>
                <c:pt idx="17">
                  <c:v>43854</c:v>
                </c:pt>
                <c:pt idx="18">
                  <c:v>43857</c:v>
                </c:pt>
                <c:pt idx="19">
                  <c:v>43858</c:v>
                </c:pt>
                <c:pt idx="20">
                  <c:v>43859</c:v>
                </c:pt>
                <c:pt idx="21">
                  <c:v>43860</c:v>
                </c:pt>
                <c:pt idx="22">
                  <c:v>43861</c:v>
                </c:pt>
                <c:pt idx="23">
                  <c:v>43862</c:v>
                </c:pt>
                <c:pt idx="24">
                  <c:v>43864</c:v>
                </c:pt>
                <c:pt idx="25">
                  <c:v>43865</c:v>
                </c:pt>
                <c:pt idx="26">
                  <c:v>43866</c:v>
                </c:pt>
                <c:pt idx="27">
                  <c:v>43867</c:v>
                </c:pt>
                <c:pt idx="28">
                  <c:v>43868</c:v>
                </c:pt>
                <c:pt idx="29">
                  <c:v>43871</c:v>
                </c:pt>
                <c:pt idx="30">
                  <c:v>43872</c:v>
                </c:pt>
                <c:pt idx="31">
                  <c:v>43873</c:v>
                </c:pt>
                <c:pt idx="32">
                  <c:v>43874</c:v>
                </c:pt>
                <c:pt idx="33">
                  <c:v>43875</c:v>
                </c:pt>
                <c:pt idx="34">
                  <c:v>43878</c:v>
                </c:pt>
                <c:pt idx="35">
                  <c:v>43879</c:v>
                </c:pt>
                <c:pt idx="36">
                  <c:v>43880</c:v>
                </c:pt>
                <c:pt idx="37">
                  <c:v>43881</c:v>
                </c:pt>
                <c:pt idx="38">
                  <c:v>43885</c:v>
                </c:pt>
                <c:pt idx="39">
                  <c:v>43886</c:v>
                </c:pt>
                <c:pt idx="40">
                  <c:v>43887</c:v>
                </c:pt>
                <c:pt idx="41">
                  <c:v>43888</c:v>
                </c:pt>
                <c:pt idx="42">
                  <c:v>43889</c:v>
                </c:pt>
                <c:pt idx="43">
                  <c:v>43892</c:v>
                </c:pt>
                <c:pt idx="44">
                  <c:v>43893</c:v>
                </c:pt>
                <c:pt idx="45">
                  <c:v>43894</c:v>
                </c:pt>
                <c:pt idx="46">
                  <c:v>43895</c:v>
                </c:pt>
                <c:pt idx="47">
                  <c:v>43896</c:v>
                </c:pt>
                <c:pt idx="48">
                  <c:v>43899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43906</c:v>
                </c:pt>
                <c:pt idx="53">
                  <c:v>43907</c:v>
                </c:pt>
                <c:pt idx="54">
                  <c:v>43908</c:v>
                </c:pt>
                <c:pt idx="55">
                  <c:v>43909</c:v>
                </c:pt>
                <c:pt idx="56">
                  <c:v>43910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43920</c:v>
                </c:pt>
                <c:pt idx="63">
                  <c:v>43921</c:v>
                </c:pt>
                <c:pt idx="64">
                  <c:v>43922</c:v>
                </c:pt>
                <c:pt idx="65">
                  <c:v>43924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43936</c:v>
                </c:pt>
                <c:pt idx="71">
                  <c:v>43937</c:v>
                </c:pt>
                <c:pt idx="72">
                  <c:v>43938</c:v>
                </c:pt>
                <c:pt idx="73">
                  <c:v>43941</c:v>
                </c:pt>
                <c:pt idx="74">
                  <c:v>43942</c:v>
                </c:pt>
                <c:pt idx="75">
                  <c:v>43943</c:v>
                </c:pt>
                <c:pt idx="76">
                  <c:v>43944</c:v>
                </c:pt>
                <c:pt idx="77">
                  <c:v>43945</c:v>
                </c:pt>
                <c:pt idx="78">
                  <c:v>43948</c:v>
                </c:pt>
                <c:pt idx="79">
                  <c:v>43949</c:v>
                </c:pt>
                <c:pt idx="80">
                  <c:v>43950</c:v>
                </c:pt>
                <c:pt idx="81">
                  <c:v>43951</c:v>
                </c:pt>
                <c:pt idx="82">
                  <c:v>43955</c:v>
                </c:pt>
                <c:pt idx="83">
                  <c:v>43956</c:v>
                </c:pt>
                <c:pt idx="84">
                  <c:v>43957</c:v>
                </c:pt>
                <c:pt idx="85">
                  <c:v>43958</c:v>
                </c:pt>
                <c:pt idx="86">
                  <c:v>43959</c:v>
                </c:pt>
                <c:pt idx="87">
                  <c:v>43962</c:v>
                </c:pt>
                <c:pt idx="88">
                  <c:v>43963</c:v>
                </c:pt>
                <c:pt idx="89">
                  <c:v>43964</c:v>
                </c:pt>
                <c:pt idx="90">
                  <c:v>43965</c:v>
                </c:pt>
                <c:pt idx="91">
                  <c:v>43966</c:v>
                </c:pt>
                <c:pt idx="92">
                  <c:v>43969</c:v>
                </c:pt>
                <c:pt idx="93">
                  <c:v>43970</c:v>
                </c:pt>
                <c:pt idx="94">
                  <c:v>43971</c:v>
                </c:pt>
                <c:pt idx="95">
                  <c:v>43972</c:v>
                </c:pt>
                <c:pt idx="96">
                  <c:v>43973</c:v>
                </c:pt>
                <c:pt idx="97">
                  <c:v>43977</c:v>
                </c:pt>
                <c:pt idx="98">
                  <c:v>43978</c:v>
                </c:pt>
                <c:pt idx="99">
                  <c:v>43979</c:v>
                </c:pt>
                <c:pt idx="100">
                  <c:v>43980</c:v>
                </c:pt>
                <c:pt idx="101">
                  <c:v>43983</c:v>
                </c:pt>
                <c:pt idx="102">
                  <c:v>43984</c:v>
                </c:pt>
                <c:pt idx="103">
                  <c:v>43985</c:v>
                </c:pt>
                <c:pt idx="104">
                  <c:v>43986</c:v>
                </c:pt>
                <c:pt idx="105">
                  <c:v>43987</c:v>
                </c:pt>
                <c:pt idx="106">
                  <c:v>43990</c:v>
                </c:pt>
                <c:pt idx="107">
                  <c:v>43991</c:v>
                </c:pt>
                <c:pt idx="108">
                  <c:v>43992</c:v>
                </c:pt>
                <c:pt idx="109">
                  <c:v>43993</c:v>
                </c:pt>
                <c:pt idx="110">
                  <c:v>43994</c:v>
                </c:pt>
                <c:pt idx="111">
                  <c:v>43997</c:v>
                </c:pt>
                <c:pt idx="112">
                  <c:v>43998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44004</c:v>
                </c:pt>
                <c:pt idx="117">
                  <c:v>44005</c:v>
                </c:pt>
                <c:pt idx="118">
                  <c:v>44006</c:v>
                </c:pt>
                <c:pt idx="119">
                  <c:v>44007</c:v>
                </c:pt>
                <c:pt idx="120">
                  <c:v>44008</c:v>
                </c:pt>
                <c:pt idx="121">
                  <c:v>44011</c:v>
                </c:pt>
                <c:pt idx="122">
                  <c:v>44012</c:v>
                </c:pt>
                <c:pt idx="123">
                  <c:v>44013</c:v>
                </c:pt>
                <c:pt idx="124">
                  <c:v>44014</c:v>
                </c:pt>
                <c:pt idx="125">
                  <c:v>44015</c:v>
                </c:pt>
                <c:pt idx="126">
                  <c:v>44018</c:v>
                </c:pt>
                <c:pt idx="127">
                  <c:v>44019</c:v>
                </c:pt>
                <c:pt idx="128">
                  <c:v>44020</c:v>
                </c:pt>
                <c:pt idx="129">
                  <c:v>44021</c:v>
                </c:pt>
                <c:pt idx="130">
                  <c:v>44022</c:v>
                </c:pt>
                <c:pt idx="131">
                  <c:v>44025</c:v>
                </c:pt>
                <c:pt idx="132">
                  <c:v>44026</c:v>
                </c:pt>
                <c:pt idx="133">
                  <c:v>44027</c:v>
                </c:pt>
                <c:pt idx="134">
                  <c:v>44028</c:v>
                </c:pt>
                <c:pt idx="135">
                  <c:v>44029</c:v>
                </c:pt>
                <c:pt idx="136">
                  <c:v>44032</c:v>
                </c:pt>
                <c:pt idx="137">
                  <c:v>44033</c:v>
                </c:pt>
                <c:pt idx="138">
                  <c:v>44034</c:v>
                </c:pt>
                <c:pt idx="139">
                  <c:v>44035</c:v>
                </c:pt>
                <c:pt idx="140">
                  <c:v>44036</c:v>
                </c:pt>
                <c:pt idx="141">
                  <c:v>44039</c:v>
                </c:pt>
                <c:pt idx="142">
                  <c:v>44040</c:v>
                </c:pt>
                <c:pt idx="143">
                  <c:v>44041</c:v>
                </c:pt>
                <c:pt idx="144">
                  <c:v>44042</c:v>
                </c:pt>
                <c:pt idx="145">
                  <c:v>44043</c:v>
                </c:pt>
                <c:pt idx="146">
                  <c:v>44046</c:v>
                </c:pt>
                <c:pt idx="147">
                  <c:v>44047</c:v>
                </c:pt>
                <c:pt idx="148">
                  <c:v>44048</c:v>
                </c:pt>
                <c:pt idx="149">
                  <c:v>44049</c:v>
                </c:pt>
                <c:pt idx="150">
                  <c:v>44050</c:v>
                </c:pt>
                <c:pt idx="151">
                  <c:v>44053</c:v>
                </c:pt>
                <c:pt idx="152">
                  <c:v>44054</c:v>
                </c:pt>
                <c:pt idx="153">
                  <c:v>44055</c:v>
                </c:pt>
                <c:pt idx="154">
                  <c:v>44056</c:v>
                </c:pt>
                <c:pt idx="155">
                  <c:v>44057</c:v>
                </c:pt>
                <c:pt idx="156">
                  <c:v>44060</c:v>
                </c:pt>
                <c:pt idx="157">
                  <c:v>44061</c:v>
                </c:pt>
                <c:pt idx="158">
                  <c:v>44062</c:v>
                </c:pt>
                <c:pt idx="159">
                  <c:v>44063</c:v>
                </c:pt>
                <c:pt idx="160">
                  <c:v>44064</c:v>
                </c:pt>
                <c:pt idx="161">
                  <c:v>44067</c:v>
                </c:pt>
                <c:pt idx="162">
                  <c:v>44068</c:v>
                </c:pt>
                <c:pt idx="163">
                  <c:v>44069</c:v>
                </c:pt>
                <c:pt idx="164">
                  <c:v>44070</c:v>
                </c:pt>
                <c:pt idx="165">
                  <c:v>44071</c:v>
                </c:pt>
                <c:pt idx="166">
                  <c:v>44074</c:v>
                </c:pt>
                <c:pt idx="167">
                  <c:v>44075</c:v>
                </c:pt>
                <c:pt idx="168">
                  <c:v>44076</c:v>
                </c:pt>
                <c:pt idx="169">
                  <c:v>44077</c:v>
                </c:pt>
                <c:pt idx="170">
                  <c:v>44078</c:v>
                </c:pt>
                <c:pt idx="171">
                  <c:v>44081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44109</c:v>
                </c:pt>
                <c:pt idx="191">
                  <c:v>44110</c:v>
                </c:pt>
                <c:pt idx="192">
                  <c:v>44111</c:v>
                </c:pt>
                <c:pt idx="193">
                  <c:v>44112</c:v>
                </c:pt>
                <c:pt idx="194">
                  <c:v>44113</c:v>
                </c:pt>
                <c:pt idx="195">
                  <c:v>44116</c:v>
                </c:pt>
                <c:pt idx="196">
                  <c:v>44117</c:v>
                </c:pt>
                <c:pt idx="197">
                  <c:v>44118</c:v>
                </c:pt>
                <c:pt idx="198">
                  <c:v>44119</c:v>
                </c:pt>
                <c:pt idx="199">
                  <c:v>44120</c:v>
                </c:pt>
                <c:pt idx="200">
                  <c:v>44123</c:v>
                </c:pt>
                <c:pt idx="201">
                  <c:v>44124</c:v>
                </c:pt>
                <c:pt idx="202">
                  <c:v>44125</c:v>
                </c:pt>
                <c:pt idx="203">
                  <c:v>44126</c:v>
                </c:pt>
                <c:pt idx="204">
                  <c:v>44127</c:v>
                </c:pt>
                <c:pt idx="205">
                  <c:v>44130</c:v>
                </c:pt>
                <c:pt idx="206">
                  <c:v>44131</c:v>
                </c:pt>
                <c:pt idx="207">
                  <c:v>44132</c:v>
                </c:pt>
                <c:pt idx="208">
                  <c:v>44133</c:v>
                </c:pt>
                <c:pt idx="209">
                  <c:v>44134</c:v>
                </c:pt>
                <c:pt idx="210">
                  <c:v>44137</c:v>
                </c:pt>
                <c:pt idx="211">
                  <c:v>44138</c:v>
                </c:pt>
                <c:pt idx="212">
                  <c:v>44139</c:v>
                </c:pt>
                <c:pt idx="213">
                  <c:v>44140</c:v>
                </c:pt>
                <c:pt idx="214">
                  <c:v>44141</c:v>
                </c:pt>
                <c:pt idx="215">
                  <c:v>44144</c:v>
                </c:pt>
                <c:pt idx="216">
                  <c:v>44145</c:v>
                </c:pt>
                <c:pt idx="217">
                  <c:v>44146</c:v>
                </c:pt>
                <c:pt idx="218">
                  <c:v>44147</c:v>
                </c:pt>
                <c:pt idx="219">
                  <c:v>44148</c:v>
                </c:pt>
                <c:pt idx="220">
                  <c:v>44152</c:v>
                </c:pt>
                <c:pt idx="221">
                  <c:v>44153</c:v>
                </c:pt>
                <c:pt idx="222">
                  <c:v>44154</c:v>
                </c:pt>
                <c:pt idx="223">
                  <c:v>44155</c:v>
                </c:pt>
                <c:pt idx="224">
                  <c:v>44158</c:v>
                </c:pt>
                <c:pt idx="225">
                  <c:v>44159</c:v>
                </c:pt>
                <c:pt idx="226">
                  <c:v>44160</c:v>
                </c:pt>
                <c:pt idx="227">
                  <c:v>44161</c:v>
                </c:pt>
                <c:pt idx="228">
                  <c:v>44162</c:v>
                </c:pt>
                <c:pt idx="229">
                  <c:v>44166</c:v>
                </c:pt>
                <c:pt idx="230">
                  <c:v>44167</c:v>
                </c:pt>
                <c:pt idx="231">
                  <c:v>44168</c:v>
                </c:pt>
                <c:pt idx="232">
                  <c:v>44169</c:v>
                </c:pt>
                <c:pt idx="233">
                  <c:v>44172</c:v>
                </c:pt>
                <c:pt idx="234">
                  <c:v>44173</c:v>
                </c:pt>
                <c:pt idx="235">
                  <c:v>44174</c:v>
                </c:pt>
                <c:pt idx="236">
                  <c:v>44175</c:v>
                </c:pt>
                <c:pt idx="237">
                  <c:v>44176</c:v>
                </c:pt>
                <c:pt idx="238">
                  <c:v>44179</c:v>
                </c:pt>
                <c:pt idx="239">
                  <c:v>44180</c:v>
                </c:pt>
                <c:pt idx="240">
                  <c:v>44181</c:v>
                </c:pt>
                <c:pt idx="241">
                  <c:v>44182</c:v>
                </c:pt>
                <c:pt idx="242">
                  <c:v>44183</c:v>
                </c:pt>
                <c:pt idx="243">
                  <c:v>44186</c:v>
                </c:pt>
                <c:pt idx="244">
                  <c:v>44187</c:v>
                </c:pt>
                <c:pt idx="245">
                  <c:v>44188</c:v>
                </c:pt>
                <c:pt idx="246">
                  <c:v>44189</c:v>
                </c:pt>
                <c:pt idx="247">
                  <c:v>44193</c:v>
                </c:pt>
                <c:pt idx="248">
                  <c:v>44194</c:v>
                </c:pt>
                <c:pt idx="249">
                  <c:v>44195</c:v>
                </c:pt>
                <c:pt idx="250">
                  <c:v>44196</c:v>
                </c:pt>
                <c:pt idx="251">
                  <c:v>44197</c:v>
                </c:pt>
                <c:pt idx="252">
                  <c:v>44200</c:v>
                </c:pt>
                <c:pt idx="253">
                  <c:v>44201</c:v>
                </c:pt>
                <c:pt idx="254">
                  <c:v>44202</c:v>
                </c:pt>
                <c:pt idx="255">
                  <c:v>44203</c:v>
                </c:pt>
                <c:pt idx="256">
                  <c:v>44204</c:v>
                </c:pt>
                <c:pt idx="257">
                  <c:v>44207</c:v>
                </c:pt>
                <c:pt idx="258">
                  <c:v>44208</c:v>
                </c:pt>
                <c:pt idx="259">
                  <c:v>44209</c:v>
                </c:pt>
                <c:pt idx="260">
                  <c:v>44210</c:v>
                </c:pt>
                <c:pt idx="261">
                  <c:v>44211</c:v>
                </c:pt>
                <c:pt idx="262">
                  <c:v>44214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44223</c:v>
                </c:pt>
                <c:pt idx="269">
                  <c:v>44224</c:v>
                </c:pt>
                <c:pt idx="270">
                  <c:v>44225</c:v>
                </c:pt>
                <c:pt idx="271">
                  <c:v>44228</c:v>
                </c:pt>
                <c:pt idx="272">
                  <c:v>44229</c:v>
                </c:pt>
                <c:pt idx="273">
                  <c:v>44230</c:v>
                </c:pt>
                <c:pt idx="274">
                  <c:v>44231</c:v>
                </c:pt>
                <c:pt idx="275">
                  <c:v>44232</c:v>
                </c:pt>
                <c:pt idx="276">
                  <c:v>44235</c:v>
                </c:pt>
                <c:pt idx="277">
                  <c:v>44236</c:v>
                </c:pt>
                <c:pt idx="278">
                  <c:v>44237</c:v>
                </c:pt>
                <c:pt idx="279">
                  <c:v>44238</c:v>
                </c:pt>
                <c:pt idx="280">
                  <c:v>44239</c:v>
                </c:pt>
                <c:pt idx="281">
                  <c:v>44242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44267</c:v>
                </c:pt>
                <c:pt idx="300">
                  <c:v>44270</c:v>
                </c:pt>
                <c:pt idx="301">
                  <c:v>44271</c:v>
                </c:pt>
                <c:pt idx="302">
                  <c:v>44272</c:v>
                </c:pt>
                <c:pt idx="303">
                  <c:v>44273</c:v>
                </c:pt>
                <c:pt idx="304">
                  <c:v>44274</c:v>
                </c:pt>
                <c:pt idx="305">
                  <c:v>44277</c:v>
                </c:pt>
                <c:pt idx="306">
                  <c:v>44278</c:v>
                </c:pt>
                <c:pt idx="307">
                  <c:v>44279</c:v>
                </c:pt>
                <c:pt idx="308">
                  <c:v>44280</c:v>
                </c:pt>
                <c:pt idx="309">
                  <c:v>44281</c:v>
                </c:pt>
                <c:pt idx="310">
                  <c:v>44285</c:v>
                </c:pt>
                <c:pt idx="311">
                  <c:v>44286</c:v>
                </c:pt>
                <c:pt idx="312">
                  <c:v>44287</c:v>
                </c:pt>
                <c:pt idx="313">
                  <c:v>44291</c:v>
                </c:pt>
                <c:pt idx="314">
                  <c:v>44292</c:v>
                </c:pt>
                <c:pt idx="315">
                  <c:v>44293</c:v>
                </c:pt>
                <c:pt idx="316">
                  <c:v>44294</c:v>
                </c:pt>
                <c:pt idx="317">
                  <c:v>44295</c:v>
                </c:pt>
                <c:pt idx="318">
                  <c:v>44298</c:v>
                </c:pt>
                <c:pt idx="319">
                  <c:v>44299</c:v>
                </c:pt>
                <c:pt idx="320">
                  <c:v>44301</c:v>
                </c:pt>
                <c:pt idx="321">
                  <c:v>44302</c:v>
                </c:pt>
                <c:pt idx="322">
                  <c:v>44305</c:v>
                </c:pt>
                <c:pt idx="323">
                  <c:v>44306</c:v>
                </c:pt>
                <c:pt idx="324">
                  <c:v>44308</c:v>
                </c:pt>
                <c:pt idx="325">
                  <c:v>44309</c:v>
                </c:pt>
                <c:pt idx="326">
                  <c:v>44312</c:v>
                </c:pt>
                <c:pt idx="327">
                  <c:v>44313</c:v>
                </c:pt>
                <c:pt idx="328">
                  <c:v>44314</c:v>
                </c:pt>
                <c:pt idx="329">
                  <c:v>44315</c:v>
                </c:pt>
                <c:pt idx="330">
                  <c:v>44316</c:v>
                </c:pt>
                <c:pt idx="331">
                  <c:v>44319</c:v>
                </c:pt>
                <c:pt idx="332">
                  <c:v>44320</c:v>
                </c:pt>
                <c:pt idx="333">
                  <c:v>44321</c:v>
                </c:pt>
                <c:pt idx="334">
                  <c:v>44322</c:v>
                </c:pt>
                <c:pt idx="335">
                  <c:v>44323</c:v>
                </c:pt>
                <c:pt idx="336">
                  <c:v>44326</c:v>
                </c:pt>
                <c:pt idx="337">
                  <c:v>44327</c:v>
                </c:pt>
                <c:pt idx="338">
                  <c:v>44328</c:v>
                </c:pt>
                <c:pt idx="339">
                  <c:v>44330</c:v>
                </c:pt>
                <c:pt idx="340">
                  <c:v>44333</c:v>
                </c:pt>
                <c:pt idx="341">
                  <c:v>44334</c:v>
                </c:pt>
                <c:pt idx="342">
                  <c:v>44335</c:v>
                </c:pt>
                <c:pt idx="343">
                  <c:v>44336</c:v>
                </c:pt>
                <c:pt idx="344">
                  <c:v>44337</c:v>
                </c:pt>
                <c:pt idx="345">
                  <c:v>44340</c:v>
                </c:pt>
                <c:pt idx="346">
                  <c:v>44341</c:v>
                </c:pt>
                <c:pt idx="347">
                  <c:v>44342</c:v>
                </c:pt>
                <c:pt idx="348">
                  <c:v>44343</c:v>
                </c:pt>
                <c:pt idx="349">
                  <c:v>44344</c:v>
                </c:pt>
                <c:pt idx="350">
                  <c:v>44347</c:v>
                </c:pt>
                <c:pt idx="351">
                  <c:v>44348</c:v>
                </c:pt>
                <c:pt idx="352">
                  <c:v>44349</c:v>
                </c:pt>
                <c:pt idx="353">
                  <c:v>44350</c:v>
                </c:pt>
                <c:pt idx="354">
                  <c:v>44351</c:v>
                </c:pt>
                <c:pt idx="355">
                  <c:v>44354</c:v>
                </c:pt>
                <c:pt idx="356">
                  <c:v>44355</c:v>
                </c:pt>
                <c:pt idx="357">
                  <c:v>44356</c:v>
                </c:pt>
                <c:pt idx="358">
                  <c:v>44357</c:v>
                </c:pt>
                <c:pt idx="359">
                  <c:v>44358</c:v>
                </c:pt>
                <c:pt idx="360">
                  <c:v>44361</c:v>
                </c:pt>
                <c:pt idx="361">
                  <c:v>44362</c:v>
                </c:pt>
                <c:pt idx="362">
                  <c:v>44363</c:v>
                </c:pt>
                <c:pt idx="363">
                  <c:v>44364</c:v>
                </c:pt>
                <c:pt idx="364">
                  <c:v>44365</c:v>
                </c:pt>
                <c:pt idx="365">
                  <c:v>44368</c:v>
                </c:pt>
                <c:pt idx="366">
                  <c:v>44369</c:v>
                </c:pt>
                <c:pt idx="367">
                  <c:v>44370</c:v>
                </c:pt>
                <c:pt idx="368">
                  <c:v>44371</c:v>
                </c:pt>
                <c:pt idx="369">
                  <c:v>44372</c:v>
                </c:pt>
                <c:pt idx="370">
                  <c:v>44375</c:v>
                </c:pt>
                <c:pt idx="371">
                  <c:v>44376</c:v>
                </c:pt>
                <c:pt idx="372">
                  <c:v>44377</c:v>
                </c:pt>
                <c:pt idx="373">
                  <c:v>44378</c:v>
                </c:pt>
                <c:pt idx="374">
                  <c:v>44379</c:v>
                </c:pt>
                <c:pt idx="375">
                  <c:v>44382</c:v>
                </c:pt>
                <c:pt idx="376">
                  <c:v>44383</c:v>
                </c:pt>
                <c:pt idx="377">
                  <c:v>44384</c:v>
                </c:pt>
                <c:pt idx="378">
                  <c:v>44385</c:v>
                </c:pt>
                <c:pt idx="379">
                  <c:v>44386</c:v>
                </c:pt>
                <c:pt idx="380">
                  <c:v>44389</c:v>
                </c:pt>
                <c:pt idx="381">
                  <c:v>44390</c:v>
                </c:pt>
                <c:pt idx="382">
                  <c:v>44391</c:v>
                </c:pt>
                <c:pt idx="383">
                  <c:v>44392</c:v>
                </c:pt>
                <c:pt idx="384">
                  <c:v>44393</c:v>
                </c:pt>
                <c:pt idx="385">
                  <c:v>44396</c:v>
                </c:pt>
                <c:pt idx="386">
                  <c:v>44397</c:v>
                </c:pt>
                <c:pt idx="387">
                  <c:v>44399</c:v>
                </c:pt>
                <c:pt idx="388">
                  <c:v>44400</c:v>
                </c:pt>
                <c:pt idx="389">
                  <c:v>44403</c:v>
                </c:pt>
                <c:pt idx="390">
                  <c:v>44404</c:v>
                </c:pt>
                <c:pt idx="391">
                  <c:v>44405</c:v>
                </c:pt>
                <c:pt idx="392">
                  <c:v>44406</c:v>
                </c:pt>
                <c:pt idx="393">
                  <c:v>44407</c:v>
                </c:pt>
                <c:pt idx="394">
                  <c:v>44410</c:v>
                </c:pt>
                <c:pt idx="395">
                  <c:v>44411</c:v>
                </c:pt>
                <c:pt idx="396">
                  <c:v>44412</c:v>
                </c:pt>
                <c:pt idx="397">
                  <c:v>44413</c:v>
                </c:pt>
                <c:pt idx="398">
                  <c:v>44414</c:v>
                </c:pt>
                <c:pt idx="399">
                  <c:v>44417</c:v>
                </c:pt>
                <c:pt idx="400">
                  <c:v>44418</c:v>
                </c:pt>
                <c:pt idx="401">
                  <c:v>44419</c:v>
                </c:pt>
                <c:pt idx="402">
                  <c:v>44420</c:v>
                </c:pt>
                <c:pt idx="403">
                  <c:v>44421</c:v>
                </c:pt>
                <c:pt idx="404">
                  <c:v>44424</c:v>
                </c:pt>
                <c:pt idx="405">
                  <c:v>44425</c:v>
                </c:pt>
                <c:pt idx="406">
                  <c:v>44426</c:v>
                </c:pt>
                <c:pt idx="407">
                  <c:v>44428</c:v>
                </c:pt>
                <c:pt idx="408">
                  <c:v>44431</c:v>
                </c:pt>
                <c:pt idx="409">
                  <c:v>44432</c:v>
                </c:pt>
                <c:pt idx="410">
                  <c:v>44433</c:v>
                </c:pt>
                <c:pt idx="411">
                  <c:v>44434</c:v>
                </c:pt>
                <c:pt idx="412">
                  <c:v>44435</c:v>
                </c:pt>
                <c:pt idx="413">
                  <c:v>44438</c:v>
                </c:pt>
                <c:pt idx="414">
                  <c:v>44439</c:v>
                </c:pt>
                <c:pt idx="415">
                  <c:v>44440</c:v>
                </c:pt>
                <c:pt idx="416">
                  <c:v>44441</c:v>
                </c:pt>
                <c:pt idx="417">
                  <c:v>44442</c:v>
                </c:pt>
                <c:pt idx="418">
                  <c:v>44445</c:v>
                </c:pt>
                <c:pt idx="419">
                  <c:v>44446</c:v>
                </c:pt>
                <c:pt idx="420">
                  <c:v>44447</c:v>
                </c:pt>
                <c:pt idx="421">
                  <c:v>44448</c:v>
                </c:pt>
                <c:pt idx="422">
                  <c:v>44452</c:v>
                </c:pt>
                <c:pt idx="423">
                  <c:v>44453</c:v>
                </c:pt>
                <c:pt idx="424">
                  <c:v>44454</c:v>
                </c:pt>
                <c:pt idx="425">
                  <c:v>44455</c:v>
                </c:pt>
                <c:pt idx="426">
                  <c:v>44456</c:v>
                </c:pt>
                <c:pt idx="427">
                  <c:v>44459</c:v>
                </c:pt>
                <c:pt idx="428">
                  <c:v>44460</c:v>
                </c:pt>
                <c:pt idx="429">
                  <c:v>44461</c:v>
                </c:pt>
                <c:pt idx="430">
                  <c:v>44462</c:v>
                </c:pt>
                <c:pt idx="431">
                  <c:v>44463</c:v>
                </c:pt>
                <c:pt idx="432">
                  <c:v>44466</c:v>
                </c:pt>
                <c:pt idx="433">
                  <c:v>44467</c:v>
                </c:pt>
                <c:pt idx="434">
                  <c:v>44468</c:v>
                </c:pt>
                <c:pt idx="435">
                  <c:v>44469</c:v>
                </c:pt>
                <c:pt idx="436">
                  <c:v>44470</c:v>
                </c:pt>
                <c:pt idx="437">
                  <c:v>44473</c:v>
                </c:pt>
                <c:pt idx="438">
                  <c:v>44474</c:v>
                </c:pt>
                <c:pt idx="439">
                  <c:v>44475</c:v>
                </c:pt>
                <c:pt idx="440">
                  <c:v>44476</c:v>
                </c:pt>
                <c:pt idx="441">
                  <c:v>44477</c:v>
                </c:pt>
                <c:pt idx="442">
                  <c:v>44480</c:v>
                </c:pt>
                <c:pt idx="443">
                  <c:v>44481</c:v>
                </c:pt>
                <c:pt idx="444">
                  <c:v>44482</c:v>
                </c:pt>
                <c:pt idx="445">
                  <c:v>44483</c:v>
                </c:pt>
                <c:pt idx="446">
                  <c:v>44487</c:v>
                </c:pt>
                <c:pt idx="447">
                  <c:v>44488</c:v>
                </c:pt>
                <c:pt idx="448">
                  <c:v>44489</c:v>
                </c:pt>
                <c:pt idx="449">
                  <c:v>44490</c:v>
                </c:pt>
                <c:pt idx="450">
                  <c:v>44491</c:v>
                </c:pt>
                <c:pt idx="451">
                  <c:v>44494</c:v>
                </c:pt>
                <c:pt idx="452">
                  <c:v>44495</c:v>
                </c:pt>
                <c:pt idx="453">
                  <c:v>44496</c:v>
                </c:pt>
                <c:pt idx="454">
                  <c:v>44497</c:v>
                </c:pt>
                <c:pt idx="455">
                  <c:v>44498</c:v>
                </c:pt>
                <c:pt idx="456">
                  <c:v>44501</c:v>
                </c:pt>
                <c:pt idx="457">
                  <c:v>44502</c:v>
                </c:pt>
                <c:pt idx="458">
                  <c:v>44503</c:v>
                </c:pt>
                <c:pt idx="459">
                  <c:v>44504</c:v>
                </c:pt>
                <c:pt idx="460">
                  <c:v>44508</c:v>
                </c:pt>
                <c:pt idx="461">
                  <c:v>44509</c:v>
                </c:pt>
                <c:pt idx="462">
                  <c:v>44510</c:v>
                </c:pt>
                <c:pt idx="463">
                  <c:v>44511</c:v>
                </c:pt>
                <c:pt idx="464">
                  <c:v>44512</c:v>
                </c:pt>
                <c:pt idx="465">
                  <c:v>44515</c:v>
                </c:pt>
                <c:pt idx="466">
                  <c:v>44516</c:v>
                </c:pt>
                <c:pt idx="467">
                  <c:v>44517</c:v>
                </c:pt>
                <c:pt idx="468">
                  <c:v>44518</c:v>
                </c:pt>
                <c:pt idx="469">
                  <c:v>44522</c:v>
                </c:pt>
                <c:pt idx="470">
                  <c:v>44523</c:v>
                </c:pt>
                <c:pt idx="471">
                  <c:v>44524</c:v>
                </c:pt>
                <c:pt idx="472">
                  <c:v>44525</c:v>
                </c:pt>
                <c:pt idx="473">
                  <c:v>44526</c:v>
                </c:pt>
                <c:pt idx="474">
                  <c:v>44529</c:v>
                </c:pt>
                <c:pt idx="475">
                  <c:v>44530</c:v>
                </c:pt>
                <c:pt idx="476">
                  <c:v>44531</c:v>
                </c:pt>
                <c:pt idx="477">
                  <c:v>44532</c:v>
                </c:pt>
                <c:pt idx="478">
                  <c:v>44533</c:v>
                </c:pt>
                <c:pt idx="479">
                  <c:v>44536</c:v>
                </c:pt>
                <c:pt idx="480">
                  <c:v>44537</c:v>
                </c:pt>
                <c:pt idx="481">
                  <c:v>44538</c:v>
                </c:pt>
                <c:pt idx="482">
                  <c:v>44539</c:v>
                </c:pt>
                <c:pt idx="483">
                  <c:v>44540</c:v>
                </c:pt>
                <c:pt idx="484">
                  <c:v>44543</c:v>
                </c:pt>
                <c:pt idx="485">
                  <c:v>44544</c:v>
                </c:pt>
                <c:pt idx="486">
                  <c:v>44545</c:v>
                </c:pt>
                <c:pt idx="487">
                  <c:v>44546</c:v>
                </c:pt>
                <c:pt idx="488">
                  <c:v>44547</c:v>
                </c:pt>
                <c:pt idx="489">
                  <c:v>44550</c:v>
                </c:pt>
                <c:pt idx="490">
                  <c:v>44551</c:v>
                </c:pt>
                <c:pt idx="491">
                  <c:v>44552</c:v>
                </c:pt>
                <c:pt idx="492">
                  <c:v>44553</c:v>
                </c:pt>
                <c:pt idx="493">
                  <c:v>44554</c:v>
                </c:pt>
                <c:pt idx="494">
                  <c:v>44557</c:v>
                </c:pt>
                <c:pt idx="495">
                  <c:v>44558</c:v>
                </c:pt>
                <c:pt idx="496">
                  <c:v>44559</c:v>
                </c:pt>
                <c:pt idx="497">
                  <c:v>44560</c:v>
                </c:pt>
                <c:pt idx="498">
                  <c:v>44561</c:v>
                </c:pt>
                <c:pt idx="499">
                  <c:v>44564</c:v>
                </c:pt>
                <c:pt idx="500">
                  <c:v>44565</c:v>
                </c:pt>
                <c:pt idx="501">
                  <c:v>44566</c:v>
                </c:pt>
                <c:pt idx="502">
                  <c:v>44567</c:v>
                </c:pt>
                <c:pt idx="503">
                  <c:v>44568</c:v>
                </c:pt>
                <c:pt idx="504">
                  <c:v>44571</c:v>
                </c:pt>
                <c:pt idx="505">
                  <c:v>44572</c:v>
                </c:pt>
                <c:pt idx="506">
                  <c:v>44573</c:v>
                </c:pt>
                <c:pt idx="507">
                  <c:v>44574</c:v>
                </c:pt>
                <c:pt idx="508">
                  <c:v>44575</c:v>
                </c:pt>
                <c:pt idx="509">
                  <c:v>44578</c:v>
                </c:pt>
                <c:pt idx="510">
                  <c:v>44579</c:v>
                </c:pt>
                <c:pt idx="511">
                  <c:v>44580</c:v>
                </c:pt>
                <c:pt idx="512">
                  <c:v>44581</c:v>
                </c:pt>
                <c:pt idx="513">
                  <c:v>44582</c:v>
                </c:pt>
                <c:pt idx="514">
                  <c:v>44585</c:v>
                </c:pt>
                <c:pt idx="515">
                  <c:v>44586</c:v>
                </c:pt>
                <c:pt idx="516">
                  <c:v>44588</c:v>
                </c:pt>
                <c:pt idx="517">
                  <c:v>44589</c:v>
                </c:pt>
                <c:pt idx="518">
                  <c:v>44592</c:v>
                </c:pt>
                <c:pt idx="519">
                  <c:v>44593</c:v>
                </c:pt>
                <c:pt idx="520">
                  <c:v>44594</c:v>
                </c:pt>
                <c:pt idx="521">
                  <c:v>44595</c:v>
                </c:pt>
                <c:pt idx="522">
                  <c:v>44596</c:v>
                </c:pt>
                <c:pt idx="523">
                  <c:v>44599</c:v>
                </c:pt>
                <c:pt idx="524">
                  <c:v>44600</c:v>
                </c:pt>
                <c:pt idx="525">
                  <c:v>44601</c:v>
                </c:pt>
                <c:pt idx="526">
                  <c:v>44602</c:v>
                </c:pt>
                <c:pt idx="527">
                  <c:v>44603</c:v>
                </c:pt>
                <c:pt idx="528">
                  <c:v>44606</c:v>
                </c:pt>
                <c:pt idx="529">
                  <c:v>44607</c:v>
                </c:pt>
                <c:pt idx="530">
                  <c:v>44608</c:v>
                </c:pt>
                <c:pt idx="531">
                  <c:v>44609</c:v>
                </c:pt>
                <c:pt idx="532">
                  <c:v>44610</c:v>
                </c:pt>
                <c:pt idx="533">
                  <c:v>44613</c:v>
                </c:pt>
                <c:pt idx="534">
                  <c:v>44614</c:v>
                </c:pt>
                <c:pt idx="535">
                  <c:v>44615</c:v>
                </c:pt>
                <c:pt idx="536">
                  <c:v>44616</c:v>
                </c:pt>
                <c:pt idx="537">
                  <c:v>44617</c:v>
                </c:pt>
                <c:pt idx="538">
                  <c:v>44620</c:v>
                </c:pt>
                <c:pt idx="539">
                  <c:v>44622</c:v>
                </c:pt>
                <c:pt idx="540">
                  <c:v>44623</c:v>
                </c:pt>
                <c:pt idx="541">
                  <c:v>44624</c:v>
                </c:pt>
                <c:pt idx="542">
                  <c:v>44627</c:v>
                </c:pt>
                <c:pt idx="543">
                  <c:v>44628</c:v>
                </c:pt>
                <c:pt idx="544">
                  <c:v>44629</c:v>
                </c:pt>
                <c:pt idx="545">
                  <c:v>44630</c:v>
                </c:pt>
                <c:pt idx="546">
                  <c:v>44631</c:v>
                </c:pt>
                <c:pt idx="547">
                  <c:v>44634</c:v>
                </c:pt>
                <c:pt idx="548">
                  <c:v>44635</c:v>
                </c:pt>
                <c:pt idx="549">
                  <c:v>44636</c:v>
                </c:pt>
                <c:pt idx="550">
                  <c:v>44637</c:v>
                </c:pt>
                <c:pt idx="551">
                  <c:v>44641</c:v>
                </c:pt>
                <c:pt idx="552">
                  <c:v>44642</c:v>
                </c:pt>
                <c:pt idx="553">
                  <c:v>44643</c:v>
                </c:pt>
                <c:pt idx="554">
                  <c:v>44644</c:v>
                </c:pt>
                <c:pt idx="555">
                  <c:v>44645</c:v>
                </c:pt>
                <c:pt idx="556">
                  <c:v>44648</c:v>
                </c:pt>
                <c:pt idx="557">
                  <c:v>44649</c:v>
                </c:pt>
                <c:pt idx="558">
                  <c:v>44650</c:v>
                </c:pt>
                <c:pt idx="559">
                  <c:v>44651</c:v>
                </c:pt>
                <c:pt idx="560">
                  <c:v>44652</c:v>
                </c:pt>
                <c:pt idx="561">
                  <c:v>44655</c:v>
                </c:pt>
                <c:pt idx="562">
                  <c:v>44656</c:v>
                </c:pt>
                <c:pt idx="563">
                  <c:v>44657</c:v>
                </c:pt>
                <c:pt idx="564">
                  <c:v>44658</c:v>
                </c:pt>
                <c:pt idx="565">
                  <c:v>44659</c:v>
                </c:pt>
                <c:pt idx="566">
                  <c:v>44662</c:v>
                </c:pt>
                <c:pt idx="567">
                  <c:v>44663</c:v>
                </c:pt>
                <c:pt idx="568">
                  <c:v>44664</c:v>
                </c:pt>
                <c:pt idx="569">
                  <c:v>44669</c:v>
                </c:pt>
                <c:pt idx="570">
                  <c:v>44670</c:v>
                </c:pt>
                <c:pt idx="571">
                  <c:v>44671</c:v>
                </c:pt>
                <c:pt idx="572">
                  <c:v>44672</c:v>
                </c:pt>
                <c:pt idx="573">
                  <c:v>44673</c:v>
                </c:pt>
                <c:pt idx="574">
                  <c:v>44676</c:v>
                </c:pt>
                <c:pt idx="575">
                  <c:v>44677</c:v>
                </c:pt>
                <c:pt idx="576">
                  <c:v>44678</c:v>
                </c:pt>
                <c:pt idx="577">
                  <c:v>44679</c:v>
                </c:pt>
                <c:pt idx="578">
                  <c:v>44680</c:v>
                </c:pt>
                <c:pt idx="579">
                  <c:v>44683</c:v>
                </c:pt>
                <c:pt idx="580">
                  <c:v>44685</c:v>
                </c:pt>
                <c:pt idx="581">
                  <c:v>44686</c:v>
                </c:pt>
                <c:pt idx="582">
                  <c:v>44687</c:v>
                </c:pt>
                <c:pt idx="583">
                  <c:v>44690</c:v>
                </c:pt>
                <c:pt idx="584">
                  <c:v>44691</c:v>
                </c:pt>
                <c:pt idx="585">
                  <c:v>44692</c:v>
                </c:pt>
                <c:pt idx="586">
                  <c:v>44693</c:v>
                </c:pt>
                <c:pt idx="587">
                  <c:v>44694</c:v>
                </c:pt>
                <c:pt idx="588">
                  <c:v>44697</c:v>
                </c:pt>
                <c:pt idx="589">
                  <c:v>44698</c:v>
                </c:pt>
                <c:pt idx="590">
                  <c:v>44699</c:v>
                </c:pt>
                <c:pt idx="591">
                  <c:v>44700</c:v>
                </c:pt>
                <c:pt idx="592">
                  <c:v>44701</c:v>
                </c:pt>
                <c:pt idx="593">
                  <c:v>44704</c:v>
                </c:pt>
                <c:pt idx="594">
                  <c:v>44705</c:v>
                </c:pt>
                <c:pt idx="595">
                  <c:v>44706</c:v>
                </c:pt>
                <c:pt idx="596">
                  <c:v>44707</c:v>
                </c:pt>
                <c:pt idx="597">
                  <c:v>44708</c:v>
                </c:pt>
                <c:pt idx="598">
                  <c:v>44711</c:v>
                </c:pt>
                <c:pt idx="599">
                  <c:v>44712</c:v>
                </c:pt>
                <c:pt idx="600">
                  <c:v>44713</c:v>
                </c:pt>
                <c:pt idx="601">
                  <c:v>44714</c:v>
                </c:pt>
                <c:pt idx="602">
                  <c:v>44715</c:v>
                </c:pt>
                <c:pt idx="603">
                  <c:v>44718</c:v>
                </c:pt>
                <c:pt idx="604">
                  <c:v>44719</c:v>
                </c:pt>
                <c:pt idx="605">
                  <c:v>44720</c:v>
                </c:pt>
                <c:pt idx="606">
                  <c:v>44721</c:v>
                </c:pt>
                <c:pt idx="607">
                  <c:v>44722</c:v>
                </c:pt>
                <c:pt idx="608">
                  <c:v>44725</c:v>
                </c:pt>
                <c:pt idx="609">
                  <c:v>44726</c:v>
                </c:pt>
                <c:pt idx="610">
                  <c:v>44727</c:v>
                </c:pt>
                <c:pt idx="611">
                  <c:v>44728</c:v>
                </c:pt>
                <c:pt idx="612">
                  <c:v>44729</c:v>
                </c:pt>
                <c:pt idx="613">
                  <c:v>44732</c:v>
                </c:pt>
                <c:pt idx="614">
                  <c:v>44733</c:v>
                </c:pt>
                <c:pt idx="615">
                  <c:v>44734</c:v>
                </c:pt>
                <c:pt idx="616">
                  <c:v>44735</c:v>
                </c:pt>
                <c:pt idx="617">
                  <c:v>44736</c:v>
                </c:pt>
                <c:pt idx="618">
                  <c:v>44739</c:v>
                </c:pt>
                <c:pt idx="619">
                  <c:v>44740</c:v>
                </c:pt>
                <c:pt idx="620">
                  <c:v>44741</c:v>
                </c:pt>
                <c:pt idx="621">
                  <c:v>44742</c:v>
                </c:pt>
                <c:pt idx="622">
                  <c:v>44743</c:v>
                </c:pt>
                <c:pt idx="623">
                  <c:v>44746</c:v>
                </c:pt>
                <c:pt idx="624">
                  <c:v>44747</c:v>
                </c:pt>
                <c:pt idx="625">
                  <c:v>44748</c:v>
                </c:pt>
                <c:pt idx="626">
                  <c:v>44749</c:v>
                </c:pt>
                <c:pt idx="627">
                  <c:v>44750</c:v>
                </c:pt>
                <c:pt idx="628">
                  <c:v>44753</c:v>
                </c:pt>
                <c:pt idx="629">
                  <c:v>44754</c:v>
                </c:pt>
                <c:pt idx="630">
                  <c:v>44755</c:v>
                </c:pt>
                <c:pt idx="631">
                  <c:v>44756</c:v>
                </c:pt>
                <c:pt idx="632">
                  <c:v>44757</c:v>
                </c:pt>
                <c:pt idx="633">
                  <c:v>44760</c:v>
                </c:pt>
                <c:pt idx="634">
                  <c:v>44761</c:v>
                </c:pt>
                <c:pt idx="635">
                  <c:v>44762</c:v>
                </c:pt>
                <c:pt idx="636">
                  <c:v>44763</c:v>
                </c:pt>
                <c:pt idx="637">
                  <c:v>44764</c:v>
                </c:pt>
                <c:pt idx="638">
                  <c:v>44767</c:v>
                </c:pt>
                <c:pt idx="639">
                  <c:v>44768</c:v>
                </c:pt>
                <c:pt idx="640">
                  <c:v>44769</c:v>
                </c:pt>
                <c:pt idx="641">
                  <c:v>44770</c:v>
                </c:pt>
                <c:pt idx="642">
                  <c:v>44771</c:v>
                </c:pt>
                <c:pt idx="643">
                  <c:v>44774</c:v>
                </c:pt>
                <c:pt idx="644">
                  <c:v>44775</c:v>
                </c:pt>
                <c:pt idx="645">
                  <c:v>44776</c:v>
                </c:pt>
                <c:pt idx="646">
                  <c:v>44777</c:v>
                </c:pt>
                <c:pt idx="647">
                  <c:v>44778</c:v>
                </c:pt>
                <c:pt idx="648">
                  <c:v>44781</c:v>
                </c:pt>
                <c:pt idx="649">
                  <c:v>44783</c:v>
                </c:pt>
                <c:pt idx="650">
                  <c:v>44784</c:v>
                </c:pt>
                <c:pt idx="651">
                  <c:v>44785</c:v>
                </c:pt>
                <c:pt idx="652">
                  <c:v>44789</c:v>
                </c:pt>
                <c:pt idx="653">
                  <c:v>44790</c:v>
                </c:pt>
                <c:pt idx="654">
                  <c:v>44791</c:v>
                </c:pt>
                <c:pt idx="655">
                  <c:v>44792</c:v>
                </c:pt>
                <c:pt idx="656">
                  <c:v>44795</c:v>
                </c:pt>
                <c:pt idx="657">
                  <c:v>44796</c:v>
                </c:pt>
                <c:pt idx="658">
                  <c:v>44797</c:v>
                </c:pt>
                <c:pt idx="659">
                  <c:v>44798</c:v>
                </c:pt>
                <c:pt idx="660">
                  <c:v>44799</c:v>
                </c:pt>
                <c:pt idx="661">
                  <c:v>44802</c:v>
                </c:pt>
                <c:pt idx="662">
                  <c:v>44803</c:v>
                </c:pt>
                <c:pt idx="663">
                  <c:v>44805</c:v>
                </c:pt>
                <c:pt idx="664">
                  <c:v>44806</c:v>
                </c:pt>
                <c:pt idx="665">
                  <c:v>44809</c:v>
                </c:pt>
                <c:pt idx="666">
                  <c:v>44810</c:v>
                </c:pt>
                <c:pt idx="667">
                  <c:v>44811</c:v>
                </c:pt>
                <c:pt idx="668">
                  <c:v>44812</c:v>
                </c:pt>
                <c:pt idx="669">
                  <c:v>44813</c:v>
                </c:pt>
                <c:pt idx="670">
                  <c:v>44816</c:v>
                </c:pt>
                <c:pt idx="671">
                  <c:v>44817</c:v>
                </c:pt>
                <c:pt idx="672">
                  <c:v>44818</c:v>
                </c:pt>
                <c:pt idx="673">
                  <c:v>44819</c:v>
                </c:pt>
                <c:pt idx="674">
                  <c:v>44820</c:v>
                </c:pt>
                <c:pt idx="675">
                  <c:v>44823</c:v>
                </c:pt>
                <c:pt idx="676">
                  <c:v>44824</c:v>
                </c:pt>
                <c:pt idx="677">
                  <c:v>44825</c:v>
                </c:pt>
                <c:pt idx="678">
                  <c:v>44826</c:v>
                </c:pt>
                <c:pt idx="679">
                  <c:v>44827</c:v>
                </c:pt>
                <c:pt idx="680">
                  <c:v>44830</c:v>
                </c:pt>
                <c:pt idx="681">
                  <c:v>44831</c:v>
                </c:pt>
                <c:pt idx="682">
                  <c:v>44832</c:v>
                </c:pt>
                <c:pt idx="683">
                  <c:v>44833</c:v>
                </c:pt>
                <c:pt idx="684">
                  <c:v>44834</c:v>
                </c:pt>
                <c:pt idx="685">
                  <c:v>44837</c:v>
                </c:pt>
                <c:pt idx="686">
                  <c:v>44838</c:v>
                </c:pt>
                <c:pt idx="687">
                  <c:v>44840</c:v>
                </c:pt>
                <c:pt idx="688">
                  <c:v>44841</c:v>
                </c:pt>
                <c:pt idx="689">
                  <c:v>44844</c:v>
                </c:pt>
                <c:pt idx="690">
                  <c:v>44845</c:v>
                </c:pt>
                <c:pt idx="691">
                  <c:v>44846</c:v>
                </c:pt>
                <c:pt idx="692">
                  <c:v>44847</c:v>
                </c:pt>
                <c:pt idx="693">
                  <c:v>44848</c:v>
                </c:pt>
                <c:pt idx="694">
                  <c:v>44851</c:v>
                </c:pt>
                <c:pt idx="695">
                  <c:v>44852</c:v>
                </c:pt>
                <c:pt idx="696">
                  <c:v>44853</c:v>
                </c:pt>
                <c:pt idx="697">
                  <c:v>44854</c:v>
                </c:pt>
                <c:pt idx="698">
                  <c:v>44855</c:v>
                </c:pt>
                <c:pt idx="699">
                  <c:v>44858</c:v>
                </c:pt>
                <c:pt idx="700">
                  <c:v>44859</c:v>
                </c:pt>
                <c:pt idx="701">
                  <c:v>44861</c:v>
                </c:pt>
                <c:pt idx="702">
                  <c:v>44862</c:v>
                </c:pt>
                <c:pt idx="703">
                  <c:v>44865</c:v>
                </c:pt>
                <c:pt idx="704">
                  <c:v>44866</c:v>
                </c:pt>
                <c:pt idx="705">
                  <c:v>44867</c:v>
                </c:pt>
                <c:pt idx="706">
                  <c:v>44868</c:v>
                </c:pt>
                <c:pt idx="707">
                  <c:v>44869</c:v>
                </c:pt>
                <c:pt idx="708">
                  <c:v>44872</c:v>
                </c:pt>
                <c:pt idx="709">
                  <c:v>44874</c:v>
                </c:pt>
                <c:pt idx="710">
                  <c:v>44875</c:v>
                </c:pt>
                <c:pt idx="711">
                  <c:v>44876</c:v>
                </c:pt>
                <c:pt idx="712">
                  <c:v>44879</c:v>
                </c:pt>
                <c:pt idx="713">
                  <c:v>44880</c:v>
                </c:pt>
                <c:pt idx="714">
                  <c:v>44881</c:v>
                </c:pt>
                <c:pt idx="715">
                  <c:v>44882</c:v>
                </c:pt>
                <c:pt idx="716">
                  <c:v>44883</c:v>
                </c:pt>
                <c:pt idx="717">
                  <c:v>44886</c:v>
                </c:pt>
                <c:pt idx="718">
                  <c:v>44887</c:v>
                </c:pt>
                <c:pt idx="719">
                  <c:v>44888</c:v>
                </c:pt>
                <c:pt idx="720">
                  <c:v>44889</c:v>
                </c:pt>
                <c:pt idx="721">
                  <c:v>44890</c:v>
                </c:pt>
                <c:pt idx="722">
                  <c:v>44893</c:v>
                </c:pt>
                <c:pt idx="723">
                  <c:v>44894</c:v>
                </c:pt>
                <c:pt idx="724">
                  <c:v>44895</c:v>
                </c:pt>
                <c:pt idx="725">
                  <c:v>44896</c:v>
                </c:pt>
                <c:pt idx="726">
                  <c:v>44897</c:v>
                </c:pt>
                <c:pt idx="727">
                  <c:v>44900</c:v>
                </c:pt>
                <c:pt idx="728">
                  <c:v>44901</c:v>
                </c:pt>
                <c:pt idx="729">
                  <c:v>44902</c:v>
                </c:pt>
                <c:pt idx="730">
                  <c:v>44903</c:v>
                </c:pt>
                <c:pt idx="731">
                  <c:v>44904</c:v>
                </c:pt>
                <c:pt idx="732">
                  <c:v>44907</c:v>
                </c:pt>
                <c:pt idx="733">
                  <c:v>44908</c:v>
                </c:pt>
                <c:pt idx="734">
                  <c:v>44909</c:v>
                </c:pt>
                <c:pt idx="735">
                  <c:v>44910</c:v>
                </c:pt>
                <c:pt idx="736">
                  <c:v>44911</c:v>
                </c:pt>
                <c:pt idx="737">
                  <c:v>44914</c:v>
                </c:pt>
                <c:pt idx="738">
                  <c:v>44915</c:v>
                </c:pt>
                <c:pt idx="739">
                  <c:v>44916</c:v>
                </c:pt>
                <c:pt idx="740">
                  <c:v>44917</c:v>
                </c:pt>
                <c:pt idx="741">
                  <c:v>44918</c:v>
                </c:pt>
                <c:pt idx="742">
                  <c:v>44921</c:v>
                </c:pt>
                <c:pt idx="743">
                  <c:v>44922</c:v>
                </c:pt>
                <c:pt idx="744">
                  <c:v>44923</c:v>
                </c:pt>
                <c:pt idx="745">
                  <c:v>44924</c:v>
                </c:pt>
                <c:pt idx="746">
                  <c:v>44925</c:v>
                </c:pt>
                <c:pt idx="747">
                  <c:v>44928</c:v>
                </c:pt>
                <c:pt idx="748">
                  <c:v>44929</c:v>
                </c:pt>
                <c:pt idx="749">
                  <c:v>44930</c:v>
                </c:pt>
                <c:pt idx="750">
                  <c:v>44931</c:v>
                </c:pt>
                <c:pt idx="751">
                  <c:v>44932</c:v>
                </c:pt>
                <c:pt idx="752">
                  <c:v>44935</c:v>
                </c:pt>
                <c:pt idx="753">
                  <c:v>44936</c:v>
                </c:pt>
                <c:pt idx="754">
                  <c:v>44937</c:v>
                </c:pt>
                <c:pt idx="755">
                  <c:v>44938</c:v>
                </c:pt>
                <c:pt idx="756">
                  <c:v>44939</c:v>
                </c:pt>
                <c:pt idx="757">
                  <c:v>44942</c:v>
                </c:pt>
                <c:pt idx="758">
                  <c:v>44943</c:v>
                </c:pt>
                <c:pt idx="759">
                  <c:v>44944</c:v>
                </c:pt>
                <c:pt idx="760">
                  <c:v>44945</c:v>
                </c:pt>
                <c:pt idx="761">
                  <c:v>44946</c:v>
                </c:pt>
                <c:pt idx="762">
                  <c:v>44949</c:v>
                </c:pt>
                <c:pt idx="763">
                  <c:v>44950</c:v>
                </c:pt>
                <c:pt idx="764">
                  <c:v>44951</c:v>
                </c:pt>
                <c:pt idx="765">
                  <c:v>44953</c:v>
                </c:pt>
                <c:pt idx="766">
                  <c:v>44956</c:v>
                </c:pt>
                <c:pt idx="767">
                  <c:v>44957</c:v>
                </c:pt>
                <c:pt idx="768">
                  <c:v>44958</c:v>
                </c:pt>
                <c:pt idx="769">
                  <c:v>44959</c:v>
                </c:pt>
                <c:pt idx="770">
                  <c:v>44960</c:v>
                </c:pt>
                <c:pt idx="771">
                  <c:v>44963</c:v>
                </c:pt>
                <c:pt idx="772">
                  <c:v>44964</c:v>
                </c:pt>
                <c:pt idx="773">
                  <c:v>44965</c:v>
                </c:pt>
                <c:pt idx="774">
                  <c:v>44966</c:v>
                </c:pt>
                <c:pt idx="775">
                  <c:v>44967</c:v>
                </c:pt>
                <c:pt idx="776">
                  <c:v>44970</c:v>
                </c:pt>
                <c:pt idx="777">
                  <c:v>44971</c:v>
                </c:pt>
                <c:pt idx="778">
                  <c:v>44972</c:v>
                </c:pt>
                <c:pt idx="779">
                  <c:v>44973</c:v>
                </c:pt>
                <c:pt idx="780">
                  <c:v>44974</c:v>
                </c:pt>
                <c:pt idx="781">
                  <c:v>44977</c:v>
                </c:pt>
                <c:pt idx="782">
                  <c:v>44978</c:v>
                </c:pt>
                <c:pt idx="783">
                  <c:v>44979</c:v>
                </c:pt>
                <c:pt idx="784">
                  <c:v>44980</c:v>
                </c:pt>
                <c:pt idx="785">
                  <c:v>44981</c:v>
                </c:pt>
                <c:pt idx="786">
                  <c:v>44984</c:v>
                </c:pt>
                <c:pt idx="787">
                  <c:v>44985</c:v>
                </c:pt>
                <c:pt idx="788">
                  <c:v>44986</c:v>
                </c:pt>
                <c:pt idx="789">
                  <c:v>44987</c:v>
                </c:pt>
                <c:pt idx="790">
                  <c:v>44988</c:v>
                </c:pt>
                <c:pt idx="791">
                  <c:v>44991</c:v>
                </c:pt>
                <c:pt idx="792">
                  <c:v>44993</c:v>
                </c:pt>
                <c:pt idx="793">
                  <c:v>44994</c:v>
                </c:pt>
                <c:pt idx="794">
                  <c:v>44995</c:v>
                </c:pt>
                <c:pt idx="795">
                  <c:v>44998</c:v>
                </c:pt>
                <c:pt idx="796">
                  <c:v>44999</c:v>
                </c:pt>
                <c:pt idx="797">
                  <c:v>45000</c:v>
                </c:pt>
                <c:pt idx="798">
                  <c:v>45001</c:v>
                </c:pt>
                <c:pt idx="799">
                  <c:v>45002</c:v>
                </c:pt>
                <c:pt idx="800">
                  <c:v>45005</c:v>
                </c:pt>
                <c:pt idx="801">
                  <c:v>45006</c:v>
                </c:pt>
                <c:pt idx="802">
                  <c:v>45007</c:v>
                </c:pt>
                <c:pt idx="803">
                  <c:v>45008</c:v>
                </c:pt>
                <c:pt idx="804">
                  <c:v>45009</c:v>
                </c:pt>
                <c:pt idx="805">
                  <c:v>45012</c:v>
                </c:pt>
                <c:pt idx="806">
                  <c:v>45013</c:v>
                </c:pt>
                <c:pt idx="807">
                  <c:v>45014</c:v>
                </c:pt>
                <c:pt idx="808">
                  <c:v>45016</c:v>
                </c:pt>
                <c:pt idx="809">
                  <c:v>45019</c:v>
                </c:pt>
                <c:pt idx="810">
                  <c:v>45021</c:v>
                </c:pt>
                <c:pt idx="811">
                  <c:v>45022</c:v>
                </c:pt>
                <c:pt idx="812">
                  <c:v>45026</c:v>
                </c:pt>
                <c:pt idx="813">
                  <c:v>45027</c:v>
                </c:pt>
                <c:pt idx="814">
                  <c:v>45028</c:v>
                </c:pt>
                <c:pt idx="815">
                  <c:v>45029</c:v>
                </c:pt>
                <c:pt idx="816">
                  <c:v>45033</c:v>
                </c:pt>
                <c:pt idx="817">
                  <c:v>45034</c:v>
                </c:pt>
                <c:pt idx="818">
                  <c:v>45035</c:v>
                </c:pt>
                <c:pt idx="819">
                  <c:v>45036</c:v>
                </c:pt>
                <c:pt idx="820">
                  <c:v>45037</c:v>
                </c:pt>
                <c:pt idx="821">
                  <c:v>45040</c:v>
                </c:pt>
                <c:pt idx="822">
                  <c:v>45041</c:v>
                </c:pt>
                <c:pt idx="823">
                  <c:v>45042</c:v>
                </c:pt>
                <c:pt idx="824">
                  <c:v>45043</c:v>
                </c:pt>
                <c:pt idx="825">
                  <c:v>45044</c:v>
                </c:pt>
                <c:pt idx="826">
                  <c:v>45048</c:v>
                </c:pt>
                <c:pt idx="827">
                  <c:v>45049</c:v>
                </c:pt>
                <c:pt idx="828">
                  <c:v>45050</c:v>
                </c:pt>
                <c:pt idx="829">
                  <c:v>45051</c:v>
                </c:pt>
                <c:pt idx="830">
                  <c:v>45054</c:v>
                </c:pt>
                <c:pt idx="831">
                  <c:v>45055</c:v>
                </c:pt>
                <c:pt idx="832">
                  <c:v>45056</c:v>
                </c:pt>
                <c:pt idx="833">
                  <c:v>45057</c:v>
                </c:pt>
                <c:pt idx="834">
                  <c:v>45058</c:v>
                </c:pt>
                <c:pt idx="835">
                  <c:v>45061</c:v>
                </c:pt>
                <c:pt idx="836">
                  <c:v>45062</c:v>
                </c:pt>
                <c:pt idx="837">
                  <c:v>45063</c:v>
                </c:pt>
                <c:pt idx="838">
                  <c:v>45064</c:v>
                </c:pt>
                <c:pt idx="839">
                  <c:v>45065</c:v>
                </c:pt>
                <c:pt idx="840">
                  <c:v>45068</c:v>
                </c:pt>
                <c:pt idx="841">
                  <c:v>45069</c:v>
                </c:pt>
                <c:pt idx="842">
                  <c:v>45070</c:v>
                </c:pt>
                <c:pt idx="843">
                  <c:v>45071</c:v>
                </c:pt>
                <c:pt idx="844">
                  <c:v>45072</c:v>
                </c:pt>
                <c:pt idx="845">
                  <c:v>45075</c:v>
                </c:pt>
                <c:pt idx="846">
                  <c:v>45076</c:v>
                </c:pt>
                <c:pt idx="847">
                  <c:v>45077</c:v>
                </c:pt>
                <c:pt idx="848">
                  <c:v>45078</c:v>
                </c:pt>
                <c:pt idx="849">
                  <c:v>45079</c:v>
                </c:pt>
                <c:pt idx="850">
                  <c:v>45082</c:v>
                </c:pt>
                <c:pt idx="851">
                  <c:v>45083</c:v>
                </c:pt>
                <c:pt idx="852">
                  <c:v>45084</c:v>
                </c:pt>
                <c:pt idx="853">
                  <c:v>45085</c:v>
                </c:pt>
                <c:pt idx="854">
                  <c:v>45086</c:v>
                </c:pt>
                <c:pt idx="855">
                  <c:v>45089</c:v>
                </c:pt>
                <c:pt idx="856">
                  <c:v>45090</c:v>
                </c:pt>
                <c:pt idx="857">
                  <c:v>45091</c:v>
                </c:pt>
                <c:pt idx="858">
                  <c:v>45092</c:v>
                </c:pt>
                <c:pt idx="859">
                  <c:v>45093</c:v>
                </c:pt>
                <c:pt idx="860">
                  <c:v>45096</c:v>
                </c:pt>
                <c:pt idx="861">
                  <c:v>45097</c:v>
                </c:pt>
                <c:pt idx="862">
                  <c:v>45098</c:v>
                </c:pt>
                <c:pt idx="863">
                  <c:v>45099</c:v>
                </c:pt>
                <c:pt idx="864">
                  <c:v>45100</c:v>
                </c:pt>
                <c:pt idx="865">
                  <c:v>45103</c:v>
                </c:pt>
                <c:pt idx="866">
                  <c:v>45104</c:v>
                </c:pt>
                <c:pt idx="867">
                  <c:v>45105</c:v>
                </c:pt>
                <c:pt idx="868">
                  <c:v>45107</c:v>
                </c:pt>
                <c:pt idx="869">
                  <c:v>45110</c:v>
                </c:pt>
                <c:pt idx="870">
                  <c:v>45111</c:v>
                </c:pt>
                <c:pt idx="871">
                  <c:v>45112</c:v>
                </c:pt>
                <c:pt idx="872">
                  <c:v>45113</c:v>
                </c:pt>
                <c:pt idx="873">
                  <c:v>45114</c:v>
                </c:pt>
                <c:pt idx="874">
                  <c:v>45117</c:v>
                </c:pt>
                <c:pt idx="875">
                  <c:v>45118</c:v>
                </c:pt>
                <c:pt idx="876">
                  <c:v>45119</c:v>
                </c:pt>
                <c:pt idx="877">
                  <c:v>45120</c:v>
                </c:pt>
                <c:pt idx="878">
                  <c:v>45121</c:v>
                </c:pt>
                <c:pt idx="879">
                  <c:v>45124</c:v>
                </c:pt>
                <c:pt idx="880">
                  <c:v>45125</c:v>
                </c:pt>
                <c:pt idx="881">
                  <c:v>45126</c:v>
                </c:pt>
                <c:pt idx="882">
                  <c:v>45127</c:v>
                </c:pt>
                <c:pt idx="883">
                  <c:v>45128</c:v>
                </c:pt>
                <c:pt idx="884">
                  <c:v>45131</c:v>
                </c:pt>
                <c:pt idx="885">
                  <c:v>45132</c:v>
                </c:pt>
                <c:pt idx="886">
                  <c:v>45133</c:v>
                </c:pt>
                <c:pt idx="887">
                  <c:v>45134</c:v>
                </c:pt>
                <c:pt idx="888">
                  <c:v>45135</c:v>
                </c:pt>
                <c:pt idx="889">
                  <c:v>45138</c:v>
                </c:pt>
                <c:pt idx="890">
                  <c:v>45139</c:v>
                </c:pt>
                <c:pt idx="891">
                  <c:v>45140</c:v>
                </c:pt>
                <c:pt idx="892">
                  <c:v>45141</c:v>
                </c:pt>
                <c:pt idx="893">
                  <c:v>45142</c:v>
                </c:pt>
                <c:pt idx="894">
                  <c:v>45145</c:v>
                </c:pt>
                <c:pt idx="895">
                  <c:v>45146</c:v>
                </c:pt>
                <c:pt idx="896">
                  <c:v>45147</c:v>
                </c:pt>
                <c:pt idx="897">
                  <c:v>45148</c:v>
                </c:pt>
                <c:pt idx="898">
                  <c:v>45149</c:v>
                </c:pt>
                <c:pt idx="899">
                  <c:v>45152</c:v>
                </c:pt>
                <c:pt idx="900">
                  <c:v>45154</c:v>
                </c:pt>
                <c:pt idx="901">
                  <c:v>45155</c:v>
                </c:pt>
                <c:pt idx="902">
                  <c:v>45156</c:v>
                </c:pt>
                <c:pt idx="903">
                  <c:v>45159</c:v>
                </c:pt>
                <c:pt idx="904">
                  <c:v>45160</c:v>
                </c:pt>
                <c:pt idx="905">
                  <c:v>45161</c:v>
                </c:pt>
                <c:pt idx="906">
                  <c:v>45162</c:v>
                </c:pt>
                <c:pt idx="907">
                  <c:v>45163</c:v>
                </c:pt>
                <c:pt idx="908">
                  <c:v>45166</c:v>
                </c:pt>
                <c:pt idx="909">
                  <c:v>45167</c:v>
                </c:pt>
                <c:pt idx="910">
                  <c:v>45168</c:v>
                </c:pt>
                <c:pt idx="911">
                  <c:v>45169</c:v>
                </c:pt>
                <c:pt idx="912">
                  <c:v>45170</c:v>
                </c:pt>
                <c:pt idx="913">
                  <c:v>45173</c:v>
                </c:pt>
                <c:pt idx="914">
                  <c:v>45174</c:v>
                </c:pt>
                <c:pt idx="915">
                  <c:v>45175</c:v>
                </c:pt>
                <c:pt idx="916">
                  <c:v>45176</c:v>
                </c:pt>
                <c:pt idx="917">
                  <c:v>45177</c:v>
                </c:pt>
                <c:pt idx="918">
                  <c:v>45180</c:v>
                </c:pt>
                <c:pt idx="919">
                  <c:v>45181</c:v>
                </c:pt>
                <c:pt idx="920">
                  <c:v>45182</c:v>
                </c:pt>
                <c:pt idx="921">
                  <c:v>45183</c:v>
                </c:pt>
                <c:pt idx="922">
                  <c:v>45184</c:v>
                </c:pt>
                <c:pt idx="923">
                  <c:v>45187</c:v>
                </c:pt>
                <c:pt idx="924">
                  <c:v>45189</c:v>
                </c:pt>
                <c:pt idx="925">
                  <c:v>45190</c:v>
                </c:pt>
                <c:pt idx="926">
                  <c:v>45191</c:v>
                </c:pt>
                <c:pt idx="927">
                  <c:v>45194</c:v>
                </c:pt>
                <c:pt idx="928">
                  <c:v>45195</c:v>
                </c:pt>
                <c:pt idx="929">
                  <c:v>45196</c:v>
                </c:pt>
                <c:pt idx="930">
                  <c:v>45197</c:v>
                </c:pt>
                <c:pt idx="931">
                  <c:v>45198</c:v>
                </c:pt>
                <c:pt idx="932">
                  <c:v>45202</c:v>
                </c:pt>
                <c:pt idx="933">
                  <c:v>45203</c:v>
                </c:pt>
                <c:pt idx="934">
                  <c:v>45204</c:v>
                </c:pt>
                <c:pt idx="935">
                  <c:v>45205</c:v>
                </c:pt>
                <c:pt idx="936">
                  <c:v>45208</c:v>
                </c:pt>
                <c:pt idx="937">
                  <c:v>45209</c:v>
                </c:pt>
                <c:pt idx="938">
                  <c:v>45210</c:v>
                </c:pt>
                <c:pt idx="939">
                  <c:v>45211</c:v>
                </c:pt>
                <c:pt idx="940">
                  <c:v>45212</c:v>
                </c:pt>
                <c:pt idx="941">
                  <c:v>45215</c:v>
                </c:pt>
                <c:pt idx="942">
                  <c:v>45216</c:v>
                </c:pt>
                <c:pt idx="943">
                  <c:v>45217</c:v>
                </c:pt>
                <c:pt idx="944">
                  <c:v>45218</c:v>
                </c:pt>
                <c:pt idx="945">
                  <c:v>45219</c:v>
                </c:pt>
                <c:pt idx="946">
                  <c:v>45222</c:v>
                </c:pt>
                <c:pt idx="947">
                  <c:v>45224</c:v>
                </c:pt>
                <c:pt idx="948">
                  <c:v>45225</c:v>
                </c:pt>
                <c:pt idx="949">
                  <c:v>45226</c:v>
                </c:pt>
                <c:pt idx="950">
                  <c:v>45229</c:v>
                </c:pt>
                <c:pt idx="951">
                  <c:v>45230</c:v>
                </c:pt>
                <c:pt idx="952">
                  <c:v>45231</c:v>
                </c:pt>
                <c:pt idx="953">
                  <c:v>45232</c:v>
                </c:pt>
                <c:pt idx="954">
                  <c:v>45233</c:v>
                </c:pt>
                <c:pt idx="955">
                  <c:v>45236</c:v>
                </c:pt>
                <c:pt idx="956">
                  <c:v>45237</c:v>
                </c:pt>
                <c:pt idx="957">
                  <c:v>45238</c:v>
                </c:pt>
                <c:pt idx="958">
                  <c:v>45239</c:v>
                </c:pt>
                <c:pt idx="959">
                  <c:v>45240</c:v>
                </c:pt>
                <c:pt idx="960">
                  <c:v>45242</c:v>
                </c:pt>
                <c:pt idx="961">
                  <c:v>45243</c:v>
                </c:pt>
                <c:pt idx="962">
                  <c:v>45245</c:v>
                </c:pt>
                <c:pt idx="963">
                  <c:v>45246</c:v>
                </c:pt>
                <c:pt idx="964">
                  <c:v>45247</c:v>
                </c:pt>
                <c:pt idx="965">
                  <c:v>45250</c:v>
                </c:pt>
                <c:pt idx="966">
                  <c:v>45251</c:v>
                </c:pt>
                <c:pt idx="967">
                  <c:v>45252</c:v>
                </c:pt>
                <c:pt idx="968">
                  <c:v>45253</c:v>
                </c:pt>
                <c:pt idx="969">
                  <c:v>45254</c:v>
                </c:pt>
                <c:pt idx="970">
                  <c:v>45258</c:v>
                </c:pt>
                <c:pt idx="971">
                  <c:v>45259</c:v>
                </c:pt>
                <c:pt idx="972">
                  <c:v>45260</c:v>
                </c:pt>
                <c:pt idx="973">
                  <c:v>45261</c:v>
                </c:pt>
                <c:pt idx="974">
                  <c:v>45264</c:v>
                </c:pt>
                <c:pt idx="975">
                  <c:v>45265</c:v>
                </c:pt>
                <c:pt idx="976">
                  <c:v>45266</c:v>
                </c:pt>
                <c:pt idx="977">
                  <c:v>45267</c:v>
                </c:pt>
                <c:pt idx="978">
                  <c:v>45268</c:v>
                </c:pt>
                <c:pt idx="979">
                  <c:v>45271</c:v>
                </c:pt>
                <c:pt idx="980">
                  <c:v>45272</c:v>
                </c:pt>
                <c:pt idx="981">
                  <c:v>45273</c:v>
                </c:pt>
                <c:pt idx="982">
                  <c:v>45274</c:v>
                </c:pt>
                <c:pt idx="983">
                  <c:v>45275</c:v>
                </c:pt>
                <c:pt idx="984">
                  <c:v>45278</c:v>
                </c:pt>
                <c:pt idx="985">
                  <c:v>45279</c:v>
                </c:pt>
                <c:pt idx="986">
                  <c:v>45280</c:v>
                </c:pt>
                <c:pt idx="987">
                  <c:v>45281</c:v>
                </c:pt>
                <c:pt idx="988">
                  <c:v>45282</c:v>
                </c:pt>
                <c:pt idx="989">
                  <c:v>45286</c:v>
                </c:pt>
                <c:pt idx="990">
                  <c:v>45287</c:v>
                </c:pt>
                <c:pt idx="991">
                  <c:v>45288</c:v>
                </c:pt>
                <c:pt idx="992">
                  <c:v>45289</c:v>
                </c:pt>
                <c:pt idx="993">
                  <c:v>45292</c:v>
                </c:pt>
                <c:pt idx="994">
                  <c:v>45293</c:v>
                </c:pt>
                <c:pt idx="995">
                  <c:v>45294</c:v>
                </c:pt>
                <c:pt idx="996">
                  <c:v>45295</c:v>
                </c:pt>
                <c:pt idx="997">
                  <c:v>45296</c:v>
                </c:pt>
                <c:pt idx="998">
                  <c:v>45299</c:v>
                </c:pt>
                <c:pt idx="999">
                  <c:v>45300</c:v>
                </c:pt>
                <c:pt idx="1000">
                  <c:v>45301</c:v>
                </c:pt>
                <c:pt idx="1001">
                  <c:v>45302</c:v>
                </c:pt>
                <c:pt idx="1002">
                  <c:v>45303</c:v>
                </c:pt>
                <c:pt idx="1003">
                  <c:v>45306</c:v>
                </c:pt>
                <c:pt idx="1004">
                  <c:v>45307</c:v>
                </c:pt>
                <c:pt idx="1005">
                  <c:v>45308</c:v>
                </c:pt>
                <c:pt idx="1006">
                  <c:v>45309</c:v>
                </c:pt>
                <c:pt idx="1007">
                  <c:v>45310</c:v>
                </c:pt>
                <c:pt idx="1008">
                  <c:v>45311</c:v>
                </c:pt>
                <c:pt idx="1009">
                  <c:v>45314</c:v>
                </c:pt>
                <c:pt idx="1010">
                  <c:v>45315</c:v>
                </c:pt>
                <c:pt idx="1011">
                  <c:v>45316</c:v>
                </c:pt>
                <c:pt idx="1012">
                  <c:v>45320</c:v>
                </c:pt>
                <c:pt idx="1013">
                  <c:v>45321</c:v>
                </c:pt>
                <c:pt idx="1014">
                  <c:v>45322</c:v>
                </c:pt>
                <c:pt idx="1015">
                  <c:v>45323</c:v>
                </c:pt>
                <c:pt idx="1016">
                  <c:v>45324</c:v>
                </c:pt>
                <c:pt idx="1017">
                  <c:v>45327</c:v>
                </c:pt>
                <c:pt idx="1018">
                  <c:v>45328</c:v>
                </c:pt>
                <c:pt idx="1019">
                  <c:v>45329</c:v>
                </c:pt>
                <c:pt idx="1020">
                  <c:v>45330</c:v>
                </c:pt>
                <c:pt idx="1021">
                  <c:v>45331</c:v>
                </c:pt>
                <c:pt idx="1022">
                  <c:v>45334</c:v>
                </c:pt>
                <c:pt idx="1023">
                  <c:v>45335</c:v>
                </c:pt>
                <c:pt idx="1024">
                  <c:v>45336</c:v>
                </c:pt>
                <c:pt idx="1025">
                  <c:v>45337</c:v>
                </c:pt>
                <c:pt idx="1026">
                  <c:v>45338</c:v>
                </c:pt>
                <c:pt idx="1027">
                  <c:v>45341</c:v>
                </c:pt>
                <c:pt idx="1028">
                  <c:v>45342</c:v>
                </c:pt>
                <c:pt idx="1029">
                  <c:v>45343</c:v>
                </c:pt>
                <c:pt idx="1030">
                  <c:v>45344</c:v>
                </c:pt>
                <c:pt idx="1031">
                  <c:v>45345</c:v>
                </c:pt>
                <c:pt idx="1032">
                  <c:v>45348</c:v>
                </c:pt>
                <c:pt idx="1033">
                  <c:v>45349</c:v>
                </c:pt>
                <c:pt idx="1034">
                  <c:v>45350</c:v>
                </c:pt>
                <c:pt idx="1035">
                  <c:v>45351</c:v>
                </c:pt>
                <c:pt idx="1036">
                  <c:v>45352</c:v>
                </c:pt>
                <c:pt idx="1037">
                  <c:v>45353</c:v>
                </c:pt>
                <c:pt idx="1038">
                  <c:v>45355</c:v>
                </c:pt>
                <c:pt idx="1039">
                  <c:v>45356</c:v>
                </c:pt>
                <c:pt idx="1040">
                  <c:v>45357</c:v>
                </c:pt>
                <c:pt idx="1041">
                  <c:v>45358</c:v>
                </c:pt>
                <c:pt idx="1042">
                  <c:v>45362</c:v>
                </c:pt>
                <c:pt idx="1043">
                  <c:v>45363</c:v>
                </c:pt>
                <c:pt idx="1044">
                  <c:v>45364</c:v>
                </c:pt>
                <c:pt idx="1045">
                  <c:v>45365</c:v>
                </c:pt>
                <c:pt idx="1046">
                  <c:v>45366</c:v>
                </c:pt>
                <c:pt idx="1047">
                  <c:v>45369</c:v>
                </c:pt>
                <c:pt idx="1048">
                  <c:v>45370</c:v>
                </c:pt>
                <c:pt idx="1049">
                  <c:v>45371</c:v>
                </c:pt>
                <c:pt idx="1050">
                  <c:v>45372</c:v>
                </c:pt>
                <c:pt idx="1051">
                  <c:v>45373</c:v>
                </c:pt>
                <c:pt idx="1052">
                  <c:v>45377</c:v>
                </c:pt>
                <c:pt idx="1053">
                  <c:v>45378</c:v>
                </c:pt>
                <c:pt idx="1054">
                  <c:v>45379</c:v>
                </c:pt>
                <c:pt idx="1055">
                  <c:v>45383</c:v>
                </c:pt>
                <c:pt idx="1056">
                  <c:v>45384</c:v>
                </c:pt>
                <c:pt idx="1057">
                  <c:v>45385</c:v>
                </c:pt>
                <c:pt idx="1058">
                  <c:v>45386</c:v>
                </c:pt>
                <c:pt idx="1059">
                  <c:v>45387</c:v>
                </c:pt>
                <c:pt idx="1060">
                  <c:v>45390</c:v>
                </c:pt>
                <c:pt idx="1061">
                  <c:v>45391</c:v>
                </c:pt>
                <c:pt idx="1062">
                  <c:v>45392</c:v>
                </c:pt>
                <c:pt idx="1063">
                  <c:v>45394</c:v>
                </c:pt>
                <c:pt idx="1064">
                  <c:v>45397</c:v>
                </c:pt>
                <c:pt idx="1065">
                  <c:v>45398</c:v>
                </c:pt>
                <c:pt idx="1066">
                  <c:v>45400</c:v>
                </c:pt>
                <c:pt idx="1067">
                  <c:v>45401</c:v>
                </c:pt>
                <c:pt idx="1068">
                  <c:v>45404</c:v>
                </c:pt>
                <c:pt idx="1069">
                  <c:v>45405</c:v>
                </c:pt>
                <c:pt idx="1070">
                  <c:v>45406</c:v>
                </c:pt>
                <c:pt idx="1071">
                  <c:v>45407</c:v>
                </c:pt>
                <c:pt idx="1072">
                  <c:v>45408</c:v>
                </c:pt>
                <c:pt idx="1073">
                  <c:v>45411</c:v>
                </c:pt>
                <c:pt idx="1074">
                  <c:v>45412</c:v>
                </c:pt>
                <c:pt idx="1075">
                  <c:v>45414</c:v>
                </c:pt>
                <c:pt idx="1076">
                  <c:v>45415</c:v>
                </c:pt>
                <c:pt idx="1077">
                  <c:v>45418</c:v>
                </c:pt>
                <c:pt idx="1078">
                  <c:v>45419</c:v>
                </c:pt>
                <c:pt idx="1079">
                  <c:v>45420</c:v>
                </c:pt>
                <c:pt idx="1080">
                  <c:v>45421</c:v>
                </c:pt>
                <c:pt idx="1081">
                  <c:v>45422</c:v>
                </c:pt>
                <c:pt idx="1082">
                  <c:v>45425</c:v>
                </c:pt>
                <c:pt idx="1083">
                  <c:v>45426</c:v>
                </c:pt>
                <c:pt idx="1084">
                  <c:v>45427</c:v>
                </c:pt>
                <c:pt idx="1085">
                  <c:v>45428</c:v>
                </c:pt>
                <c:pt idx="1086">
                  <c:v>45429</c:v>
                </c:pt>
                <c:pt idx="1087">
                  <c:v>45430</c:v>
                </c:pt>
                <c:pt idx="1088">
                  <c:v>45433</c:v>
                </c:pt>
                <c:pt idx="1089">
                  <c:v>45434</c:v>
                </c:pt>
                <c:pt idx="1090">
                  <c:v>45435</c:v>
                </c:pt>
                <c:pt idx="1091">
                  <c:v>45436</c:v>
                </c:pt>
                <c:pt idx="1092">
                  <c:v>45439</c:v>
                </c:pt>
                <c:pt idx="1093">
                  <c:v>45440</c:v>
                </c:pt>
                <c:pt idx="1094">
                  <c:v>45441</c:v>
                </c:pt>
                <c:pt idx="1095">
                  <c:v>45442</c:v>
                </c:pt>
                <c:pt idx="1096">
                  <c:v>45443</c:v>
                </c:pt>
                <c:pt idx="1097">
                  <c:v>45446</c:v>
                </c:pt>
                <c:pt idx="1098">
                  <c:v>45447</c:v>
                </c:pt>
                <c:pt idx="1099">
                  <c:v>45448</c:v>
                </c:pt>
                <c:pt idx="1100">
                  <c:v>45449</c:v>
                </c:pt>
                <c:pt idx="1101">
                  <c:v>45450</c:v>
                </c:pt>
                <c:pt idx="1102">
                  <c:v>45453</c:v>
                </c:pt>
                <c:pt idx="1103">
                  <c:v>45454</c:v>
                </c:pt>
                <c:pt idx="1104">
                  <c:v>45455</c:v>
                </c:pt>
                <c:pt idx="1105">
                  <c:v>45456</c:v>
                </c:pt>
                <c:pt idx="1106">
                  <c:v>45457</c:v>
                </c:pt>
                <c:pt idx="1107">
                  <c:v>45461</c:v>
                </c:pt>
                <c:pt idx="1108">
                  <c:v>45462</c:v>
                </c:pt>
                <c:pt idx="1109">
                  <c:v>45463</c:v>
                </c:pt>
                <c:pt idx="1110">
                  <c:v>45464</c:v>
                </c:pt>
                <c:pt idx="1111">
                  <c:v>45467</c:v>
                </c:pt>
                <c:pt idx="1112">
                  <c:v>45468</c:v>
                </c:pt>
                <c:pt idx="1113">
                  <c:v>45469</c:v>
                </c:pt>
                <c:pt idx="1114">
                  <c:v>45470</c:v>
                </c:pt>
                <c:pt idx="1115">
                  <c:v>45471</c:v>
                </c:pt>
                <c:pt idx="1116">
                  <c:v>45474</c:v>
                </c:pt>
                <c:pt idx="1117">
                  <c:v>45475</c:v>
                </c:pt>
                <c:pt idx="1118">
                  <c:v>45476</c:v>
                </c:pt>
                <c:pt idx="1119">
                  <c:v>45477</c:v>
                </c:pt>
                <c:pt idx="1120">
                  <c:v>45478</c:v>
                </c:pt>
                <c:pt idx="1121">
                  <c:v>45481</c:v>
                </c:pt>
                <c:pt idx="1122">
                  <c:v>45482</c:v>
                </c:pt>
                <c:pt idx="1123">
                  <c:v>45483</c:v>
                </c:pt>
                <c:pt idx="1124">
                  <c:v>45484</c:v>
                </c:pt>
                <c:pt idx="1125">
                  <c:v>45485</c:v>
                </c:pt>
                <c:pt idx="1126">
                  <c:v>45488</c:v>
                </c:pt>
                <c:pt idx="1127">
                  <c:v>45489</c:v>
                </c:pt>
                <c:pt idx="1128">
                  <c:v>45491</c:v>
                </c:pt>
                <c:pt idx="1129">
                  <c:v>45492</c:v>
                </c:pt>
                <c:pt idx="1130">
                  <c:v>45495</c:v>
                </c:pt>
                <c:pt idx="1131">
                  <c:v>45496</c:v>
                </c:pt>
                <c:pt idx="1132">
                  <c:v>45497</c:v>
                </c:pt>
                <c:pt idx="1133">
                  <c:v>45498</c:v>
                </c:pt>
                <c:pt idx="1134">
                  <c:v>45499</c:v>
                </c:pt>
                <c:pt idx="1135">
                  <c:v>45502</c:v>
                </c:pt>
                <c:pt idx="1136">
                  <c:v>45503</c:v>
                </c:pt>
                <c:pt idx="1137">
                  <c:v>45504</c:v>
                </c:pt>
                <c:pt idx="1138">
                  <c:v>45505</c:v>
                </c:pt>
                <c:pt idx="1139">
                  <c:v>45506</c:v>
                </c:pt>
                <c:pt idx="1140">
                  <c:v>45509</c:v>
                </c:pt>
                <c:pt idx="1141">
                  <c:v>45510</c:v>
                </c:pt>
                <c:pt idx="1142">
                  <c:v>45511</c:v>
                </c:pt>
                <c:pt idx="1143">
                  <c:v>45512</c:v>
                </c:pt>
                <c:pt idx="1144">
                  <c:v>45513</c:v>
                </c:pt>
                <c:pt idx="1145">
                  <c:v>45516</c:v>
                </c:pt>
                <c:pt idx="1146">
                  <c:v>45517</c:v>
                </c:pt>
                <c:pt idx="1147">
                  <c:v>45518</c:v>
                </c:pt>
                <c:pt idx="1148">
                  <c:v>45520</c:v>
                </c:pt>
                <c:pt idx="1149">
                  <c:v>45523</c:v>
                </c:pt>
                <c:pt idx="1150">
                  <c:v>45524</c:v>
                </c:pt>
                <c:pt idx="1151">
                  <c:v>45525</c:v>
                </c:pt>
                <c:pt idx="1152">
                  <c:v>45526</c:v>
                </c:pt>
                <c:pt idx="1153">
                  <c:v>45527</c:v>
                </c:pt>
                <c:pt idx="1154">
                  <c:v>45530</c:v>
                </c:pt>
                <c:pt idx="1155">
                  <c:v>45531</c:v>
                </c:pt>
                <c:pt idx="1156">
                  <c:v>45532</c:v>
                </c:pt>
                <c:pt idx="1157">
                  <c:v>45533</c:v>
                </c:pt>
                <c:pt idx="1158">
                  <c:v>45534</c:v>
                </c:pt>
                <c:pt idx="1159">
                  <c:v>45537</c:v>
                </c:pt>
                <c:pt idx="1160">
                  <c:v>45538</c:v>
                </c:pt>
                <c:pt idx="1161">
                  <c:v>45539</c:v>
                </c:pt>
                <c:pt idx="1162">
                  <c:v>45540</c:v>
                </c:pt>
                <c:pt idx="1163">
                  <c:v>45541</c:v>
                </c:pt>
                <c:pt idx="1164">
                  <c:v>45544</c:v>
                </c:pt>
                <c:pt idx="1165">
                  <c:v>45545</c:v>
                </c:pt>
                <c:pt idx="1166">
                  <c:v>45546</c:v>
                </c:pt>
                <c:pt idx="1167">
                  <c:v>45547</c:v>
                </c:pt>
                <c:pt idx="1168">
                  <c:v>45548</c:v>
                </c:pt>
                <c:pt idx="1169">
                  <c:v>45551</c:v>
                </c:pt>
                <c:pt idx="1170">
                  <c:v>45552</c:v>
                </c:pt>
                <c:pt idx="1171">
                  <c:v>45553</c:v>
                </c:pt>
                <c:pt idx="1172">
                  <c:v>45554</c:v>
                </c:pt>
                <c:pt idx="1173">
                  <c:v>45555</c:v>
                </c:pt>
                <c:pt idx="1174">
                  <c:v>45558</c:v>
                </c:pt>
                <c:pt idx="1175">
                  <c:v>45559</c:v>
                </c:pt>
                <c:pt idx="1176">
                  <c:v>45560</c:v>
                </c:pt>
                <c:pt idx="1177">
                  <c:v>45561</c:v>
                </c:pt>
                <c:pt idx="1178">
                  <c:v>45562</c:v>
                </c:pt>
                <c:pt idx="1179">
                  <c:v>45565</c:v>
                </c:pt>
                <c:pt idx="1180">
                  <c:v>45566</c:v>
                </c:pt>
                <c:pt idx="1181">
                  <c:v>45568</c:v>
                </c:pt>
                <c:pt idx="1182">
                  <c:v>45569</c:v>
                </c:pt>
                <c:pt idx="1183">
                  <c:v>45572</c:v>
                </c:pt>
                <c:pt idx="1184">
                  <c:v>45573</c:v>
                </c:pt>
                <c:pt idx="1185">
                  <c:v>45574</c:v>
                </c:pt>
                <c:pt idx="1186">
                  <c:v>45575</c:v>
                </c:pt>
                <c:pt idx="1187">
                  <c:v>45576</c:v>
                </c:pt>
                <c:pt idx="1188">
                  <c:v>45579</c:v>
                </c:pt>
                <c:pt idx="1189">
                  <c:v>45580</c:v>
                </c:pt>
                <c:pt idx="1190">
                  <c:v>45581</c:v>
                </c:pt>
                <c:pt idx="1191">
                  <c:v>45582</c:v>
                </c:pt>
                <c:pt idx="1192">
                  <c:v>45583</c:v>
                </c:pt>
                <c:pt idx="1193">
                  <c:v>45586</c:v>
                </c:pt>
                <c:pt idx="1194">
                  <c:v>45587</c:v>
                </c:pt>
                <c:pt idx="1195">
                  <c:v>45588</c:v>
                </c:pt>
                <c:pt idx="1196">
                  <c:v>45589</c:v>
                </c:pt>
                <c:pt idx="1197">
                  <c:v>45590</c:v>
                </c:pt>
                <c:pt idx="1198">
                  <c:v>45593</c:v>
                </c:pt>
                <c:pt idx="1199">
                  <c:v>45594</c:v>
                </c:pt>
                <c:pt idx="1200">
                  <c:v>45595</c:v>
                </c:pt>
                <c:pt idx="1201">
                  <c:v>45596</c:v>
                </c:pt>
                <c:pt idx="1202">
                  <c:v>45597</c:v>
                </c:pt>
                <c:pt idx="1203">
                  <c:v>45600</c:v>
                </c:pt>
                <c:pt idx="1204">
                  <c:v>45601</c:v>
                </c:pt>
                <c:pt idx="1205">
                  <c:v>45602</c:v>
                </c:pt>
                <c:pt idx="1206">
                  <c:v>45603</c:v>
                </c:pt>
                <c:pt idx="1207">
                  <c:v>45604</c:v>
                </c:pt>
                <c:pt idx="1208">
                  <c:v>45607</c:v>
                </c:pt>
                <c:pt idx="1209">
                  <c:v>45608</c:v>
                </c:pt>
                <c:pt idx="1210">
                  <c:v>45609</c:v>
                </c:pt>
                <c:pt idx="1211">
                  <c:v>45610</c:v>
                </c:pt>
                <c:pt idx="1212">
                  <c:v>45614</c:v>
                </c:pt>
                <c:pt idx="1213">
                  <c:v>45615</c:v>
                </c:pt>
                <c:pt idx="1214">
                  <c:v>45617</c:v>
                </c:pt>
                <c:pt idx="1215">
                  <c:v>45618</c:v>
                </c:pt>
                <c:pt idx="1216">
                  <c:v>45621</c:v>
                </c:pt>
                <c:pt idx="1217">
                  <c:v>45622</c:v>
                </c:pt>
                <c:pt idx="1218">
                  <c:v>45623</c:v>
                </c:pt>
                <c:pt idx="1219">
                  <c:v>45624</c:v>
                </c:pt>
                <c:pt idx="1220">
                  <c:v>45625</c:v>
                </c:pt>
                <c:pt idx="1221">
                  <c:v>45628</c:v>
                </c:pt>
                <c:pt idx="1222">
                  <c:v>45629</c:v>
                </c:pt>
                <c:pt idx="1223">
                  <c:v>45630</c:v>
                </c:pt>
                <c:pt idx="1224">
                  <c:v>45631</c:v>
                </c:pt>
                <c:pt idx="1225">
                  <c:v>45632</c:v>
                </c:pt>
                <c:pt idx="1226">
                  <c:v>45635</c:v>
                </c:pt>
                <c:pt idx="1227">
                  <c:v>45636</c:v>
                </c:pt>
                <c:pt idx="1228">
                  <c:v>45637</c:v>
                </c:pt>
                <c:pt idx="1229">
                  <c:v>45638</c:v>
                </c:pt>
                <c:pt idx="1230">
                  <c:v>45639</c:v>
                </c:pt>
                <c:pt idx="1231">
                  <c:v>45642</c:v>
                </c:pt>
                <c:pt idx="1232">
                  <c:v>45643</c:v>
                </c:pt>
                <c:pt idx="1233">
                  <c:v>45644</c:v>
                </c:pt>
                <c:pt idx="1234">
                  <c:v>45645</c:v>
                </c:pt>
                <c:pt idx="1235">
                  <c:v>45646</c:v>
                </c:pt>
                <c:pt idx="1236">
                  <c:v>45649</c:v>
                </c:pt>
                <c:pt idx="1237">
                  <c:v>45650</c:v>
                </c:pt>
                <c:pt idx="1238">
                  <c:v>45652</c:v>
                </c:pt>
                <c:pt idx="1239">
                  <c:v>45653</c:v>
                </c:pt>
                <c:pt idx="1240">
                  <c:v>45656</c:v>
                </c:pt>
                <c:pt idx="1241">
                  <c:v>45657</c:v>
                </c:pt>
                <c:pt idx="1242">
                  <c:v>45658</c:v>
                </c:pt>
                <c:pt idx="1243">
                  <c:v>45659</c:v>
                </c:pt>
                <c:pt idx="1244">
                  <c:v>45660</c:v>
                </c:pt>
                <c:pt idx="1245">
                  <c:v>45663</c:v>
                </c:pt>
                <c:pt idx="1246">
                  <c:v>45664</c:v>
                </c:pt>
                <c:pt idx="1247">
                  <c:v>45665</c:v>
                </c:pt>
                <c:pt idx="1248">
                  <c:v>45666</c:v>
                </c:pt>
                <c:pt idx="1249">
                  <c:v>45667</c:v>
                </c:pt>
                <c:pt idx="1250">
                  <c:v>45670</c:v>
                </c:pt>
                <c:pt idx="1251">
                  <c:v>45671</c:v>
                </c:pt>
                <c:pt idx="1252">
                  <c:v>45672</c:v>
                </c:pt>
                <c:pt idx="1253">
                  <c:v>45673</c:v>
                </c:pt>
                <c:pt idx="1254">
                  <c:v>45674</c:v>
                </c:pt>
                <c:pt idx="1255">
                  <c:v>45677</c:v>
                </c:pt>
                <c:pt idx="1256">
                  <c:v>45678</c:v>
                </c:pt>
                <c:pt idx="1257">
                  <c:v>45679</c:v>
                </c:pt>
                <c:pt idx="1258">
                  <c:v>45680</c:v>
                </c:pt>
                <c:pt idx="1259">
                  <c:v>45681</c:v>
                </c:pt>
                <c:pt idx="1260">
                  <c:v>45684</c:v>
                </c:pt>
                <c:pt idx="1261">
                  <c:v>45685</c:v>
                </c:pt>
                <c:pt idx="1262">
                  <c:v>45686</c:v>
                </c:pt>
                <c:pt idx="1263">
                  <c:v>45687</c:v>
                </c:pt>
                <c:pt idx="1264">
                  <c:v>45688</c:v>
                </c:pt>
                <c:pt idx="1265">
                  <c:v>45689</c:v>
                </c:pt>
                <c:pt idx="1266">
                  <c:v>45691</c:v>
                </c:pt>
                <c:pt idx="1267">
                  <c:v>45692</c:v>
                </c:pt>
                <c:pt idx="1268">
                  <c:v>45693</c:v>
                </c:pt>
                <c:pt idx="1269">
                  <c:v>45694</c:v>
                </c:pt>
                <c:pt idx="1270">
                  <c:v>45695</c:v>
                </c:pt>
                <c:pt idx="1271">
                  <c:v>45698</c:v>
                </c:pt>
                <c:pt idx="1272">
                  <c:v>45699</c:v>
                </c:pt>
                <c:pt idx="1273">
                  <c:v>45700</c:v>
                </c:pt>
                <c:pt idx="1274">
                  <c:v>45701</c:v>
                </c:pt>
                <c:pt idx="1275">
                  <c:v>45702</c:v>
                </c:pt>
                <c:pt idx="1276">
                  <c:v>45705</c:v>
                </c:pt>
                <c:pt idx="1277">
                  <c:v>45706</c:v>
                </c:pt>
                <c:pt idx="1278">
                  <c:v>45707</c:v>
                </c:pt>
                <c:pt idx="1279">
                  <c:v>45708</c:v>
                </c:pt>
                <c:pt idx="1280">
                  <c:v>45709</c:v>
                </c:pt>
                <c:pt idx="1281">
                  <c:v>45712</c:v>
                </c:pt>
                <c:pt idx="1282">
                  <c:v>45713</c:v>
                </c:pt>
                <c:pt idx="1283">
                  <c:v>45715</c:v>
                </c:pt>
                <c:pt idx="1284">
                  <c:v>45716</c:v>
                </c:pt>
                <c:pt idx="1285">
                  <c:v>45719</c:v>
                </c:pt>
                <c:pt idx="1286">
                  <c:v>45720</c:v>
                </c:pt>
                <c:pt idx="1287">
                  <c:v>45721</c:v>
                </c:pt>
                <c:pt idx="1288">
                  <c:v>45722</c:v>
                </c:pt>
                <c:pt idx="1289">
                  <c:v>45723</c:v>
                </c:pt>
                <c:pt idx="1290">
                  <c:v>45726</c:v>
                </c:pt>
                <c:pt idx="1291">
                  <c:v>45727</c:v>
                </c:pt>
                <c:pt idx="1292">
                  <c:v>45728</c:v>
                </c:pt>
                <c:pt idx="1293">
                  <c:v>45729</c:v>
                </c:pt>
                <c:pt idx="1294">
                  <c:v>45733</c:v>
                </c:pt>
                <c:pt idx="1295">
                  <c:v>45734</c:v>
                </c:pt>
                <c:pt idx="1296">
                  <c:v>45735</c:v>
                </c:pt>
                <c:pt idx="1297">
                  <c:v>45736</c:v>
                </c:pt>
                <c:pt idx="1298">
                  <c:v>45737</c:v>
                </c:pt>
                <c:pt idx="1299">
                  <c:v>45740</c:v>
                </c:pt>
                <c:pt idx="1300">
                  <c:v>45741</c:v>
                </c:pt>
                <c:pt idx="1301">
                  <c:v>45742</c:v>
                </c:pt>
                <c:pt idx="1302">
                  <c:v>45743</c:v>
                </c:pt>
                <c:pt idx="1303">
                  <c:v>45744</c:v>
                </c:pt>
                <c:pt idx="1304">
                  <c:v>45748</c:v>
                </c:pt>
                <c:pt idx="1305">
                  <c:v>45749</c:v>
                </c:pt>
                <c:pt idx="1306">
                  <c:v>45750</c:v>
                </c:pt>
                <c:pt idx="1307">
                  <c:v>45751</c:v>
                </c:pt>
                <c:pt idx="1308">
                  <c:v>45754</c:v>
                </c:pt>
                <c:pt idx="1309">
                  <c:v>45755</c:v>
                </c:pt>
                <c:pt idx="1310">
                  <c:v>45756</c:v>
                </c:pt>
                <c:pt idx="1311">
                  <c:v>45758</c:v>
                </c:pt>
                <c:pt idx="1312">
                  <c:v>45762</c:v>
                </c:pt>
                <c:pt idx="1313">
                  <c:v>45763</c:v>
                </c:pt>
                <c:pt idx="1314">
                  <c:v>45764</c:v>
                </c:pt>
                <c:pt idx="1315">
                  <c:v>45768</c:v>
                </c:pt>
                <c:pt idx="1316">
                  <c:v>45769</c:v>
                </c:pt>
                <c:pt idx="1317">
                  <c:v>45770</c:v>
                </c:pt>
                <c:pt idx="1318">
                  <c:v>45771</c:v>
                </c:pt>
                <c:pt idx="1319">
                  <c:v>45772</c:v>
                </c:pt>
                <c:pt idx="1320">
                  <c:v>45775</c:v>
                </c:pt>
                <c:pt idx="1321">
                  <c:v>45776</c:v>
                </c:pt>
                <c:pt idx="1322">
                  <c:v>45777</c:v>
                </c:pt>
                <c:pt idx="1323">
                  <c:v>45779</c:v>
                </c:pt>
                <c:pt idx="1324">
                  <c:v>45782</c:v>
                </c:pt>
                <c:pt idx="1325">
                  <c:v>45783</c:v>
                </c:pt>
                <c:pt idx="1326">
                  <c:v>45784</c:v>
                </c:pt>
                <c:pt idx="1327">
                  <c:v>45785</c:v>
                </c:pt>
                <c:pt idx="1328">
                  <c:v>45786</c:v>
                </c:pt>
                <c:pt idx="1329">
                  <c:v>45789</c:v>
                </c:pt>
                <c:pt idx="1330">
                  <c:v>45790</c:v>
                </c:pt>
                <c:pt idx="1331">
                  <c:v>45791</c:v>
                </c:pt>
                <c:pt idx="1332">
                  <c:v>45792</c:v>
                </c:pt>
                <c:pt idx="1333">
                  <c:v>45793</c:v>
                </c:pt>
                <c:pt idx="1334">
                  <c:v>45796</c:v>
                </c:pt>
                <c:pt idx="1335">
                  <c:v>45797</c:v>
                </c:pt>
                <c:pt idx="1336">
                  <c:v>45798</c:v>
                </c:pt>
                <c:pt idx="1337">
                  <c:v>45799</c:v>
                </c:pt>
                <c:pt idx="1338">
                  <c:v>45800</c:v>
                </c:pt>
                <c:pt idx="1339">
                  <c:v>45803</c:v>
                </c:pt>
                <c:pt idx="1340">
                  <c:v>45804</c:v>
                </c:pt>
                <c:pt idx="1341">
                  <c:v>45805</c:v>
                </c:pt>
                <c:pt idx="1342">
                  <c:v>45806</c:v>
                </c:pt>
                <c:pt idx="1343">
                  <c:v>45807</c:v>
                </c:pt>
                <c:pt idx="1344">
                  <c:v>45810</c:v>
                </c:pt>
                <c:pt idx="1345">
                  <c:v>45811</c:v>
                </c:pt>
                <c:pt idx="1346">
                  <c:v>45812</c:v>
                </c:pt>
                <c:pt idx="1347">
                  <c:v>45813</c:v>
                </c:pt>
                <c:pt idx="1348">
                  <c:v>45814</c:v>
                </c:pt>
                <c:pt idx="1349">
                  <c:v>45817</c:v>
                </c:pt>
                <c:pt idx="1350">
                  <c:v>45818</c:v>
                </c:pt>
                <c:pt idx="1351">
                  <c:v>45819</c:v>
                </c:pt>
                <c:pt idx="1352">
                  <c:v>45820</c:v>
                </c:pt>
                <c:pt idx="1353">
                  <c:v>45821</c:v>
                </c:pt>
                <c:pt idx="1354">
                  <c:v>45824</c:v>
                </c:pt>
                <c:pt idx="1355">
                  <c:v>45825</c:v>
                </c:pt>
                <c:pt idx="1356">
                  <c:v>45826</c:v>
                </c:pt>
                <c:pt idx="1357">
                  <c:v>45827</c:v>
                </c:pt>
                <c:pt idx="1358">
                  <c:v>45828</c:v>
                </c:pt>
                <c:pt idx="1359">
                  <c:v>45831</c:v>
                </c:pt>
                <c:pt idx="1360">
                  <c:v>45832</c:v>
                </c:pt>
                <c:pt idx="1361">
                  <c:v>45833</c:v>
                </c:pt>
                <c:pt idx="1362">
                  <c:v>45834</c:v>
                </c:pt>
                <c:pt idx="1363">
                  <c:v>45835</c:v>
                </c:pt>
                <c:pt idx="1364">
                  <c:v>45838</c:v>
                </c:pt>
                <c:pt idx="1365">
                  <c:v>45839</c:v>
                </c:pt>
                <c:pt idx="1366">
                  <c:v>45840</c:v>
                </c:pt>
                <c:pt idx="1367">
                  <c:v>45841</c:v>
                </c:pt>
                <c:pt idx="1368">
                  <c:v>45842</c:v>
                </c:pt>
                <c:pt idx="1369">
                  <c:v>45845</c:v>
                </c:pt>
                <c:pt idx="1370">
                  <c:v>45846</c:v>
                </c:pt>
                <c:pt idx="1371">
                  <c:v>45847</c:v>
                </c:pt>
                <c:pt idx="1372">
                  <c:v>45848</c:v>
                </c:pt>
                <c:pt idx="1373">
                  <c:v>45849</c:v>
                </c:pt>
                <c:pt idx="1374">
                  <c:v>45852</c:v>
                </c:pt>
                <c:pt idx="1375">
                  <c:v>45853</c:v>
                </c:pt>
                <c:pt idx="1376">
                  <c:v>45854</c:v>
                </c:pt>
                <c:pt idx="1377">
                  <c:v>45855</c:v>
                </c:pt>
                <c:pt idx="1378">
                  <c:v>45856</c:v>
                </c:pt>
                <c:pt idx="1379">
                  <c:v>45859</c:v>
                </c:pt>
                <c:pt idx="1380">
                  <c:v>45860</c:v>
                </c:pt>
                <c:pt idx="1381">
                  <c:v>45861</c:v>
                </c:pt>
                <c:pt idx="1382">
                  <c:v>45862</c:v>
                </c:pt>
                <c:pt idx="1383">
                  <c:v>45863</c:v>
                </c:pt>
                <c:pt idx="1384">
                  <c:v>45866</c:v>
                </c:pt>
                <c:pt idx="1385">
                  <c:v>45867</c:v>
                </c:pt>
                <c:pt idx="1386">
                  <c:v>45868</c:v>
                </c:pt>
                <c:pt idx="1387">
                  <c:v>45869</c:v>
                </c:pt>
                <c:pt idx="1388">
                  <c:v>45870</c:v>
                </c:pt>
                <c:pt idx="1389">
                  <c:v>45873</c:v>
                </c:pt>
                <c:pt idx="1390">
                  <c:v>45874</c:v>
                </c:pt>
                <c:pt idx="1391">
                  <c:v>45875</c:v>
                </c:pt>
                <c:pt idx="1392">
                  <c:v>45876</c:v>
                </c:pt>
                <c:pt idx="1393">
                  <c:v>45877</c:v>
                </c:pt>
                <c:pt idx="1394">
                  <c:v>45880</c:v>
                </c:pt>
                <c:pt idx="1395">
                  <c:v>45881</c:v>
                </c:pt>
                <c:pt idx="1396">
                  <c:v>45882</c:v>
                </c:pt>
                <c:pt idx="1397">
                  <c:v>45883</c:v>
                </c:pt>
                <c:pt idx="1398">
                  <c:v>45887</c:v>
                </c:pt>
                <c:pt idx="1399">
                  <c:v>45888</c:v>
                </c:pt>
                <c:pt idx="1400">
                  <c:v>45889</c:v>
                </c:pt>
                <c:pt idx="1401">
                  <c:v>45890</c:v>
                </c:pt>
                <c:pt idx="1402">
                  <c:v>45891</c:v>
                </c:pt>
                <c:pt idx="1403">
                  <c:v>45894</c:v>
                </c:pt>
                <c:pt idx="1404">
                  <c:v>45895</c:v>
                </c:pt>
                <c:pt idx="1405">
                  <c:v>45897</c:v>
                </c:pt>
                <c:pt idx="1406">
                  <c:v>45898</c:v>
                </c:pt>
                <c:pt idx="1407">
                  <c:v>45901</c:v>
                </c:pt>
                <c:pt idx="1408">
                  <c:v>45902</c:v>
                </c:pt>
                <c:pt idx="1409">
                  <c:v>45903</c:v>
                </c:pt>
                <c:pt idx="1410">
                  <c:v>45904</c:v>
                </c:pt>
                <c:pt idx="1411">
                  <c:v>45905</c:v>
                </c:pt>
                <c:pt idx="1412">
                  <c:v>45908</c:v>
                </c:pt>
                <c:pt idx="1413">
                  <c:v>45909</c:v>
                </c:pt>
                <c:pt idx="1414">
                  <c:v>45910</c:v>
                </c:pt>
                <c:pt idx="1415">
                  <c:v>45911</c:v>
                </c:pt>
                <c:pt idx="1416">
                  <c:v>45912</c:v>
                </c:pt>
                <c:pt idx="1417">
                  <c:v>45915</c:v>
                </c:pt>
                <c:pt idx="1418">
                  <c:v>45916</c:v>
                </c:pt>
                <c:pt idx="1419">
                  <c:v>45917</c:v>
                </c:pt>
                <c:pt idx="1420">
                  <c:v>45918</c:v>
                </c:pt>
                <c:pt idx="1421">
                  <c:v>45919</c:v>
                </c:pt>
                <c:pt idx="1422">
                  <c:v>45922</c:v>
                </c:pt>
                <c:pt idx="1423">
                  <c:v>45923</c:v>
                </c:pt>
                <c:pt idx="1424">
                  <c:v>45924</c:v>
                </c:pt>
                <c:pt idx="1425">
                  <c:v>45925</c:v>
                </c:pt>
                <c:pt idx="1426">
                  <c:v>45926</c:v>
                </c:pt>
                <c:pt idx="1427">
                  <c:v>45929</c:v>
                </c:pt>
                <c:pt idx="1428">
                  <c:v>45930</c:v>
                </c:pt>
                <c:pt idx="1429">
                  <c:v>45931</c:v>
                </c:pt>
                <c:pt idx="1430">
                  <c:v>45933</c:v>
                </c:pt>
                <c:pt idx="1431">
                  <c:v>45936</c:v>
                </c:pt>
                <c:pt idx="1432">
                  <c:v>45937</c:v>
                </c:pt>
                <c:pt idx="1433">
                  <c:v>45938</c:v>
                </c:pt>
                <c:pt idx="1434">
                  <c:v>45939</c:v>
                </c:pt>
                <c:pt idx="1435">
                  <c:v>45940</c:v>
                </c:pt>
                <c:pt idx="1436">
                  <c:v>45943</c:v>
                </c:pt>
                <c:pt idx="1437">
                  <c:v>45944</c:v>
                </c:pt>
                <c:pt idx="1438">
                  <c:v>45945</c:v>
                </c:pt>
                <c:pt idx="1439">
                  <c:v>45946</c:v>
                </c:pt>
                <c:pt idx="1440">
                  <c:v>45947</c:v>
                </c:pt>
                <c:pt idx="1441">
                  <c:v>45950</c:v>
                </c:pt>
                <c:pt idx="1442">
                  <c:v>45951</c:v>
                </c:pt>
                <c:pt idx="1443">
                  <c:v>45953</c:v>
                </c:pt>
                <c:pt idx="1444">
                  <c:v>45954</c:v>
                </c:pt>
                <c:pt idx="1445">
                  <c:v>45957</c:v>
                </c:pt>
                <c:pt idx="1446">
                  <c:v>45958</c:v>
                </c:pt>
                <c:pt idx="1447">
                  <c:v>45959</c:v>
                </c:pt>
                <c:pt idx="1448">
                  <c:v>45960</c:v>
                </c:pt>
                <c:pt idx="1449">
                  <c:v>45961</c:v>
                </c:pt>
                <c:pt idx="1450">
                  <c:v>45964</c:v>
                </c:pt>
                <c:pt idx="1451">
                  <c:v>45965</c:v>
                </c:pt>
                <c:pt idx="1452">
                  <c:v>45967</c:v>
                </c:pt>
                <c:pt idx="1453">
                  <c:v>45968</c:v>
                </c:pt>
                <c:pt idx="1454">
                  <c:v>45971</c:v>
                </c:pt>
                <c:pt idx="1455">
                  <c:v>45972</c:v>
                </c:pt>
                <c:pt idx="1456">
                  <c:v>45973</c:v>
                </c:pt>
                <c:pt idx="1457">
                  <c:v>45974</c:v>
                </c:pt>
                <c:pt idx="1458">
                  <c:v>45975</c:v>
                </c:pt>
                <c:pt idx="1459">
                  <c:v>45978</c:v>
                </c:pt>
                <c:pt idx="1460">
                  <c:v>45979</c:v>
                </c:pt>
                <c:pt idx="1461">
                  <c:v>45980</c:v>
                </c:pt>
                <c:pt idx="1462">
                  <c:v>45981</c:v>
                </c:pt>
                <c:pt idx="1463">
                  <c:v>45982</c:v>
                </c:pt>
                <c:pt idx="1464">
                  <c:v>45985</c:v>
                </c:pt>
                <c:pt idx="1465">
                  <c:v>45986</c:v>
                </c:pt>
                <c:pt idx="1466">
                  <c:v>45987</c:v>
                </c:pt>
                <c:pt idx="1467">
                  <c:v>45988</c:v>
                </c:pt>
                <c:pt idx="1468">
                  <c:v>45989</c:v>
                </c:pt>
                <c:pt idx="1469">
                  <c:v>45992</c:v>
                </c:pt>
                <c:pt idx="1470">
                  <c:v>45993</c:v>
                </c:pt>
                <c:pt idx="1471">
                  <c:v>45994</c:v>
                </c:pt>
                <c:pt idx="1472">
                  <c:v>45995</c:v>
                </c:pt>
                <c:pt idx="1473">
                  <c:v>45996</c:v>
                </c:pt>
                <c:pt idx="1474">
                  <c:v>45999</c:v>
                </c:pt>
                <c:pt idx="1475">
                  <c:v>46000</c:v>
                </c:pt>
                <c:pt idx="1476">
                  <c:v>46001</c:v>
                </c:pt>
                <c:pt idx="1477">
                  <c:v>46002</c:v>
                </c:pt>
                <c:pt idx="1478">
                  <c:v>46003</c:v>
                </c:pt>
                <c:pt idx="1479">
                  <c:v>46006</c:v>
                </c:pt>
                <c:pt idx="1480">
                  <c:v>46007</c:v>
                </c:pt>
                <c:pt idx="1481">
                  <c:v>46008</c:v>
                </c:pt>
                <c:pt idx="1482">
                  <c:v>46009</c:v>
                </c:pt>
                <c:pt idx="1483">
                  <c:v>46010</c:v>
                </c:pt>
                <c:pt idx="1484">
                  <c:v>46013</c:v>
                </c:pt>
                <c:pt idx="1485">
                  <c:v>46014</c:v>
                </c:pt>
                <c:pt idx="1486">
                  <c:v>46015</c:v>
                </c:pt>
                <c:pt idx="1487">
                  <c:v>46017</c:v>
                </c:pt>
                <c:pt idx="1488">
                  <c:v>46020</c:v>
                </c:pt>
                <c:pt idx="1489">
                  <c:v>46021</c:v>
                </c:pt>
                <c:pt idx="1490">
                  <c:v>46022</c:v>
                </c:pt>
                <c:pt idx="1491">
                  <c:v>46023</c:v>
                </c:pt>
                <c:pt idx="1492">
                  <c:v>46024</c:v>
                </c:pt>
                <c:pt idx="1493">
                  <c:v>46027</c:v>
                </c:pt>
                <c:pt idx="1494">
                  <c:v>46028</c:v>
                </c:pt>
                <c:pt idx="1495">
                  <c:v>46029</c:v>
                </c:pt>
                <c:pt idx="1496">
                  <c:v>46030</c:v>
                </c:pt>
                <c:pt idx="1497">
                  <c:v>46031</c:v>
                </c:pt>
                <c:pt idx="1498">
                  <c:v>46034</c:v>
                </c:pt>
                <c:pt idx="1499">
                  <c:v>46035</c:v>
                </c:pt>
                <c:pt idx="1500">
                  <c:v>46036</c:v>
                </c:pt>
                <c:pt idx="1501">
                  <c:v>46038</c:v>
                </c:pt>
                <c:pt idx="1502">
                  <c:v>46041</c:v>
                </c:pt>
                <c:pt idx="1503">
                  <c:v>46042</c:v>
                </c:pt>
                <c:pt idx="1504">
                  <c:v>46043</c:v>
                </c:pt>
                <c:pt idx="1505">
                  <c:v>46044</c:v>
                </c:pt>
                <c:pt idx="1506">
                  <c:v>46045</c:v>
                </c:pt>
                <c:pt idx="1507">
                  <c:v>46049</c:v>
                </c:pt>
                <c:pt idx="1508">
                  <c:v>46050</c:v>
                </c:pt>
                <c:pt idx="1509">
                  <c:v>46051</c:v>
                </c:pt>
                <c:pt idx="1510">
                  <c:v>46052</c:v>
                </c:pt>
                <c:pt idx="1511">
                  <c:v>46054</c:v>
                </c:pt>
                <c:pt idx="1512">
                  <c:v>46055</c:v>
                </c:pt>
                <c:pt idx="1513">
                  <c:v>46056</c:v>
                </c:pt>
                <c:pt idx="1514">
                  <c:v>46057</c:v>
                </c:pt>
                <c:pt idx="1515">
                  <c:v>46058</c:v>
                </c:pt>
                <c:pt idx="1516">
                  <c:v>46059</c:v>
                </c:pt>
                <c:pt idx="1517">
                  <c:v>46062</c:v>
                </c:pt>
                <c:pt idx="1518">
                  <c:v>46063</c:v>
                </c:pt>
                <c:pt idx="1519">
                  <c:v>46064</c:v>
                </c:pt>
                <c:pt idx="1520">
                  <c:v>46065</c:v>
                </c:pt>
                <c:pt idx="1521">
                  <c:v>46066</c:v>
                </c:pt>
              </c:numCache>
            </c:numRef>
          </c:cat>
          <c:val>
            <c:numRef>
              <c:f>data!$S$2:$S$1523</c:f>
              <c:numCache>
                <c:formatCode>General</c:formatCode>
                <c:ptCount val="1522"/>
                <c:pt idx="0">
                  <c:v>2207.58</c:v>
                </c:pt>
                <c:pt idx="1">
                  <c:v>2160.09</c:v>
                </c:pt>
                <c:pt idx="2">
                  <c:v>2118.9299999999998</c:v>
                </c:pt>
                <c:pt idx="3">
                  <c:v>2086.0500000000002</c:v>
                </c:pt>
                <c:pt idx="4">
                  <c:v>2080.38</c:v>
                </c:pt>
                <c:pt idx="5">
                  <c:v>1989.22</c:v>
                </c:pt>
                <c:pt idx="6">
                  <c:v>2032.89</c:v>
                </c:pt>
                <c:pt idx="7">
                  <c:v>2043.28</c:v>
                </c:pt>
                <c:pt idx="8">
                  <c:v>2028</c:v>
                </c:pt>
                <c:pt idx="9">
                  <c:v>2048.9699999999998</c:v>
                </c:pt>
                <c:pt idx="10">
                  <c:v>2062.48</c:v>
                </c:pt>
                <c:pt idx="11">
                  <c:v>2153.62</c:v>
                </c:pt>
                <c:pt idx="12">
                  <c:v>2129.2199999999998</c:v>
                </c:pt>
                <c:pt idx="13">
                  <c:v>2136.5100000000002</c:v>
                </c:pt>
                <c:pt idx="14">
                  <c:v>2105.66</c:v>
                </c:pt>
                <c:pt idx="15">
                  <c:v>2110</c:v>
                </c:pt>
                <c:pt idx="16">
                  <c:v>2091.5700000000002</c:v>
                </c:pt>
                <c:pt idx="17">
                  <c:v>2093.08</c:v>
                </c:pt>
                <c:pt idx="18">
                  <c:v>2109.52</c:v>
                </c:pt>
                <c:pt idx="19">
                  <c:v>2108.66</c:v>
                </c:pt>
                <c:pt idx="20">
                  <c:v>2019.22</c:v>
                </c:pt>
                <c:pt idx="21">
                  <c:v>2034.03</c:v>
                </c:pt>
                <c:pt idx="22">
                  <c:v>2028.93</c:v>
                </c:pt>
                <c:pt idx="23">
                  <c:v>2005.92</c:v>
                </c:pt>
                <c:pt idx="24">
                  <c:v>1988.35</c:v>
                </c:pt>
                <c:pt idx="25">
                  <c:v>1951.27</c:v>
                </c:pt>
                <c:pt idx="26">
                  <c:v>1948.7</c:v>
                </c:pt>
                <c:pt idx="27">
                  <c:v>2039.12</c:v>
                </c:pt>
                <c:pt idx="28">
                  <c:v>1973.63</c:v>
                </c:pt>
                <c:pt idx="29">
                  <c:v>1905.72</c:v>
                </c:pt>
                <c:pt idx="30">
                  <c:v>1900.92</c:v>
                </c:pt>
                <c:pt idx="31">
                  <c:v>1927.79</c:v>
                </c:pt>
                <c:pt idx="32">
                  <c:v>1935.53</c:v>
                </c:pt>
                <c:pt idx="33">
                  <c:v>1870.36</c:v>
                </c:pt>
                <c:pt idx="34">
                  <c:v>1853.59</c:v>
                </c:pt>
                <c:pt idx="35">
                  <c:v>1876.04</c:v>
                </c:pt>
                <c:pt idx="36">
                  <c:v>1887.52</c:v>
                </c:pt>
                <c:pt idx="37">
                  <c:v>1884.87</c:v>
                </c:pt>
                <c:pt idx="38">
                  <c:v>1794.99</c:v>
                </c:pt>
                <c:pt idx="39">
                  <c:v>1753.23</c:v>
                </c:pt>
                <c:pt idx="40">
                  <c:v>1715.69</c:v>
                </c:pt>
                <c:pt idx="41">
                  <c:v>1705.34</c:v>
                </c:pt>
                <c:pt idx="42">
                  <c:v>1660.23</c:v>
                </c:pt>
                <c:pt idx="43">
                  <c:v>1701.34</c:v>
                </c:pt>
                <c:pt idx="44">
                  <c:v>1788.85</c:v>
                </c:pt>
                <c:pt idx="45">
                  <c:v>1725.42</c:v>
                </c:pt>
                <c:pt idx="46">
                  <c:v>1777.54</c:v>
                </c:pt>
                <c:pt idx="47">
                  <c:v>1774.36</c:v>
                </c:pt>
                <c:pt idx="48">
                  <c:v>1788.58</c:v>
                </c:pt>
                <c:pt idx="49">
                  <c:v>1775.36</c:v>
                </c:pt>
                <c:pt idx="50">
                  <c:v>1687.78</c:v>
                </c:pt>
                <c:pt idx="51">
                  <c:v>1767.21</c:v>
                </c:pt>
                <c:pt idx="52">
                  <c:v>1649.37</c:v>
                </c:pt>
                <c:pt idx="53">
                  <c:v>1706.11</c:v>
                </c:pt>
                <c:pt idx="54">
                  <c:v>1595.41</c:v>
                </c:pt>
                <c:pt idx="55">
                  <c:v>1504.64</c:v>
                </c:pt>
                <c:pt idx="56">
                  <c:v>1567.85</c:v>
                </c:pt>
                <c:pt idx="57">
                  <c:v>1370.59</c:v>
                </c:pt>
                <c:pt idx="58">
                  <c:v>1420.85</c:v>
                </c:pt>
                <c:pt idx="59">
                  <c:v>1451.66</c:v>
                </c:pt>
                <c:pt idx="60">
                  <c:v>1475.8</c:v>
                </c:pt>
                <c:pt idx="61">
                  <c:v>1431.98</c:v>
                </c:pt>
                <c:pt idx="62">
                  <c:v>1333.31</c:v>
                </c:pt>
                <c:pt idx="63">
                  <c:v>1309.5899999999999</c:v>
                </c:pt>
                <c:pt idx="64">
                  <c:v>1300.1600000000001</c:v>
                </c:pt>
                <c:pt idx="65">
                  <c:v>1268.01</c:v>
                </c:pt>
                <c:pt idx="66">
                  <c:v>1309.6099999999999</c:v>
                </c:pt>
                <c:pt idx="67">
                  <c:v>1315.85</c:v>
                </c:pt>
                <c:pt idx="68">
                  <c:v>1374.23</c:v>
                </c:pt>
                <c:pt idx="69">
                  <c:v>1340.06</c:v>
                </c:pt>
                <c:pt idx="70">
                  <c:v>1331.49</c:v>
                </c:pt>
                <c:pt idx="71">
                  <c:v>1337.13</c:v>
                </c:pt>
                <c:pt idx="72">
                  <c:v>1477.04</c:v>
                </c:pt>
                <c:pt idx="73">
                  <c:v>1421.44</c:v>
                </c:pt>
                <c:pt idx="74">
                  <c:v>1349.5</c:v>
                </c:pt>
                <c:pt idx="75">
                  <c:v>1370.33</c:v>
                </c:pt>
                <c:pt idx="76">
                  <c:v>1406.84</c:v>
                </c:pt>
                <c:pt idx="77">
                  <c:v>1358.92</c:v>
                </c:pt>
                <c:pt idx="78">
                  <c:v>1399.95</c:v>
                </c:pt>
                <c:pt idx="79">
                  <c:v>1432.68</c:v>
                </c:pt>
                <c:pt idx="80">
                  <c:v>1431.58</c:v>
                </c:pt>
                <c:pt idx="81">
                  <c:v>1470.8</c:v>
                </c:pt>
                <c:pt idx="82">
                  <c:v>1374.88</c:v>
                </c:pt>
                <c:pt idx="83">
                  <c:v>1381.1</c:v>
                </c:pt>
                <c:pt idx="84">
                  <c:v>1385.99</c:v>
                </c:pt>
                <c:pt idx="85">
                  <c:v>1401.05</c:v>
                </c:pt>
                <c:pt idx="86">
                  <c:v>1385.88</c:v>
                </c:pt>
                <c:pt idx="87">
                  <c:v>1428.89</c:v>
                </c:pt>
                <c:pt idx="88">
                  <c:v>1416.7</c:v>
                </c:pt>
                <c:pt idx="89">
                  <c:v>1427.16</c:v>
                </c:pt>
                <c:pt idx="90">
                  <c:v>1403.18</c:v>
                </c:pt>
                <c:pt idx="91">
                  <c:v>1409.96</c:v>
                </c:pt>
                <c:pt idx="92">
                  <c:v>1298.82</c:v>
                </c:pt>
                <c:pt idx="93">
                  <c:v>1296.6199999999999</c:v>
                </c:pt>
                <c:pt idx="94">
                  <c:v>1367.51</c:v>
                </c:pt>
                <c:pt idx="95">
                  <c:v>1408.76</c:v>
                </c:pt>
                <c:pt idx="96">
                  <c:v>1392.24</c:v>
                </c:pt>
                <c:pt idx="97">
                  <c:v>1480.51</c:v>
                </c:pt>
                <c:pt idx="98">
                  <c:v>1496.69</c:v>
                </c:pt>
                <c:pt idx="99">
                  <c:v>1623.65</c:v>
                </c:pt>
                <c:pt idx="100">
                  <c:v>1654.85</c:v>
                </c:pt>
                <c:pt idx="101">
                  <c:v>1698.58</c:v>
                </c:pt>
                <c:pt idx="102">
                  <c:v>1739.62</c:v>
                </c:pt>
                <c:pt idx="103">
                  <c:v>1754.29</c:v>
                </c:pt>
                <c:pt idx="104">
                  <c:v>1727.3</c:v>
                </c:pt>
                <c:pt idx="105">
                  <c:v>1749.54</c:v>
                </c:pt>
                <c:pt idx="106">
                  <c:v>1689.48</c:v>
                </c:pt>
                <c:pt idx="107">
                  <c:v>1702.68</c:v>
                </c:pt>
                <c:pt idx="108">
                  <c:v>1709.01</c:v>
                </c:pt>
                <c:pt idx="109">
                  <c:v>1644.28</c:v>
                </c:pt>
                <c:pt idx="110">
                  <c:v>1685.73</c:v>
                </c:pt>
                <c:pt idx="111">
                  <c:v>1648.19</c:v>
                </c:pt>
                <c:pt idx="112">
                  <c:v>1670.9</c:v>
                </c:pt>
                <c:pt idx="113">
                  <c:v>1679.68</c:v>
                </c:pt>
                <c:pt idx="114">
                  <c:v>1711.61</c:v>
                </c:pt>
                <c:pt idx="115">
                  <c:v>1734.93</c:v>
                </c:pt>
                <c:pt idx="116">
                  <c:v>1758.89</c:v>
                </c:pt>
                <c:pt idx="117">
                  <c:v>1789.12</c:v>
                </c:pt>
                <c:pt idx="118">
                  <c:v>1843.68</c:v>
                </c:pt>
                <c:pt idx="119">
                  <c:v>1809.07</c:v>
                </c:pt>
                <c:pt idx="120">
                  <c:v>1847.34</c:v>
                </c:pt>
                <c:pt idx="121">
                  <c:v>1811.35</c:v>
                </c:pt>
                <c:pt idx="122">
                  <c:v>1833.43</c:v>
                </c:pt>
                <c:pt idx="123">
                  <c:v>1840.19</c:v>
                </c:pt>
                <c:pt idx="124">
                  <c:v>1835.36</c:v>
                </c:pt>
                <c:pt idx="125">
                  <c:v>1898.35</c:v>
                </c:pt>
                <c:pt idx="126">
                  <c:v>1925.1</c:v>
                </c:pt>
                <c:pt idx="127">
                  <c:v>1993.07</c:v>
                </c:pt>
                <c:pt idx="128">
                  <c:v>1939.17</c:v>
                </c:pt>
                <c:pt idx="129">
                  <c:v>1948.33</c:v>
                </c:pt>
                <c:pt idx="130">
                  <c:v>1944.79</c:v>
                </c:pt>
                <c:pt idx="131">
                  <c:v>1965.5</c:v>
                </c:pt>
                <c:pt idx="132">
                  <c:v>1885.02</c:v>
                </c:pt>
                <c:pt idx="133">
                  <c:v>1856.26</c:v>
                </c:pt>
                <c:pt idx="134">
                  <c:v>1863.95</c:v>
                </c:pt>
                <c:pt idx="135">
                  <c:v>1881.08</c:v>
                </c:pt>
                <c:pt idx="136">
                  <c:v>1918.77</c:v>
                </c:pt>
                <c:pt idx="137">
                  <c:v>2011.66</c:v>
                </c:pt>
                <c:pt idx="138">
                  <c:v>1989.06</c:v>
                </c:pt>
                <c:pt idx="139">
                  <c:v>2088.2399999999998</c:v>
                </c:pt>
                <c:pt idx="140">
                  <c:v>2080.0300000000002</c:v>
                </c:pt>
                <c:pt idx="141">
                  <c:v>2053.77</c:v>
                </c:pt>
                <c:pt idx="142">
                  <c:v>2105.3200000000002</c:v>
                </c:pt>
                <c:pt idx="143">
                  <c:v>2140.09</c:v>
                </c:pt>
                <c:pt idx="144">
                  <c:v>2120.14</c:v>
                </c:pt>
                <c:pt idx="145">
                  <c:v>2063.87</c:v>
                </c:pt>
                <c:pt idx="146">
                  <c:v>2078.2199999999998</c:v>
                </c:pt>
                <c:pt idx="147">
                  <c:v>2101.5700000000002</c:v>
                </c:pt>
                <c:pt idx="148">
                  <c:v>2195.88</c:v>
                </c:pt>
                <c:pt idx="149">
                  <c:v>2168.13</c:v>
                </c:pt>
                <c:pt idx="150">
                  <c:v>2180.7399999999998</c:v>
                </c:pt>
                <c:pt idx="151">
                  <c:v>2135.31</c:v>
                </c:pt>
                <c:pt idx="152">
                  <c:v>2144.2600000000002</c:v>
                </c:pt>
                <c:pt idx="153">
                  <c:v>2211.66</c:v>
                </c:pt>
                <c:pt idx="154">
                  <c:v>2167.3000000000002</c:v>
                </c:pt>
                <c:pt idx="155">
                  <c:v>2014.41</c:v>
                </c:pt>
                <c:pt idx="156">
                  <c:v>2113.4699999999998</c:v>
                </c:pt>
                <c:pt idx="157">
                  <c:v>2140.4699999999998</c:v>
                </c:pt>
                <c:pt idx="158">
                  <c:v>2126.14</c:v>
                </c:pt>
                <c:pt idx="159">
                  <c:v>2137.14</c:v>
                </c:pt>
                <c:pt idx="160">
                  <c:v>2170.2399999999998</c:v>
                </c:pt>
                <c:pt idx="161">
                  <c:v>2176.4499999999998</c:v>
                </c:pt>
                <c:pt idx="162">
                  <c:v>2217.25</c:v>
                </c:pt>
                <c:pt idx="163">
                  <c:v>2248.85</c:v>
                </c:pt>
                <c:pt idx="164">
                  <c:v>2236.35</c:v>
                </c:pt>
                <c:pt idx="165">
                  <c:v>2213.6</c:v>
                </c:pt>
                <c:pt idx="166">
                  <c:v>2092</c:v>
                </c:pt>
                <c:pt idx="167">
                  <c:v>2131.1</c:v>
                </c:pt>
                <c:pt idx="168">
                  <c:v>2169.85</c:v>
                </c:pt>
                <c:pt idx="169">
                  <c:v>2231.15</c:v>
                </c:pt>
                <c:pt idx="170">
                  <c:v>2180.85</c:v>
                </c:pt>
                <c:pt idx="171">
                  <c:v>2192.9</c:v>
                </c:pt>
                <c:pt idx="172">
                  <c:v>2161.5</c:v>
                </c:pt>
                <c:pt idx="173">
                  <c:v>2176.9499999999998</c:v>
                </c:pt>
                <c:pt idx="174">
                  <c:v>2175.6</c:v>
                </c:pt>
                <c:pt idx="175">
                  <c:v>2160.3000000000002</c:v>
                </c:pt>
                <c:pt idx="176">
                  <c:v>2159.4</c:v>
                </c:pt>
                <c:pt idx="177">
                  <c:v>2140.6</c:v>
                </c:pt>
                <c:pt idx="178">
                  <c:v>2163.75</c:v>
                </c:pt>
                <c:pt idx="179">
                  <c:v>2145.4499999999998</c:v>
                </c:pt>
                <c:pt idx="180">
                  <c:v>2152.9499999999998</c:v>
                </c:pt>
                <c:pt idx="181">
                  <c:v>2102.9499999999998</c:v>
                </c:pt>
                <c:pt idx="182">
                  <c:v>2064.35</c:v>
                </c:pt>
                <c:pt idx="183">
                  <c:v>2076.8000000000002</c:v>
                </c:pt>
                <c:pt idx="184">
                  <c:v>2034.45</c:v>
                </c:pt>
                <c:pt idx="185">
                  <c:v>2117.5</c:v>
                </c:pt>
                <c:pt idx="186">
                  <c:v>2180.9499999999998</c:v>
                </c:pt>
                <c:pt idx="187">
                  <c:v>2198.5</c:v>
                </c:pt>
                <c:pt idx="188">
                  <c:v>2202.8000000000002</c:v>
                </c:pt>
                <c:pt idx="189">
                  <c:v>2197.65</c:v>
                </c:pt>
                <c:pt idx="190">
                  <c:v>2210.15</c:v>
                </c:pt>
                <c:pt idx="191">
                  <c:v>2197.6</c:v>
                </c:pt>
                <c:pt idx="192">
                  <c:v>2238</c:v>
                </c:pt>
                <c:pt idx="193">
                  <c:v>2208.8000000000002</c:v>
                </c:pt>
                <c:pt idx="194">
                  <c:v>2217.9499999999998</c:v>
                </c:pt>
                <c:pt idx="195">
                  <c:v>2181.35</c:v>
                </c:pt>
                <c:pt idx="196">
                  <c:v>2219.5500000000002</c:v>
                </c:pt>
                <c:pt idx="197">
                  <c:v>2253.9</c:v>
                </c:pt>
                <c:pt idx="198">
                  <c:v>2248.6</c:v>
                </c:pt>
                <c:pt idx="199">
                  <c:v>2269.9</c:v>
                </c:pt>
                <c:pt idx="200">
                  <c:v>2198.15</c:v>
                </c:pt>
                <c:pt idx="201">
                  <c:v>2194.4499999999998</c:v>
                </c:pt>
                <c:pt idx="202">
                  <c:v>2181.35</c:v>
                </c:pt>
                <c:pt idx="203">
                  <c:v>2159.4499999999998</c:v>
                </c:pt>
                <c:pt idx="204">
                  <c:v>2181.9</c:v>
                </c:pt>
                <c:pt idx="205">
                  <c:v>2108.1</c:v>
                </c:pt>
                <c:pt idx="206">
                  <c:v>2118.25</c:v>
                </c:pt>
                <c:pt idx="207">
                  <c:v>2135</c:v>
                </c:pt>
                <c:pt idx="208">
                  <c:v>2136.85</c:v>
                </c:pt>
                <c:pt idx="209">
                  <c:v>2085.6</c:v>
                </c:pt>
                <c:pt idx="210">
                  <c:v>2029.65</c:v>
                </c:pt>
                <c:pt idx="211">
                  <c:v>2095</c:v>
                </c:pt>
                <c:pt idx="212">
                  <c:v>2097.4</c:v>
                </c:pt>
                <c:pt idx="213">
                  <c:v>2119.8000000000002</c:v>
                </c:pt>
                <c:pt idx="214">
                  <c:v>2139.0500000000002</c:v>
                </c:pt>
                <c:pt idx="215">
                  <c:v>2192.85</c:v>
                </c:pt>
                <c:pt idx="216">
                  <c:v>2234.85</c:v>
                </c:pt>
                <c:pt idx="217">
                  <c:v>2326.6999999999998</c:v>
                </c:pt>
                <c:pt idx="218">
                  <c:v>2350.75</c:v>
                </c:pt>
                <c:pt idx="219">
                  <c:v>2514.6</c:v>
                </c:pt>
                <c:pt idx="220">
                  <c:v>2541.6999999999998</c:v>
                </c:pt>
                <c:pt idx="221">
                  <c:v>2614.15</c:v>
                </c:pt>
                <c:pt idx="222">
                  <c:v>2551.25</c:v>
                </c:pt>
                <c:pt idx="223">
                  <c:v>2590.65</c:v>
                </c:pt>
                <c:pt idx="224">
                  <c:v>2597.35</c:v>
                </c:pt>
                <c:pt idx="225">
                  <c:v>2693.3</c:v>
                </c:pt>
                <c:pt idx="226">
                  <c:v>2595.1</c:v>
                </c:pt>
                <c:pt idx="227">
                  <c:v>2549.1999999999998</c:v>
                </c:pt>
                <c:pt idx="228">
                  <c:v>2534.65</c:v>
                </c:pt>
                <c:pt idx="229">
                  <c:v>2532.6999999999998</c:v>
                </c:pt>
                <c:pt idx="230">
                  <c:v>2532.5</c:v>
                </c:pt>
                <c:pt idx="231">
                  <c:v>2549.5</c:v>
                </c:pt>
                <c:pt idx="232">
                  <c:v>2553.5</c:v>
                </c:pt>
                <c:pt idx="233">
                  <c:v>2561.15</c:v>
                </c:pt>
                <c:pt idx="234">
                  <c:v>2548.1999999999998</c:v>
                </c:pt>
                <c:pt idx="235">
                  <c:v>2547.25</c:v>
                </c:pt>
                <c:pt idx="236">
                  <c:v>2492.65</c:v>
                </c:pt>
                <c:pt idx="237">
                  <c:v>2470.8000000000002</c:v>
                </c:pt>
                <c:pt idx="238">
                  <c:v>2400.4499999999998</c:v>
                </c:pt>
                <c:pt idx="239">
                  <c:v>2475.1999999999998</c:v>
                </c:pt>
                <c:pt idx="240">
                  <c:v>2470.1</c:v>
                </c:pt>
                <c:pt idx="241">
                  <c:v>2466.6</c:v>
                </c:pt>
                <c:pt idx="242">
                  <c:v>2480.9499999999998</c:v>
                </c:pt>
                <c:pt idx="243">
                  <c:v>2396.4</c:v>
                </c:pt>
                <c:pt idx="244">
                  <c:v>2446.6999999999998</c:v>
                </c:pt>
                <c:pt idx="245">
                  <c:v>2446.6999999999998</c:v>
                </c:pt>
                <c:pt idx="246">
                  <c:v>2436.75</c:v>
                </c:pt>
                <c:pt idx="247">
                  <c:v>2451.35</c:v>
                </c:pt>
                <c:pt idx="248">
                  <c:v>2460.5500000000002</c:v>
                </c:pt>
                <c:pt idx="249">
                  <c:v>2517.35</c:v>
                </c:pt>
                <c:pt idx="250">
                  <c:v>2530.9</c:v>
                </c:pt>
                <c:pt idx="251">
                  <c:v>2542.6999999999998</c:v>
                </c:pt>
                <c:pt idx="252">
                  <c:v>2655.7</c:v>
                </c:pt>
                <c:pt idx="253">
                  <c:v>2674.9</c:v>
                </c:pt>
                <c:pt idx="254">
                  <c:v>2645.35</c:v>
                </c:pt>
                <c:pt idx="255">
                  <c:v>2649.8</c:v>
                </c:pt>
                <c:pt idx="256">
                  <c:v>2760.85</c:v>
                </c:pt>
                <c:pt idx="257">
                  <c:v>2777.15</c:v>
                </c:pt>
                <c:pt idx="258">
                  <c:v>2881.65</c:v>
                </c:pt>
                <c:pt idx="259">
                  <c:v>2868.65</c:v>
                </c:pt>
                <c:pt idx="260">
                  <c:v>2886.6</c:v>
                </c:pt>
                <c:pt idx="261">
                  <c:v>2857.3</c:v>
                </c:pt>
                <c:pt idx="262">
                  <c:v>2873</c:v>
                </c:pt>
                <c:pt idx="263">
                  <c:v>2883.5</c:v>
                </c:pt>
                <c:pt idx="264">
                  <c:v>2881.55</c:v>
                </c:pt>
                <c:pt idx="265">
                  <c:v>2926.6</c:v>
                </c:pt>
                <c:pt idx="266">
                  <c:v>2972.6</c:v>
                </c:pt>
                <c:pt idx="267">
                  <c:v>2869.55</c:v>
                </c:pt>
                <c:pt idx="268">
                  <c:v>2789.9</c:v>
                </c:pt>
                <c:pt idx="269">
                  <c:v>2798.45</c:v>
                </c:pt>
                <c:pt idx="270">
                  <c:v>2744.3</c:v>
                </c:pt>
                <c:pt idx="271">
                  <c:v>2842.85</c:v>
                </c:pt>
                <c:pt idx="272">
                  <c:v>2904.85</c:v>
                </c:pt>
                <c:pt idx="273">
                  <c:v>2916.9</c:v>
                </c:pt>
                <c:pt idx="274">
                  <c:v>2963.45</c:v>
                </c:pt>
                <c:pt idx="275">
                  <c:v>2932.15</c:v>
                </c:pt>
                <c:pt idx="276">
                  <c:v>2970.4</c:v>
                </c:pt>
                <c:pt idx="277">
                  <c:v>2947.65</c:v>
                </c:pt>
                <c:pt idx="278">
                  <c:v>2901.3</c:v>
                </c:pt>
                <c:pt idx="279">
                  <c:v>2818.15</c:v>
                </c:pt>
                <c:pt idx="280">
                  <c:v>2781.25</c:v>
                </c:pt>
                <c:pt idx="281">
                  <c:v>2770.05</c:v>
                </c:pt>
                <c:pt idx="282">
                  <c:v>2726.95</c:v>
                </c:pt>
                <c:pt idx="283">
                  <c:v>2695.5</c:v>
                </c:pt>
                <c:pt idx="284">
                  <c:v>2650.2</c:v>
                </c:pt>
                <c:pt idx="285">
                  <c:v>2584.65</c:v>
                </c:pt>
                <c:pt idx="286">
                  <c:v>2482.35</c:v>
                </c:pt>
                <c:pt idx="287">
                  <c:v>2514.6999999999998</c:v>
                </c:pt>
                <c:pt idx="288">
                  <c:v>2535.8000000000002</c:v>
                </c:pt>
                <c:pt idx="289">
                  <c:v>2551.9499999999998</c:v>
                </c:pt>
                <c:pt idx="290">
                  <c:v>2498.6</c:v>
                </c:pt>
                <c:pt idx="291">
                  <c:v>2556.15</c:v>
                </c:pt>
                <c:pt idx="292">
                  <c:v>2602.3000000000002</c:v>
                </c:pt>
                <c:pt idx="293">
                  <c:v>2599.0500000000002</c:v>
                </c:pt>
                <c:pt idx="294">
                  <c:v>2593.1999999999998</c:v>
                </c:pt>
                <c:pt idx="295">
                  <c:v>2587.75</c:v>
                </c:pt>
                <c:pt idx="296">
                  <c:v>2583.25</c:v>
                </c:pt>
                <c:pt idx="297">
                  <c:v>2592.6999999999998</c:v>
                </c:pt>
                <c:pt idx="298">
                  <c:v>2672.3</c:v>
                </c:pt>
                <c:pt idx="299">
                  <c:v>2637.5</c:v>
                </c:pt>
                <c:pt idx="300">
                  <c:v>2669.45</c:v>
                </c:pt>
                <c:pt idx="301">
                  <c:v>2661.05</c:v>
                </c:pt>
                <c:pt idx="302">
                  <c:v>2647</c:v>
                </c:pt>
                <c:pt idx="303">
                  <c:v>2664.6</c:v>
                </c:pt>
                <c:pt idx="304">
                  <c:v>2661.5</c:v>
                </c:pt>
                <c:pt idx="305">
                  <c:v>2676.85</c:v>
                </c:pt>
                <c:pt idx="306">
                  <c:v>2702.75</c:v>
                </c:pt>
                <c:pt idx="307">
                  <c:v>2660.65</c:v>
                </c:pt>
                <c:pt idx="308">
                  <c:v>2580.4499999999998</c:v>
                </c:pt>
                <c:pt idx="309">
                  <c:v>2560.5500000000002</c:v>
                </c:pt>
                <c:pt idx="310">
                  <c:v>2639.95</c:v>
                </c:pt>
                <c:pt idx="311">
                  <c:v>2603.9499999999998</c:v>
                </c:pt>
                <c:pt idx="312">
                  <c:v>2631.15</c:v>
                </c:pt>
                <c:pt idx="313">
                  <c:v>2517.1999999999998</c:v>
                </c:pt>
                <c:pt idx="314">
                  <c:v>2486.6</c:v>
                </c:pt>
                <c:pt idx="315">
                  <c:v>2538.1999999999998</c:v>
                </c:pt>
                <c:pt idx="316">
                  <c:v>2553</c:v>
                </c:pt>
                <c:pt idx="317">
                  <c:v>2521.6</c:v>
                </c:pt>
                <c:pt idx="318">
                  <c:v>2427.1999999999998</c:v>
                </c:pt>
                <c:pt idx="319">
                  <c:v>2493.85</c:v>
                </c:pt>
                <c:pt idx="320">
                  <c:v>2412.6</c:v>
                </c:pt>
                <c:pt idx="321">
                  <c:v>2434.85</c:v>
                </c:pt>
                <c:pt idx="322">
                  <c:v>2370.35</c:v>
                </c:pt>
                <c:pt idx="323">
                  <c:v>2340</c:v>
                </c:pt>
                <c:pt idx="324">
                  <c:v>2337.85</c:v>
                </c:pt>
                <c:pt idx="325">
                  <c:v>2317.3000000000002</c:v>
                </c:pt>
                <c:pt idx="326">
                  <c:v>2369.85</c:v>
                </c:pt>
                <c:pt idx="327">
                  <c:v>2400.1</c:v>
                </c:pt>
                <c:pt idx="328">
                  <c:v>2521.1999999999998</c:v>
                </c:pt>
                <c:pt idx="329">
                  <c:v>2462.9</c:v>
                </c:pt>
                <c:pt idx="330">
                  <c:v>2421.65</c:v>
                </c:pt>
                <c:pt idx="331">
                  <c:v>2396.25</c:v>
                </c:pt>
                <c:pt idx="332">
                  <c:v>2368</c:v>
                </c:pt>
                <c:pt idx="333">
                  <c:v>2372.4</c:v>
                </c:pt>
                <c:pt idx="334">
                  <c:v>2443.25</c:v>
                </c:pt>
                <c:pt idx="335">
                  <c:v>2417.15</c:v>
                </c:pt>
                <c:pt idx="336">
                  <c:v>2447.25</c:v>
                </c:pt>
                <c:pt idx="337">
                  <c:v>2471.1999999999998</c:v>
                </c:pt>
                <c:pt idx="338">
                  <c:v>2456.4499999999998</c:v>
                </c:pt>
                <c:pt idx="339">
                  <c:v>2415.1999999999998</c:v>
                </c:pt>
                <c:pt idx="340">
                  <c:v>2484.35</c:v>
                </c:pt>
                <c:pt idx="341">
                  <c:v>2571.85</c:v>
                </c:pt>
                <c:pt idx="342">
                  <c:v>2564.6999999999998</c:v>
                </c:pt>
                <c:pt idx="343">
                  <c:v>2530.6</c:v>
                </c:pt>
                <c:pt idx="344">
                  <c:v>2522.3000000000002</c:v>
                </c:pt>
                <c:pt idx="345">
                  <c:v>2551.1999999999998</c:v>
                </c:pt>
                <c:pt idx="346">
                  <c:v>2625.05</c:v>
                </c:pt>
                <c:pt idx="347">
                  <c:v>2633.5</c:v>
                </c:pt>
                <c:pt idx="348">
                  <c:v>2604.0500000000002</c:v>
                </c:pt>
                <c:pt idx="349">
                  <c:v>2638.45</c:v>
                </c:pt>
                <c:pt idx="350">
                  <c:v>2676.15</c:v>
                </c:pt>
                <c:pt idx="351">
                  <c:v>2665.8</c:v>
                </c:pt>
                <c:pt idx="352">
                  <c:v>2677.75</c:v>
                </c:pt>
                <c:pt idx="353">
                  <c:v>2767.75</c:v>
                </c:pt>
                <c:pt idx="354">
                  <c:v>2744.6</c:v>
                </c:pt>
                <c:pt idx="355">
                  <c:v>2754.45</c:v>
                </c:pt>
                <c:pt idx="356">
                  <c:v>2763.8</c:v>
                </c:pt>
                <c:pt idx="357">
                  <c:v>2729.05</c:v>
                </c:pt>
                <c:pt idx="358">
                  <c:v>2705.05</c:v>
                </c:pt>
                <c:pt idx="359">
                  <c:v>2746.4</c:v>
                </c:pt>
                <c:pt idx="360">
                  <c:v>2744.95</c:v>
                </c:pt>
                <c:pt idx="361">
                  <c:v>2763.5</c:v>
                </c:pt>
                <c:pt idx="362">
                  <c:v>2741.05</c:v>
                </c:pt>
                <c:pt idx="363">
                  <c:v>2673.75</c:v>
                </c:pt>
                <c:pt idx="364">
                  <c:v>2707.55</c:v>
                </c:pt>
                <c:pt idx="365">
                  <c:v>2698.45</c:v>
                </c:pt>
                <c:pt idx="366">
                  <c:v>2718.2</c:v>
                </c:pt>
                <c:pt idx="367">
                  <c:v>2728.6</c:v>
                </c:pt>
                <c:pt idx="368">
                  <c:v>2706.75</c:v>
                </c:pt>
                <c:pt idx="369">
                  <c:v>2720.8</c:v>
                </c:pt>
                <c:pt idx="370">
                  <c:v>2740.45</c:v>
                </c:pt>
                <c:pt idx="371">
                  <c:v>2705.1</c:v>
                </c:pt>
                <c:pt idx="372">
                  <c:v>2671.15</c:v>
                </c:pt>
                <c:pt idx="373">
                  <c:v>2675.3</c:v>
                </c:pt>
                <c:pt idx="374">
                  <c:v>2661</c:v>
                </c:pt>
                <c:pt idx="375">
                  <c:v>2701.05</c:v>
                </c:pt>
                <c:pt idx="376">
                  <c:v>2711.15</c:v>
                </c:pt>
                <c:pt idx="377">
                  <c:v>2710.85</c:v>
                </c:pt>
                <c:pt idx="378">
                  <c:v>2729.3</c:v>
                </c:pt>
                <c:pt idx="379">
                  <c:v>2712.15</c:v>
                </c:pt>
                <c:pt idx="380">
                  <c:v>2709.5</c:v>
                </c:pt>
                <c:pt idx="381">
                  <c:v>2706.7</c:v>
                </c:pt>
                <c:pt idx="382">
                  <c:v>2700</c:v>
                </c:pt>
                <c:pt idx="383">
                  <c:v>2667.5</c:v>
                </c:pt>
                <c:pt idx="384">
                  <c:v>2617.25</c:v>
                </c:pt>
                <c:pt idx="385">
                  <c:v>2579.75</c:v>
                </c:pt>
                <c:pt idx="386">
                  <c:v>2554.85</c:v>
                </c:pt>
                <c:pt idx="387">
                  <c:v>2560.1</c:v>
                </c:pt>
                <c:pt idx="388">
                  <c:v>2549.65</c:v>
                </c:pt>
                <c:pt idx="389">
                  <c:v>2563.1999999999998</c:v>
                </c:pt>
                <c:pt idx="390">
                  <c:v>2571.35</c:v>
                </c:pt>
                <c:pt idx="391">
                  <c:v>2550.4</c:v>
                </c:pt>
                <c:pt idx="392">
                  <c:v>2528.15</c:v>
                </c:pt>
                <c:pt idx="393">
                  <c:v>2530.25</c:v>
                </c:pt>
                <c:pt idx="394">
                  <c:v>2602.6</c:v>
                </c:pt>
                <c:pt idx="395">
                  <c:v>2649.3</c:v>
                </c:pt>
                <c:pt idx="396">
                  <c:v>2641.8</c:v>
                </c:pt>
                <c:pt idx="397">
                  <c:v>2732.15</c:v>
                </c:pt>
                <c:pt idx="398">
                  <c:v>2747.35</c:v>
                </c:pt>
                <c:pt idx="399">
                  <c:v>2729</c:v>
                </c:pt>
                <c:pt idx="400">
                  <c:v>2734.35</c:v>
                </c:pt>
                <c:pt idx="401">
                  <c:v>2718.25</c:v>
                </c:pt>
                <c:pt idx="402">
                  <c:v>2616.5500000000002</c:v>
                </c:pt>
                <c:pt idx="403">
                  <c:v>2546.8000000000002</c:v>
                </c:pt>
                <c:pt idx="404">
                  <c:v>2495.85</c:v>
                </c:pt>
                <c:pt idx="405">
                  <c:v>2515.65</c:v>
                </c:pt>
                <c:pt idx="406">
                  <c:v>2589.65</c:v>
                </c:pt>
                <c:pt idx="407">
                  <c:v>2601.65</c:v>
                </c:pt>
                <c:pt idx="408">
                  <c:v>2544</c:v>
                </c:pt>
                <c:pt idx="409">
                  <c:v>2547.9</c:v>
                </c:pt>
                <c:pt idx="410">
                  <c:v>2579.5</c:v>
                </c:pt>
                <c:pt idx="411">
                  <c:v>2578.75</c:v>
                </c:pt>
                <c:pt idx="412">
                  <c:v>2576.1</c:v>
                </c:pt>
                <c:pt idx="413">
                  <c:v>2553.9499999999998</c:v>
                </c:pt>
                <c:pt idx="414">
                  <c:v>2679.25</c:v>
                </c:pt>
                <c:pt idx="415">
                  <c:v>2703.15</c:v>
                </c:pt>
                <c:pt idx="416">
                  <c:v>2733.2</c:v>
                </c:pt>
                <c:pt idx="417">
                  <c:v>2802.6</c:v>
                </c:pt>
                <c:pt idx="418">
                  <c:v>2844.9</c:v>
                </c:pt>
                <c:pt idx="419">
                  <c:v>2823.15</c:v>
                </c:pt>
                <c:pt idx="420">
                  <c:v>2800</c:v>
                </c:pt>
                <c:pt idx="421">
                  <c:v>2818.2</c:v>
                </c:pt>
                <c:pt idx="422">
                  <c:v>2805</c:v>
                </c:pt>
                <c:pt idx="423">
                  <c:v>2820.3</c:v>
                </c:pt>
                <c:pt idx="424">
                  <c:v>2841.95</c:v>
                </c:pt>
                <c:pt idx="425">
                  <c:v>2860.2</c:v>
                </c:pt>
                <c:pt idx="426">
                  <c:v>2898.55</c:v>
                </c:pt>
                <c:pt idx="427">
                  <c:v>2813</c:v>
                </c:pt>
                <c:pt idx="428">
                  <c:v>2854.4</c:v>
                </c:pt>
                <c:pt idx="429">
                  <c:v>2842.85</c:v>
                </c:pt>
                <c:pt idx="430">
                  <c:v>2857.05</c:v>
                </c:pt>
                <c:pt idx="431">
                  <c:v>2931</c:v>
                </c:pt>
                <c:pt idx="432">
                  <c:v>2879.35</c:v>
                </c:pt>
                <c:pt idx="433">
                  <c:v>2883.05</c:v>
                </c:pt>
                <c:pt idx="434">
                  <c:v>2843.25</c:v>
                </c:pt>
                <c:pt idx="435">
                  <c:v>2790.2</c:v>
                </c:pt>
                <c:pt idx="436">
                  <c:v>2772.45</c:v>
                </c:pt>
                <c:pt idx="437">
                  <c:v>2745.9</c:v>
                </c:pt>
                <c:pt idx="438">
                  <c:v>2760.1</c:v>
                </c:pt>
                <c:pt idx="439">
                  <c:v>2728.95</c:v>
                </c:pt>
                <c:pt idx="440">
                  <c:v>2820.95</c:v>
                </c:pt>
                <c:pt idx="441">
                  <c:v>2817.95</c:v>
                </c:pt>
                <c:pt idx="442">
                  <c:v>2851.75</c:v>
                </c:pt>
                <c:pt idx="443">
                  <c:v>2909.6</c:v>
                </c:pt>
                <c:pt idx="444">
                  <c:v>2905.75</c:v>
                </c:pt>
                <c:pt idx="445">
                  <c:v>2853.2</c:v>
                </c:pt>
                <c:pt idx="446">
                  <c:v>2826.35</c:v>
                </c:pt>
                <c:pt idx="447">
                  <c:v>2703.7</c:v>
                </c:pt>
                <c:pt idx="448">
                  <c:v>2651.2</c:v>
                </c:pt>
                <c:pt idx="449">
                  <c:v>2663.35</c:v>
                </c:pt>
                <c:pt idx="450">
                  <c:v>2612.5500000000002</c:v>
                </c:pt>
                <c:pt idx="451">
                  <c:v>2561.75</c:v>
                </c:pt>
                <c:pt idx="452">
                  <c:v>2590.25</c:v>
                </c:pt>
                <c:pt idx="453">
                  <c:v>2583.9</c:v>
                </c:pt>
                <c:pt idx="454">
                  <c:v>2527.5</c:v>
                </c:pt>
                <c:pt idx="455">
                  <c:v>2484.8000000000002</c:v>
                </c:pt>
                <c:pt idx="456">
                  <c:v>2560</c:v>
                </c:pt>
                <c:pt idx="457">
                  <c:v>2542.4499999999998</c:v>
                </c:pt>
                <c:pt idx="458">
                  <c:v>2521.85</c:v>
                </c:pt>
                <c:pt idx="459">
                  <c:v>2661.6</c:v>
                </c:pt>
                <c:pt idx="460">
                  <c:v>2711.25</c:v>
                </c:pt>
                <c:pt idx="461">
                  <c:v>2724.25</c:v>
                </c:pt>
                <c:pt idx="462">
                  <c:v>2746.75</c:v>
                </c:pt>
                <c:pt idx="463">
                  <c:v>2704.35</c:v>
                </c:pt>
                <c:pt idx="464">
                  <c:v>2723</c:v>
                </c:pt>
                <c:pt idx="465">
                  <c:v>2684.35</c:v>
                </c:pt>
                <c:pt idx="466">
                  <c:v>2710.3</c:v>
                </c:pt>
                <c:pt idx="467">
                  <c:v>2674.2</c:v>
                </c:pt>
                <c:pt idx="468">
                  <c:v>2603.3000000000002</c:v>
                </c:pt>
                <c:pt idx="469">
                  <c:v>2548.0500000000002</c:v>
                </c:pt>
                <c:pt idx="470">
                  <c:v>2599.1999999999998</c:v>
                </c:pt>
                <c:pt idx="471">
                  <c:v>2536.9499999999998</c:v>
                </c:pt>
                <c:pt idx="472">
                  <c:v>2520.4</c:v>
                </c:pt>
                <c:pt idx="473">
                  <c:v>2433.9</c:v>
                </c:pt>
                <c:pt idx="474">
                  <c:v>2413.4</c:v>
                </c:pt>
                <c:pt idx="475">
                  <c:v>2370.4499999999998</c:v>
                </c:pt>
                <c:pt idx="476">
                  <c:v>2438.3000000000002</c:v>
                </c:pt>
                <c:pt idx="477">
                  <c:v>2451.5500000000002</c:v>
                </c:pt>
                <c:pt idx="478">
                  <c:v>2455.5500000000002</c:v>
                </c:pt>
                <c:pt idx="479">
                  <c:v>2444.1</c:v>
                </c:pt>
                <c:pt idx="480">
                  <c:v>2471.8000000000002</c:v>
                </c:pt>
                <c:pt idx="481">
                  <c:v>2505.5500000000002</c:v>
                </c:pt>
                <c:pt idx="482">
                  <c:v>2542.9499999999998</c:v>
                </c:pt>
                <c:pt idx="483">
                  <c:v>2527.65</c:v>
                </c:pt>
                <c:pt idx="484">
                  <c:v>2496.6999999999998</c:v>
                </c:pt>
                <c:pt idx="485">
                  <c:v>2487.4499999999998</c:v>
                </c:pt>
                <c:pt idx="486">
                  <c:v>2493.35</c:v>
                </c:pt>
                <c:pt idx="487">
                  <c:v>2471.15</c:v>
                </c:pt>
                <c:pt idx="488">
                  <c:v>2459</c:v>
                </c:pt>
                <c:pt idx="489">
                  <c:v>2406.4499999999998</c:v>
                </c:pt>
                <c:pt idx="490">
                  <c:v>2416.65</c:v>
                </c:pt>
                <c:pt idx="491">
                  <c:v>2486.85</c:v>
                </c:pt>
                <c:pt idx="492">
                  <c:v>2480.25</c:v>
                </c:pt>
                <c:pt idx="493">
                  <c:v>2437.9</c:v>
                </c:pt>
                <c:pt idx="494">
                  <c:v>2438.9499999999998</c:v>
                </c:pt>
                <c:pt idx="495">
                  <c:v>2480.4</c:v>
                </c:pt>
                <c:pt idx="496">
                  <c:v>2562.25</c:v>
                </c:pt>
                <c:pt idx="497">
                  <c:v>2557</c:v>
                </c:pt>
                <c:pt idx="498">
                  <c:v>2591.9</c:v>
                </c:pt>
                <c:pt idx="499">
                  <c:v>2718.8</c:v>
                </c:pt>
                <c:pt idx="500">
                  <c:v>2705</c:v>
                </c:pt>
                <c:pt idx="501">
                  <c:v>2778.6</c:v>
                </c:pt>
                <c:pt idx="502">
                  <c:v>2817.15</c:v>
                </c:pt>
                <c:pt idx="503">
                  <c:v>2824.4</c:v>
                </c:pt>
                <c:pt idx="504">
                  <c:v>2815.5</c:v>
                </c:pt>
                <c:pt idx="505">
                  <c:v>2794.35</c:v>
                </c:pt>
                <c:pt idx="506">
                  <c:v>2815.9</c:v>
                </c:pt>
                <c:pt idx="507">
                  <c:v>2832.7</c:v>
                </c:pt>
                <c:pt idx="508">
                  <c:v>2819.7</c:v>
                </c:pt>
                <c:pt idx="509">
                  <c:v>2844.3</c:v>
                </c:pt>
                <c:pt idx="510">
                  <c:v>2736.25</c:v>
                </c:pt>
                <c:pt idx="511">
                  <c:v>2718.7</c:v>
                </c:pt>
                <c:pt idx="512">
                  <c:v>2733.8</c:v>
                </c:pt>
                <c:pt idx="513">
                  <c:v>2711.1</c:v>
                </c:pt>
                <c:pt idx="514">
                  <c:v>2656.4</c:v>
                </c:pt>
                <c:pt idx="515">
                  <c:v>2692</c:v>
                </c:pt>
                <c:pt idx="516">
                  <c:v>2643.85</c:v>
                </c:pt>
                <c:pt idx="517">
                  <c:v>2610.9499999999998</c:v>
                </c:pt>
                <c:pt idx="518">
                  <c:v>2645.5</c:v>
                </c:pt>
                <c:pt idx="519">
                  <c:v>2622.2</c:v>
                </c:pt>
                <c:pt idx="520">
                  <c:v>2669.75</c:v>
                </c:pt>
                <c:pt idx="521">
                  <c:v>2670.85</c:v>
                </c:pt>
                <c:pt idx="522">
                  <c:v>2631.4</c:v>
                </c:pt>
                <c:pt idx="523">
                  <c:v>2601.35</c:v>
                </c:pt>
                <c:pt idx="524">
                  <c:v>2589.15</c:v>
                </c:pt>
                <c:pt idx="525">
                  <c:v>2625.65</c:v>
                </c:pt>
                <c:pt idx="526">
                  <c:v>2640.35</c:v>
                </c:pt>
                <c:pt idx="527">
                  <c:v>2598.15</c:v>
                </c:pt>
                <c:pt idx="528">
                  <c:v>2570.8000000000002</c:v>
                </c:pt>
                <c:pt idx="529">
                  <c:v>2724</c:v>
                </c:pt>
                <c:pt idx="530">
                  <c:v>2706.45</c:v>
                </c:pt>
                <c:pt idx="531">
                  <c:v>2722.75</c:v>
                </c:pt>
                <c:pt idx="532">
                  <c:v>2699.25</c:v>
                </c:pt>
                <c:pt idx="533">
                  <c:v>2699</c:v>
                </c:pt>
                <c:pt idx="534">
                  <c:v>2725.5</c:v>
                </c:pt>
                <c:pt idx="535">
                  <c:v>2706.65</c:v>
                </c:pt>
                <c:pt idx="536">
                  <c:v>2617.15</c:v>
                </c:pt>
                <c:pt idx="537">
                  <c:v>2628.4</c:v>
                </c:pt>
                <c:pt idx="538">
                  <c:v>2589.8000000000002</c:v>
                </c:pt>
                <c:pt idx="539">
                  <c:v>2508.1</c:v>
                </c:pt>
                <c:pt idx="540">
                  <c:v>2409.5</c:v>
                </c:pt>
                <c:pt idx="541">
                  <c:v>2339.25</c:v>
                </c:pt>
                <c:pt idx="542">
                  <c:v>2259.65</c:v>
                </c:pt>
                <c:pt idx="543">
                  <c:v>2256.0500000000002</c:v>
                </c:pt>
                <c:pt idx="544">
                  <c:v>2293.0500000000002</c:v>
                </c:pt>
                <c:pt idx="545">
                  <c:v>2303</c:v>
                </c:pt>
                <c:pt idx="546">
                  <c:v>2290.75</c:v>
                </c:pt>
                <c:pt idx="547">
                  <c:v>2313.5500000000002</c:v>
                </c:pt>
                <c:pt idx="548">
                  <c:v>2305.25</c:v>
                </c:pt>
                <c:pt idx="549">
                  <c:v>2357.9</c:v>
                </c:pt>
                <c:pt idx="550">
                  <c:v>2436.9499999999998</c:v>
                </c:pt>
                <c:pt idx="551">
                  <c:v>2378.75</c:v>
                </c:pt>
                <c:pt idx="552">
                  <c:v>2380.4</c:v>
                </c:pt>
                <c:pt idx="553">
                  <c:v>2394.1</c:v>
                </c:pt>
                <c:pt idx="554">
                  <c:v>2369.65</c:v>
                </c:pt>
                <c:pt idx="555">
                  <c:v>2336.85</c:v>
                </c:pt>
                <c:pt idx="556">
                  <c:v>2380</c:v>
                </c:pt>
                <c:pt idx="557">
                  <c:v>2480.5</c:v>
                </c:pt>
                <c:pt idx="558">
                  <c:v>2486.5500000000002</c:v>
                </c:pt>
                <c:pt idx="559">
                  <c:v>2457.15</c:v>
                </c:pt>
                <c:pt idx="560">
                  <c:v>2481.1999999999998</c:v>
                </c:pt>
                <c:pt idx="561">
                  <c:v>2508.9499999999998</c:v>
                </c:pt>
                <c:pt idx="562">
                  <c:v>2543.4499999999998</c:v>
                </c:pt>
                <c:pt idx="563">
                  <c:v>2530.6999999999998</c:v>
                </c:pt>
                <c:pt idx="564">
                  <c:v>2538.4</c:v>
                </c:pt>
                <c:pt idx="565">
                  <c:v>2555.1999999999998</c:v>
                </c:pt>
                <c:pt idx="566">
                  <c:v>2545.6</c:v>
                </c:pt>
                <c:pt idx="567">
                  <c:v>2521.8000000000002</c:v>
                </c:pt>
                <c:pt idx="568">
                  <c:v>2491.4499999999998</c:v>
                </c:pt>
                <c:pt idx="569">
                  <c:v>2511</c:v>
                </c:pt>
                <c:pt idx="570">
                  <c:v>2454.85</c:v>
                </c:pt>
                <c:pt idx="571">
                  <c:v>2536.8000000000002</c:v>
                </c:pt>
                <c:pt idx="572">
                  <c:v>2651.5</c:v>
                </c:pt>
                <c:pt idx="573">
                  <c:v>2631.5</c:v>
                </c:pt>
                <c:pt idx="574">
                  <c:v>2594.15</c:v>
                </c:pt>
                <c:pt idx="575">
                  <c:v>2649.3</c:v>
                </c:pt>
                <c:pt idx="576">
                  <c:v>2655.45</c:v>
                </c:pt>
                <c:pt idx="577">
                  <c:v>2679.95</c:v>
                </c:pt>
                <c:pt idx="578">
                  <c:v>2630.35</c:v>
                </c:pt>
                <c:pt idx="579">
                  <c:v>2552.5</c:v>
                </c:pt>
                <c:pt idx="580">
                  <c:v>2483.1999999999998</c:v>
                </c:pt>
                <c:pt idx="581">
                  <c:v>2433.5500000000002</c:v>
                </c:pt>
                <c:pt idx="582">
                  <c:v>2362.4499999999998</c:v>
                </c:pt>
                <c:pt idx="583">
                  <c:v>2344.3000000000002</c:v>
                </c:pt>
                <c:pt idx="584">
                  <c:v>2415.5500000000002</c:v>
                </c:pt>
                <c:pt idx="585">
                  <c:v>2389.15</c:v>
                </c:pt>
                <c:pt idx="586">
                  <c:v>2384.65</c:v>
                </c:pt>
                <c:pt idx="587">
                  <c:v>2432.65</c:v>
                </c:pt>
                <c:pt idx="588">
                  <c:v>2617.9499999999998</c:v>
                </c:pt>
                <c:pt idx="589">
                  <c:v>2706.7</c:v>
                </c:pt>
                <c:pt idx="590">
                  <c:v>2696</c:v>
                </c:pt>
                <c:pt idx="591">
                  <c:v>2650.5</c:v>
                </c:pt>
                <c:pt idx="592">
                  <c:v>2707.8</c:v>
                </c:pt>
                <c:pt idx="593">
                  <c:v>2741.3</c:v>
                </c:pt>
                <c:pt idx="594">
                  <c:v>2719.3</c:v>
                </c:pt>
                <c:pt idx="595">
                  <c:v>2686.15</c:v>
                </c:pt>
                <c:pt idx="596">
                  <c:v>2725.1</c:v>
                </c:pt>
                <c:pt idx="597">
                  <c:v>2742.1</c:v>
                </c:pt>
                <c:pt idx="598">
                  <c:v>2758.45</c:v>
                </c:pt>
                <c:pt idx="599">
                  <c:v>2780.75</c:v>
                </c:pt>
                <c:pt idx="600">
                  <c:v>2771.7</c:v>
                </c:pt>
                <c:pt idx="601">
                  <c:v>2723.55</c:v>
                </c:pt>
                <c:pt idx="602">
                  <c:v>2685.25</c:v>
                </c:pt>
                <c:pt idx="603">
                  <c:v>2653.1</c:v>
                </c:pt>
                <c:pt idx="604">
                  <c:v>2647.9</c:v>
                </c:pt>
                <c:pt idx="605">
                  <c:v>2649.15</c:v>
                </c:pt>
                <c:pt idx="606">
                  <c:v>2716</c:v>
                </c:pt>
                <c:pt idx="607">
                  <c:v>2712.85</c:v>
                </c:pt>
                <c:pt idx="608">
                  <c:v>2700.8</c:v>
                </c:pt>
                <c:pt idx="609">
                  <c:v>2722.75</c:v>
                </c:pt>
                <c:pt idx="610">
                  <c:v>2720.1</c:v>
                </c:pt>
                <c:pt idx="611">
                  <c:v>2652.5</c:v>
                </c:pt>
                <c:pt idx="612">
                  <c:v>2604.8000000000002</c:v>
                </c:pt>
                <c:pt idx="613">
                  <c:v>2623.25</c:v>
                </c:pt>
                <c:pt idx="614">
                  <c:v>2702.8</c:v>
                </c:pt>
                <c:pt idx="615">
                  <c:v>2662.75</c:v>
                </c:pt>
                <c:pt idx="616">
                  <c:v>2819.05</c:v>
                </c:pt>
                <c:pt idx="617">
                  <c:v>2877.9</c:v>
                </c:pt>
                <c:pt idx="618">
                  <c:v>2848.3</c:v>
                </c:pt>
                <c:pt idx="619">
                  <c:v>2863.8</c:v>
                </c:pt>
                <c:pt idx="620">
                  <c:v>2886.6</c:v>
                </c:pt>
                <c:pt idx="621">
                  <c:v>2794.35</c:v>
                </c:pt>
                <c:pt idx="622">
                  <c:v>2782.8</c:v>
                </c:pt>
                <c:pt idx="623">
                  <c:v>2796.4</c:v>
                </c:pt>
                <c:pt idx="624">
                  <c:v>2805.6</c:v>
                </c:pt>
                <c:pt idx="625">
                  <c:v>2907.95</c:v>
                </c:pt>
                <c:pt idx="626">
                  <c:v>2944.2</c:v>
                </c:pt>
                <c:pt idx="627">
                  <c:v>2931.6</c:v>
                </c:pt>
                <c:pt idx="628">
                  <c:v>3046.85</c:v>
                </c:pt>
                <c:pt idx="629">
                  <c:v>2954.05</c:v>
                </c:pt>
                <c:pt idx="630">
                  <c:v>2967.4</c:v>
                </c:pt>
                <c:pt idx="631">
                  <c:v>2955.1</c:v>
                </c:pt>
                <c:pt idx="632">
                  <c:v>3034</c:v>
                </c:pt>
                <c:pt idx="633">
                  <c:v>3036.5</c:v>
                </c:pt>
                <c:pt idx="634">
                  <c:v>3077.7</c:v>
                </c:pt>
                <c:pt idx="635">
                  <c:v>3045</c:v>
                </c:pt>
                <c:pt idx="636">
                  <c:v>3081.2</c:v>
                </c:pt>
                <c:pt idx="637">
                  <c:v>3147.6</c:v>
                </c:pt>
                <c:pt idx="638">
                  <c:v>3086.7</c:v>
                </c:pt>
                <c:pt idx="639">
                  <c:v>3023.3</c:v>
                </c:pt>
                <c:pt idx="640">
                  <c:v>3057.4</c:v>
                </c:pt>
                <c:pt idx="641">
                  <c:v>3054</c:v>
                </c:pt>
                <c:pt idx="642">
                  <c:v>3093.45</c:v>
                </c:pt>
                <c:pt idx="643">
                  <c:v>3088.4</c:v>
                </c:pt>
                <c:pt idx="644">
                  <c:v>3120.95</c:v>
                </c:pt>
                <c:pt idx="645">
                  <c:v>3138.2</c:v>
                </c:pt>
                <c:pt idx="646">
                  <c:v>3145.8</c:v>
                </c:pt>
                <c:pt idx="647">
                  <c:v>3089.6</c:v>
                </c:pt>
                <c:pt idx="648">
                  <c:v>3116.75</c:v>
                </c:pt>
                <c:pt idx="649">
                  <c:v>3154.55</c:v>
                </c:pt>
                <c:pt idx="650">
                  <c:v>3176.45</c:v>
                </c:pt>
                <c:pt idx="651">
                  <c:v>3210.15</c:v>
                </c:pt>
                <c:pt idx="652">
                  <c:v>3338.05</c:v>
                </c:pt>
                <c:pt idx="653">
                  <c:v>3397.6</c:v>
                </c:pt>
                <c:pt idx="654">
                  <c:v>3411.4</c:v>
                </c:pt>
                <c:pt idx="655">
                  <c:v>3424.1</c:v>
                </c:pt>
                <c:pt idx="656">
                  <c:v>3363.25</c:v>
                </c:pt>
                <c:pt idx="657">
                  <c:v>3464.75</c:v>
                </c:pt>
                <c:pt idx="658">
                  <c:v>3450.7</c:v>
                </c:pt>
                <c:pt idx="659">
                  <c:v>3481.45</c:v>
                </c:pt>
                <c:pt idx="660">
                  <c:v>3355.1</c:v>
                </c:pt>
                <c:pt idx="661">
                  <c:v>3291.6</c:v>
                </c:pt>
                <c:pt idx="662">
                  <c:v>3358.75</c:v>
                </c:pt>
                <c:pt idx="663">
                  <c:v>3411.6</c:v>
                </c:pt>
                <c:pt idx="664">
                  <c:v>3422.1</c:v>
                </c:pt>
                <c:pt idx="665">
                  <c:v>3400.5</c:v>
                </c:pt>
                <c:pt idx="666">
                  <c:v>3410.35</c:v>
                </c:pt>
                <c:pt idx="667">
                  <c:v>3383.65</c:v>
                </c:pt>
                <c:pt idx="668">
                  <c:v>3425.75</c:v>
                </c:pt>
                <c:pt idx="669">
                  <c:v>3473.15</c:v>
                </c:pt>
                <c:pt idx="670">
                  <c:v>3538.95</c:v>
                </c:pt>
                <c:pt idx="671">
                  <c:v>3522</c:v>
                </c:pt>
                <c:pt idx="672">
                  <c:v>3541.8</c:v>
                </c:pt>
                <c:pt idx="673">
                  <c:v>3622.25</c:v>
                </c:pt>
                <c:pt idx="674">
                  <c:v>3549</c:v>
                </c:pt>
                <c:pt idx="675">
                  <c:v>3590.25</c:v>
                </c:pt>
                <c:pt idx="676">
                  <c:v>3711.55</c:v>
                </c:pt>
                <c:pt idx="677">
                  <c:v>3682.05</c:v>
                </c:pt>
                <c:pt idx="678">
                  <c:v>3748.75</c:v>
                </c:pt>
                <c:pt idx="679">
                  <c:v>3688.45</c:v>
                </c:pt>
                <c:pt idx="680">
                  <c:v>3515.55</c:v>
                </c:pt>
                <c:pt idx="681">
                  <c:v>3570.55</c:v>
                </c:pt>
                <c:pt idx="682">
                  <c:v>3628.3</c:v>
                </c:pt>
                <c:pt idx="683">
                  <c:v>3624.1</c:v>
                </c:pt>
                <c:pt idx="684">
                  <c:v>3671.6</c:v>
                </c:pt>
                <c:pt idx="685">
                  <c:v>3463.35</c:v>
                </c:pt>
                <c:pt idx="686">
                  <c:v>3555</c:v>
                </c:pt>
                <c:pt idx="687">
                  <c:v>3531.35</c:v>
                </c:pt>
                <c:pt idx="688">
                  <c:v>3498.55</c:v>
                </c:pt>
                <c:pt idx="689">
                  <c:v>3531.6</c:v>
                </c:pt>
                <c:pt idx="690">
                  <c:v>3408</c:v>
                </c:pt>
                <c:pt idx="691">
                  <c:v>3458.2</c:v>
                </c:pt>
                <c:pt idx="692">
                  <c:v>3471.2</c:v>
                </c:pt>
                <c:pt idx="693">
                  <c:v>3477.2</c:v>
                </c:pt>
                <c:pt idx="694">
                  <c:v>3514.7</c:v>
                </c:pt>
                <c:pt idx="695">
                  <c:v>3612.5</c:v>
                </c:pt>
                <c:pt idx="696">
                  <c:v>3612.3</c:v>
                </c:pt>
                <c:pt idx="697">
                  <c:v>3651.15</c:v>
                </c:pt>
                <c:pt idx="698">
                  <c:v>3629.5</c:v>
                </c:pt>
                <c:pt idx="699">
                  <c:v>3641.2</c:v>
                </c:pt>
                <c:pt idx="700">
                  <c:v>3710.65</c:v>
                </c:pt>
                <c:pt idx="701">
                  <c:v>3710.65</c:v>
                </c:pt>
                <c:pt idx="702">
                  <c:v>3745.75</c:v>
                </c:pt>
                <c:pt idx="703">
                  <c:v>3850.45</c:v>
                </c:pt>
                <c:pt idx="704">
                  <c:v>3798.4</c:v>
                </c:pt>
                <c:pt idx="705">
                  <c:v>3729.2</c:v>
                </c:pt>
                <c:pt idx="706">
                  <c:v>3675.25</c:v>
                </c:pt>
                <c:pt idx="707">
                  <c:v>3666.9</c:v>
                </c:pt>
                <c:pt idx="708">
                  <c:v>3755.15</c:v>
                </c:pt>
                <c:pt idx="709">
                  <c:v>3732.95</c:v>
                </c:pt>
                <c:pt idx="710">
                  <c:v>3700.85</c:v>
                </c:pt>
                <c:pt idx="711">
                  <c:v>3519.65</c:v>
                </c:pt>
                <c:pt idx="712">
                  <c:v>3516.6</c:v>
                </c:pt>
                <c:pt idx="713">
                  <c:v>3507.95</c:v>
                </c:pt>
                <c:pt idx="714">
                  <c:v>3503.05</c:v>
                </c:pt>
                <c:pt idx="715">
                  <c:v>3441.85</c:v>
                </c:pt>
                <c:pt idx="716">
                  <c:v>3390.25</c:v>
                </c:pt>
                <c:pt idx="717">
                  <c:v>3378.6</c:v>
                </c:pt>
                <c:pt idx="718">
                  <c:v>3375.05</c:v>
                </c:pt>
                <c:pt idx="719">
                  <c:v>3380.9</c:v>
                </c:pt>
                <c:pt idx="720">
                  <c:v>3377.35</c:v>
                </c:pt>
                <c:pt idx="721">
                  <c:v>3414.1</c:v>
                </c:pt>
                <c:pt idx="722">
                  <c:v>3441.4</c:v>
                </c:pt>
                <c:pt idx="723">
                  <c:v>3416.1</c:v>
                </c:pt>
                <c:pt idx="724">
                  <c:v>3484.5</c:v>
                </c:pt>
                <c:pt idx="725">
                  <c:v>3437.45</c:v>
                </c:pt>
                <c:pt idx="726">
                  <c:v>3331.85</c:v>
                </c:pt>
                <c:pt idx="727">
                  <c:v>3344.4</c:v>
                </c:pt>
                <c:pt idx="728">
                  <c:v>3299.7</c:v>
                </c:pt>
                <c:pt idx="729">
                  <c:v>3259.85</c:v>
                </c:pt>
                <c:pt idx="730">
                  <c:v>3322.3</c:v>
                </c:pt>
                <c:pt idx="731">
                  <c:v>3358.2</c:v>
                </c:pt>
                <c:pt idx="732">
                  <c:v>3320.45</c:v>
                </c:pt>
                <c:pt idx="733">
                  <c:v>3313</c:v>
                </c:pt>
                <c:pt idx="734">
                  <c:v>3369.4</c:v>
                </c:pt>
                <c:pt idx="735">
                  <c:v>3303.5</c:v>
                </c:pt>
                <c:pt idx="736">
                  <c:v>3291.45</c:v>
                </c:pt>
                <c:pt idx="737">
                  <c:v>3388.9</c:v>
                </c:pt>
                <c:pt idx="738">
                  <c:v>3313.45</c:v>
                </c:pt>
                <c:pt idx="739">
                  <c:v>3273.25</c:v>
                </c:pt>
                <c:pt idx="740">
                  <c:v>3206.05</c:v>
                </c:pt>
                <c:pt idx="741">
                  <c:v>3113.65</c:v>
                </c:pt>
                <c:pt idx="742">
                  <c:v>3161.25</c:v>
                </c:pt>
                <c:pt idx="743">
                  <c:v>3201.8</c:v>
                </c:pt>
                <c:pt idx="744">
                  <c:v>3211.55</c:v>
                </c:pt>
                <c:pt idx="745">
                  <c:v>3281.2</c:v>
                </c:pt>
                <c:pt idx="746">
                  <c:v>3227.75</c:v>
                </c:pt>
                <c:pt idx="747">
                  <c:v>3228.85</c:v>
                </c:pt>
                <c:pt idx="748">
                  <c:v>3213.45</c:v>
                </c:pt>
                <c:pt idx="749">
                  <c:v>3215.25</c:v>
                </c:pt>
                <c:pt idx="750">
                  <c:v>3257.7</c:v>
                </c:pt>
                <c:pt idx="751">
                  <c:v>3250.6</c:v>
                </c:pt>
                <c:pt idx="752">
                  <c:v>3262.55</c:v>
                </c:pt>
                <c:pt idx="753">
                  <c:v>3167.55</c:v>
                </c:pt>
                <c:pt idx="754">
                  <c:v>3137.25</c:v>
                </c:pt>
                <c:pt idx="755">
                  <c:v>3103.25</c:v>
                </c:pt>
                <c:pt idx="756">
                  <c:v>3162.05</c:v>
                </c:pt>
                <c:pt idx="757">
                  <c:v>3139.05</c:v>
                </c:pt>
                <c:pt idx="758">
                  <c:v>3179.95</c:v>
                </c:pt>
                <c:pt idx="759">
                  <c:v>3177.6</c:v>
                </c:pt>
                <c:pt idx="760">
                  <c:v>3166.7</c:v>
                </c:pt>
                <c:pt idx="761">
                  <c:v>3150.5</c:v>
                </c:pt>
                <c:pt idx="762">
                  <c:v>3203.35</c:v>
                </c:pt>
                <c:pt idx="763">
                  <c:v>3226.55</c:v>
                </c:pt>
                <c:pt idx="764">
                  <c:v>3213.85</c:v>
                </c:pt>
                <c:pt idx="765">
                  <c:v>3169.75</c:v>
                </c:pt>
                <c:pt idx="766">
                  <c:v>3191.45</c:v>
                </c:pt>
                <c:pt idx="767">
                  <c:v>3263.35</c:v>
                </c:pt>
                <c:pt idx="768">
                  <c:v>3303.1</c:v>
                </c:pt>
                <c:pt idx="769">
                  <c:v>3217.3</c:v>
                </c:pt>
                <c:pt idx="770">
                  <c:v>3316.7</c:v>
                </c:pt>
                <c:pt idx="771">
                  <c:v>3260.7</c:v>
                </c:pt>
                <c:pt idx="772">
                  <c:v>3274.7</c:v>
                </c:pt>
                <c:pt idx="773">
                  <c:v>3228</c:v>
                </c:pt>
                <c:pt idx="774">
                  <c:v>3237.15</c:v>
                </c:pt>
                <c:pt idx="775">
                  <c:v>3212.35</c:v>
                </c:pt>
                <c:pt idx="776">
                  <c:v>3252.65</c:v>
                </c:pt>
                <c:pt idx="777">
                  <c:v>3175.7</c:v>
                </c:pt>
                <c:pt idx="778">
                  <c:v>3311.15</c:v>
                </c:pt>
                <c:pt idx="779">
                  <c:v>3289.1</c:v>
                </c:pt>
                <c:pt idx="780">
                  <c:v>3285</c:v>
                </c:pt>
                <c:pt idx="781">
                  <c:v>3290.5</c:v>
                </c:pt>
                <c:pt idx="782">
                  <c:v>3274.15</c:v>
                </c:pt>
                <c:pt idx="783">
                  <c:v>3249.7</c:v>
                </c:pt>
                <c:pt idx="784">
                  <c:v>3241.95</c:v>
                </c:pt>
                <c:pt idx="785">
                  <c:v>3205.6</c:v>
                </c:pt>
                <c:pt idx="786">
                  <c:v>3131.05</c:v>
                </c:pt>
                <c:pt idx="787">
                  <c:v>3105.9</c:v>
                </c:pt>
                <c:pt idx="788">
                  <c:v>3138.8</c:v>
                </c:pt>
                <c:pt idx="789">
                  <c:v>3125.5</c:v>
                </c:pt>
                <c:pt idx="790">
                  <c:v>3127.3</c:v>
                </c:pt>
                <c:pt idx="791">
                  <c:v>3166.2</c:v>
                </c:pt>
                <c:pt idx="792">
                  <c:v>3204.4</c:v>
                </c:pt>
                <c:pt idx="793">
                  <c:v>3146.7</c:v>
                </c:pt>
                <c:pt idx="794">
                  <c:v>3116.1</c:v>
                </c:pt>
                <c:pt idx="795">
                  <c:v>3033.4</c:v>
                </c:pt>
                <c:pt idx="796">
                  <c:v>3016.9</c:v>
                </c:pt>
                <c:pt idx="797">
                  <c:v>3006.9</c:v>
                </c:pt>
                <c:pt idx="798">
                  <c:v>3035.45</c:v>
                </c:pt>
                <c:pt idx="799">
                  <c:v>2974.6</c:v>
                </c:pt>
                <c:pt idx="800">
                  <c:v>2952</c:v>
                </c:pt>
                <c:pt idx="801">
                  <c:v>2934.8</c:v>
                </c:pt>
                <c:pt idx="802">
                  <c:v>2946.55</c:v>
                </c:pt>
                <c:pt idx="803">
                  <c:v>2927.7</c:v>
                </c:pt>
                <c:pt idx="804">
                  <c:v>2909.6</c:v>
                </c:pt>
                <c:pt idx="805">
                  <c:v>2885.55</c:v>
                </c:pt>
                <c:pt idx="806">
                  <c:v>2852.4</c:v>
                </c:pt>
                <c:pt idx="807">
                  <c:v>2933.7</c:v>
                </c:pt>
                <c:pt idx="808">
                  <c:v>2948.85</c:v>
                </c:pt>
                <c:pt idx="809">
                  <c:v>3004.3</c:v>
                </c:pt>
                <c:pt idx="810">
                  <c:v>2933.75</c:v>
                </c:pt>
                <c:pt idx="811">
                  <c:v>2961.7</c:v>
                </c:pt>
                <c:pt idx="812">
                  <c:v>2970.45</c:v>
                </c:pt>
                <c:pt idx="813">
                  <c:v>3054.2</c:v>
                </c:pt>
                <c:pt idx="814">
                  <c:v>3128.35</c:v>
                </c:pt>
                <c:pt idx="815">
                  <c:v>3213.05</c:v>
                </c:pt>
                <c:pt idx="816">
                  <c:v>3229</c:v>
                </c:pt>
                <c:pt idx="817">
                  <c:v>3263.55</c:v>
                </c:pt>
                <c:pt idx="818">
                  <c:v>3289.6</c:v>
                </c:pt>
                <c:pt idx="819">
                  <c:v>3246.95</c:v>
                </c:pt>
                <c:pt idx="820">
                  <c:v>3200.7</c:v>
                </c:pt>
                <c:pt idx="821">
                  <c:v>3182.8</c:v>
                </c:pt>
                <c:pt idx="822">
                  <c:v>3217.95</c:v>
                </c:pt>
                <c:pt idx="823">
                  <c:v>3248.35</c:v>
                </c:pt>
                <c:pt idx="824">
                  <c:v>3263.55</c:v>
                </c:pt>
                <c:pt idx="825">
                  <c:v>3301.1</c:v>
                </c:pt>
                <c:pt idx="826">
                  <c:v>3356.15</c:v>
                </c:pt>
                <c:pt idx="827">
                  <c:v>3348.35</c:v>
                </c:pt>
                <c:pt idx="828">
                  <c:v>3339.3</c:v>
                </c:pt>
                <c:pt idx="829">
                  <c:v>3355.1</c:v>
                </c:pt>
                <c:pt idx="830">
                  <c:v>3392.9</c:v>
                </c:pt>
                <c:pt idx="831">
                  <c:v>3381.9</c:v>
                </c:pt>
                <c:pt idx="832">
                  <c:v>3416.75</c:v>
                </c:pt>
                <c:pt idx="833">
                  <c:v>3405.3</c:v>
                </c:pt>
                <c:pt idx="834">
                  <c:v>3626.35</c:v>
                </c:pt>
                <c:pt idx="835">
                  <c:v>3658.5</c:v>
                </c:pt>
                <c:pt idx="836">
                  <c:v>3633.2</c:v>
                </c:pt>
                <c:pt idx="837">
                  <c:v>3628.75</c:v>
                </c:pt>
                <c:pt idx="838">
                  <c:v>3576.15</c:v>
                </c:pt>
                <c:pt idx="839">
                  <c:v>3570.9</c:v>
                </c:pt>
                <c:pt idx="840">
                  <c:v>3545.45</c:v>
                </c:pt>
                <c:pt idx="841">
                  <c:v>3601.6</c:v>
                </c:pt>
                <c:pt idx="842">
                  <c:v>3610.9</c:v>
                </c:pt>
                <c:pt idx="843">
                  <c:v>3651.5</c:v>
                </c:pt>
                <c:pt idx="844">
                  <c:v>3690.35</c:v>
                </c:pt>
                <c:pt idx="845">
                  <c:v>3711.45</c:v>
                </c:pt>
                <c:pt idx="846">
                  <c:v>3678.35</c:v>
                </c:pt>
                <c:pt idx="847">
                  <c:v>3671.95</c:v>
                </c:pt>
                <c:pt idx="848">
                  <c:v>3716.05</c:v>
                </c:pt>
                <c:pt idx="849">
                  <c:v>3699.4</c:v>
                </c:pt>
                <c:pt idx="850">
                  <c:v>3673.25</c:v>
                </c:pt>
                <c:pt idx="851">
                  <c:v>3705.1</c:v>
                </c:pt>
                <c:pt idx="852">
                  <c:v>3727.4</c:v>
                </c:pt>
                <c:pt idx="853">
                  <c:v>3657.4</c:v>
                </c:pt>
                <c:pt idx="854">
                  <c:v>3581.3</c:v>
                </c:pt>
                <c:pt idx="855">
                  <c:v>3590.6</c:v>
                </c:pt>
                <c:pt idx="856">
                  <c:v>3592.65</c:v>
                </c:pt>
                <c:pt idx="857">
                  <c:v>3572.05</c:v>
                </c:pt>
                <c:pt idx="858">
                  <c:v>3534.7</c:v>
                </c:pt>
                <c:pt idx="859">
                  <c:v>3538.9</c:v>
                </c:pt>
                <c:pt idx="860">
                  <c:v>3496.65</c:v>
                </c:pt>
                <c:pt idx="861">
                  <c:v>3562.1</c:v>
                </c:pt>
                <c:pt idx="862">
                  <c:v>3570.45</c:v>
                </c:pt>
                <c:pt idx="863">
                  <c:v>3558.6</c:v>
                </c:pt>
                <c:pt idx="864">
                  <c:v>3539.2</c:v>
                </c:pt>
                <c:pt idx="865">
                  <c:v>3551.65</c:v>
                </c:pt>
                <c:pt idx="866">
                  <c:v>3535.75</c:v>
                </c:pt>
                <c:pt idx="867">
                  <c:v>3544.85</c:v>
                </c:pt>
                <c:pt idx="868">
                  <c:v>3580.1</c:v>
                </c:pt>
                <c:pt idx="869">
                  <c:v>3630.85</c:v>
                </c:pt>
                <c:pt idx="870">
                  <c:v>3401.8</c:v>
                </c:pt>
                <c:pt idx="871">
                  <c:v>3309.75</c:v>
                </c:pt>
                <c:pt idx="872">
                  <c:v>3222.2</c:v>
                </c:pt>
                <c:pt idx="873">
                  <c:v>3184.8</c:v>
                </c:pt>
                <c:pt idx="874">
                  <c:v>3173.9</c:v>
                </c:pt>
                <c:pt idx="875">
                  <c:v>3253.05</c:v>
                </c:pt>
                <c:pt idx="876">
                  <c:v>3291.65</c:v>
                </c:pt>
                <c:pt idx="877">
                  <c:v>3257.15</c:v>
                </c:pt>
                <c:pt idx="878">
                  <c:v>3347.1</c:v>
                </c:pt>
                <c:pt idx="879">
                  <c:v>3349.9</c:v>
                </c:pt>
                <c:pt idx="880">
                  <c:v>3349.25</c:v>
                </c:pt>
                <c:pt idx="881">
                  <c:v>3330.15</c:v>
                </c:pt>
                <c:pt idx="882">
                  <c:v>3317.1</c:v>
                </c:pt>
                <c:pt idx="883">
                  <c:v>3315.5</c:v>
                </c:pt>
                <c:pt idx="884">
                  <c:v>3307.85</c:v>
                </c:pt>
                <c:pt idx="885">
                  <c:v>3326.2</c:v>
                </c:pt>
                <c:pt idx="886">
                  <c:v>3353.65</c:v>
                </c:pt>
                <c:pt idx="887">
                  <c:v>3327.9</c:v>
                </c:pt>
                <c:pt idx="888">
                  <c:v>3355.2</c:v>
                </c:pt>
                <c:pt idx="889">
                  <c:v>3365.5</c:v>
                </c:pt>
                <c:pt idx="890">
                  <c:v>3415.9</c:v>
                </c:pt>
                <c:pt idx="891">
                  <c:v>3332.7</c:v>
                </c:pt>
                <c:pt idx="892">
                  <c:v>3379.7</c:v>
                </c:pt>
                <c:pt idx="893">
                  <c:v>3359.55</c:v>
                </c:pt>
                <c:pt idx="894">
                  <c:v>3355.85</c:v>
                </c:pt>
                <c:pt idx="895">
                  <c:v>3372</c:v>
                </c:pt>
                <c:pt idx="896">
                  <c:v>3412.6</c:v>
                </c:pt>
                <c:pt idx="897">
                  <c:v>3414.7</c:v>
                </c:pt>
                <c:pt idx="898">
                  <c:v>3389.2</c:v>
                </c:pt>
                <c:pt idx="899">
                  <c:v>3338.7</c:v>
                </c:pt>
                <c:pt idx="900">
                  <c:v>3327.2</c:v>
                </c:pt>
                <c:pt idx="901">
                  <c:v>3298.45</c:v>
                </c:pt>
                <c:pt idx="902">
                  <c:v>3349.6</c:v>
                </c:pt>
                <c:pt idx="903">
                  <c:v>3365.55</c:v>
                </c:pt>
                <c:pt idx="904">
                  <c:v>3343.4</c:v>
                </c:pt>
                <c:pt idx="905">
                  <c:v>3358</c:v>
                </c:pt>
                <c:pt idx="906">
                  <c:v>3341.65</c:v>
                </c:pt>
                <c:pt idx="907">
                  <c:v>3341.15</c:v>
                </c:pt>
                <c:pt idx="908">
                  <c:v>3348.35</c:v>
                </c:pt>
                <c:pt idx="909">
                  <c:v>3355.35</c:v>
                </c:pt>
                <c:pt idx="910">
                  <c:v>3405.75</c:v>
                </c:pt>
                <c:pt idx="911">
                  <c:v>3336.6</c:v>
                </c:pt>
                <c:pt idx="912">
                  <c:v>3400.4</c:v>
                </c:pt>
                <c:pt idx="913">
                  <c:v>3434.15</c:v>
                </c:pt>
                <c:pt idx="914">
                  <c:v>3403.45</c:v>
                </c:pt>
                <c:pt idx="915">
                  <c:v>3391.3</c:v>
                </c:pt>
                <c:pt idx="916">
                  <c:v>3402.45</c:v>
                </c:pt>
                <c:pt idx="917">
                  <c:v>3370.9</c:v>
                </c:pt>
                <c:pt idx="918">
                  <c:v>3404.5</c:v>
                </c:pt>
                <c:pt idx="919">
                  <c:v>3341.25</c:v>
                </c:pt>
                <c:pt idx="920">
                  <c:v>3320.3</c:v>
                </c:pt>
                <c:pt idx="921">
                  <c:v>3381.4</c:v>
                </c:pt>
                <c:pt idx="922">
                  <c:v>3427.2</c:v>
                </c:pt>
                <c:pt idx="923">
                  <c:v>3431.75</c:v>
                </c:pt>
                <c:pt idx="924">
                  <c:v>3441.2</c:v>
                </c:pt>
                <c:pt idx="925">
                  <c:v>3435.85</c:v>
                </c:pt>
                <c:pt idx="926">
                  <c:v>3409.45</c:v>
                </c:pt>
                <c:pt idx="927">
                  <c:v>3386.65</c:v>
                </c:pt>
                <c:pt idx="928">
                  <c:v>3472.15</c:v>
                </c:pt>
                <c:pt idx="929">
                  <c:v>3479.7</c:v>
                </c:pt>
                <c:pt idx="930">
                  <c:v>3440.25</c:v>
                </c:pt>
                <c:pt idx="931">
                  <c:v>3446.95</c:v>
                </c:pt>
                <c:pt idx="932">
                  <c:v>3351.4</c:v>
                </c:pt>
                <c:pt idx="933">
                  <c:v>3400.9</c:v>
                </c:pt>
                <c:pt idx="934">
                  <c:v>3443.6</c:v>
                </c:pt>
                <c:pt idx="935">
                  <c:v>3450.4</c:v>
                </c:pt>
                <c:pt idx="936">
                  <c:v>3445.6</c:v>
                </c:pt>
                <c:pt idx="937">
                  <c:v>3458.75</c:v>
                </c:pt>
                <c:pt idx="938">
                  <c:v>3486.6</c:v>
                </c:pt>
                <c:pt idx="939">
                  <c:v>3494.2</c:v>
                </c:pt>
                <c:pt idx="940">
                  <c:v>3476.4</c:v>
                </c:pt>
                <c:pt idx="941">
                  <c:v>3486.6</c:v>
                </c:pt>
                <c:pt idx="942">
                  <c:v>3500.85</c:v>
                </c:pt>
                <c:pt idx="943">
                  <c:v>3496.1</c:v>
                </c:pt>
                <c:pt idx="944">
                  <c:v>3501.2</c:v>
                </c:pt>
                <c:pt idx="945">
                  <c:v>3480.9</c:v>
                </c:pt>
                <c:pt idx="946">
                  <c:v>3446.35</c:v>
                </c:pt>
                <c:pt idx="947">
                  <c:v>3384.4</c:v>
                </c:pt>
                <c:pt idx="948">
                  <c:v>3326.8</c:v>
                </c:pt>
                <c:pt idx="949">
                  <c:v>3394.85</c:v>
                </c:pt>
                <c:pt idx="950">
                  <c:v>3357.65</c:v>
                </c:pt>
                <c:pt idx="951">
                  <c:v>3295.55</c:v>
                </c:pt>
                <c:pt idx="952">
                  <c:v>3282.25</c:v>
                </c:pt>
                <c:pt idx="953">
                  <c:v>3338.3</c:v>
                </c:pt>
                <c:pt idx="954">
                  <c:v>3428</c:v>
                </c:pt>
                <c:pt idx="955">
                  <c:v>3510.95</c:v>
                </c:pt>
                <c:pt idx="956">
                  <c:v>3509.05</c:v>
                </c:pt>
                <c:pt idx="957">
                  <c:v>3550.3</c:v>
                </c:pt>
                <c:pt idx="958">
                  <c:v>3541.9</c:v>
                </c:pt>
                <c:pt idx="959">
                  <c:v>3540.75</c:v>
                </c:pt>
                <c:pt idx="960">
                  <c:v>3579.3</c:v>
                </c:pt>
                <c:pt idx="961">
                  <c:v>3645.4</c:v>
                </c:pt>
                <c:pt idx="962">
                  <c:v>3848.3</c:v>
                </c:pt>
                <c:pt idx="963">
                  <c:v>3836.75</c:v>
                </c:pt>
                <c:pt idx="964">
                  <c:v>3865.3</c:v>
                </c:pt>
                <c:pt idx="965">
                  <c:v>3846.45</c:v>
                </c:pt>
                <c:pt idx="966">
                  <c:v>3844.2</c:v>
                </c:pt>
                <c:pt idx="967">
                  <c:v>3833.8</c:v>
                </c:pt>
                <c:pt idx="968">
                  <c:v>3883.8</c:v>
                </c:pt>
                <c:pt idx="969">
                  <c:v>3849.05</c:v>
                </c:pt>
                <c:pt idx="970">
                  <c:v>3826.7</c:v>
                </c:pt>
                <c:pt idx="971">
                  <c:v>3812.25</c:v>
                </c:pt>
                <c:pt idx="972">
                  <c:v>3896.9</c:v>
                </c:pt>
                <c:pt idx="973">
                  <c:v>3891.2</c:v>
                </c:pt>
                <c:pt idx="974">
                  <c:v>4180.3500000000004</c:v>
                </c:pt>
                <c:pt idx="975">
                  <c:v>4136.5</c:v>
                </c:pt>
                <c:pt idx="976">
                  <c:v>4047</c:v>
                </c:pt>
                <c:pt idx="977">
                  <c:v>4091</c:v>
                </c:pt>
                <c:pt idx="978">
                  <c:v>4055</c:v>
                </c:pt>
                <c:pt idx="979">
                  <c:v>4025.65</c:v>
                </c:pt>
                <c:pt idx="980">
                  <c:v>3951.75</c:v>
                </c:pt>
                <c:pt idx="981">
                  <c:v>4032.75</c:v>
                </c:pt>
                <c:pt idx="982">
                  <c:v>4086.15</c:v>
                </c:pt>
                <c:pt idx="983">
                  <c:v>4059.9</c:v>
                </c:pt>
                <c:pt idx="984">
                  <c:v>4085.5</c:v>
                </c:pt>
                <c:pt idx="985">
                  <c:v>4039.65</c:v>
                </c:pt>
                <c:pt idx="986">
                  <c:v>3912.4</c:v>
                </c:pt>
                <c:pt idx="987">
                  <c:v>3957.95</c:v>
                </c:pt>
                <c:pt idx="988">
                  <c:v>4006.05</c:v>
                </c:pt>
                <c:pt idx="989">
                  <c:v>4040.4</c:v>
                </c:pt>
                <c:pt idx="990">
                  <c:v>4120</c:v>
                </c:pt>
                <c:pt idx="991">
                  <c:v>4091.9</c:v>
                </c:pt>
                <c:pt idx="992">
                  <c:v>4143.5</c:v>
                </c:pt>
                <c:pt idx="993">
                  <c:v>4038.35</c:v>
                </c:pt>
                <c:pt idx="994">
                  <c:v>3892.5</c:v>
                </c:pt>
                <c:pt idx="995">
                  <c:v>3887.6</c:v>
                </c:pt>
                <c:pt idx="996">
                  <c:v>3861</c:v>
                </c:pt>
                <c:pt idx="997">
                  <c:v>3877.05</c:v>
                </c:pt>
                <c:pt idx="998">
                  <c:v>3884.25</c:v>
                </c:pt>
                <c:pt idx="999">
                  <c:v>3870.45</c:v>
                </c:pt>
                <c:pt idx="1000">
                  <c:v>3842.55</c:v>
                </c:pt>
                <c:pt idx="1001">
                  <c:v>3888.8</c:v>
                </c:pt>
                <c:pt idx="1002">
                  <c:v>3870.85</c:v>
                </c:pt>
                <c:pt idx="1003">
                  <c:v>3832.1</c:v>
                </c:pt>
                <c:pt idx="1004">
                  <c:v>3792.3</c:v>
                </c:pt>
                <c:pt idx="1005">
                  <c:v>3751.1</c:v>
                </c:pt>
                <c:pt idx="1006">
                  <c:v>3691.15</c:v>
                </c:pt>
                <c:pt idx="1007">
                  <c:v>3699.45</c:v>
                </c:pt>
                <c:pt idx="1008">
                  <c:v>3697.6</c:v>
                </c:pt>
                <c:pt idx="1009">
                  <c:v>3616.7</c:v>
                </c:pt>
                <c:pt idx="1010">
                  <c:v>3635</c:v>
                </c:pt>
                <c:pt idx="1011">
                  <c:v>3616.45</c:v>
                </c:pt>
                <c:pt idx="1012">
                  <c:v>3669.05</c:v>
                </c:pt>
                <c:pt idx="1013">
                  <c:v>3704.75</c:v>
                </c:pt>
                <c:pt idx="1014">
                  <c:v>3839.6</c:v>
                </c:pt>
                <c:pt idx="1015">
                  <c:v>3933.2</c:v>
                </c:pt>
                <c:pt idx="1016">
                  <c:v>3825.55</c:v>
                </c:pt>
                <c:pt idx="1017">
                  <c:v>3889.95</c:v>
                </c:pt>
                <c:pt idx="1018">
                  <c:v>3944.6</c:v>
                </c:pt>
                <c:pt idx="1019">
                  <c:v>3927.65</c:v>
                </c:pt>
                <c:pt idx="1020">
                  <c:v>3807.3</c:v>
                </c:pt>
                <c:pt idx="1021">
                  <c:v>3840.95</c:v>
                </c:pt>
                <c:pt idx="1022">
                  <c:v>3871.85</c:v>
                </c:pt>
                <c:pt idx="1023">
                  <c:v>3854.2</c:v>
                </c:pt>
                <c:pt idx="1024">
                  <c:v>3901.55</c:v>
                </c:pt>
                <c:pt idx="1025">
                  <c:v>3916.55</c:v>
                </c:pt>
                <c:pt idx="1026">
                  <c:v>3928.65</c:v>
                </c:pt>
                <c:pt idx="1027">
                  <c:v>3902.85</c:v>
                </c:pt>
                <c:pt idx="1028">
                  <c:v>3828.1</c:v>
                </c:pt>
                <c:pt idx="1029">
                  <c:v>3836.35</c:v>
                </c:pt>
                <c:pt idx="1030">
                  <c:v>3951.4</c:v>
                </c:pt>
                <c:pt idx="1031">
                  <c:v>3927.05</c:v>
                </c:pt>
                <c:pt idx="1032">
                  <c:v>3952.95</c:v>
                </c:pt>
                <c:pt idx="1033">
                  <c:v>4002.75</c:v>
                </c:pt>
                <c:pt idx="1034">
                  <c:v>3863.75</c:v>
                </c:pt>
                <c:pt idx="1035">
                  <c:v>3792.4</c:v>
                </c:pt>
                <c:pt idx="1036">
                  <c:v>3843.55</c:v>
                </c:pt>
                <c:pt idx="1037">
                  <c:v>3860.35</c:v>
                </c:pt>
                <c:pt idx="1038">
                  <c:v>3751.45</c:v>
                </c:pt>
                <c:pt idx="1039">
                  <c:v>3791.9</c:v>
                </c:pt>
                <c:pt idx="1040">
                  <c:v>3793.2</c:v>
                </c:pt>
                <c:pt idx="1041">
                  <c:v>3785.25</c:v>
                </c:pt>
                <c:pt idx="1042">
                  <c:v>3783.9</c:v>
                </c:pt>
                <c:pt idx="1043">
                  <c:v>3810.75</c:v>
                </c:pt>
                <c:pt idx="1044">
                  <c:v>3735.55</c:v>
                </c:pt>
                <c:pt idx="1045">
                  <c:v>3772.65</c:v>
                </c:pt>
                <c:pt idx="1046">
                  <c:v>3745.65</c:v>
                </c:pt>
                <c:pt idx="1047">
                  <c:v>3699.7</c:v>
                </c:pt>
                <c:pt idx="1048">
                  <c:v>3716.85</c:v>
                </c:pt>
                <c:pt idx="1049">
                  <c:v>3873.6</c:v>
                </c:pt>
                <c:pt idx="1050">
                  <c:v>3918.95</c:v>
                </c:pt>
                <c:pt idx="1051">
                  <c:v>3988.4</c:v>
                </c:pt>
                <c:pt idx="1052">
                  <c:v>3911.1</c:v>
                </c:pt>
                <c:pt idx="1053">
                  <c:v>3913.8</c:v>
                </c:pt>
                <c:pt idx="1054">
                  <c:v>4019.3</c:v>
                </c:pt>
                <c:pt idx="1055">
                  <c:v>3946.65</c:v>
                </c:pt>
                <c:pt idx="1056">
                  <c:v>3922.2</c:v>
                </c:pt>
                <c:pt idx="1057">
                  <c:v>3934.2</c:v>
                </c:pt>
                <c:pt idx="1058">
                  <c:v>4014.3</c:v>
                </c:pt>
                <c:pt idx="1059">
                  <c:v>4031.25</c:v>
                </c:pt>
                <c:pt idx="1060">
                  <c:v>4205.75</c:v>
                </c:pt>
                <c:pt idx="1061">
                  <c:v>4248.6499999999996</c:v>
                </c:pt>
                <c:pt idx="1062">
                  <c:v>4315.1000000000004</c:v>
                </c:pt>
                <c:pt idx="1063">
                  <c:v>4302.25</c:v>
                </c:pt>
                <c:pt idx="1064">
                  <c:v>4219.3500000000004</c:v>
                </c:pt>
                <c:pt idx="1065">
                  <c:v>4355.7</c:v>
                </c:pt>
                <c:pt idx="1066">
                  <c:v>4351.2</c:v>
                </c:pt>
                <c:pt idx="1067">
                  <c:v>4344.1499999999996</c:v>
                </c:pt>
                <c:pt idx="1068">
                  <c:v>4466.95</c:v>
                </c:pt>
                <c:pt idx="1069">
                  <c:v>4520.1499999999996</c:v>
                </c:pt>
                <c:pt idx="1070">
                  <c:v>4530.7</c:v>
                </c:pt>
                <c:pt idx="1071">
                  <c:v>4615.2</c:v>
                </c:pt>
                <c:pt idx="1072">
                  <c:v>4601</c:v>
                </c:pt>
                <c:pt idx="1073">
                  <c:v>4571.8500000000004</c:v>
                </c:pt>
                <c:pt idx="1074">
                  <c:v>4597.3999999999996</c:v>
                </c:pt>
                <c:pt idx="1075">
                  <c:v>4602.3999999999996</c:v>
                </c:pt>
                <c:pt idx="1076">
                  <c:v>4599.25</c:v>
                </c:pt>
                <c:pt idx="1077">
                  <c:v>4599</c:v>
                </c:pt>
                <c:pt idx="1078">
                  <c:v>4622.3999999999996</c:v>
                </c:pt>
                <c:pt idx="1079">
                  <c:v>4600.1000000000004</c:v>
                </c:pt>
                <c:pt idx="1080">
                  <c:v>4568.05</c:v>
                </c:pt>
                <c:pt idx="1081">
                  <c:v>4657.8500000000004</c:v>
                </c:pt>
                <c:pt idx="1082">
                  <c:v>4657.45</c:v>
                </c:pt>
                <c:pt idx="1083">
                  <c:v>4730.55</c:v>
                </c:pt>
                <c:pt idx="1084">
                  <c:v>4649.3500000000004</c:v>
                </c:pt>
                <c:pt idx="1085">
                  <c:v>4681.75</c:v>
                </c:pt>
                <c:pt idx="1086">
                  <c:v>4693.8999999999996</c:v>
                </c:pt>
                <c:pt idx="1087">
                  <c:v>4684.3999999999996</c:v>
                </c:pt>
                <c:pt idx="1088">
                  <c:v>4672.95</c:v>
                </c:pt>
                <c:pt idx="1089">
                  <c:v>4695.45</c:v>
                </c:pt>
                <c:pt idx="1090">
                  <c:v>4852.8500000000004</c:v>
                </c:pt>
                <c:pt idx="1091">
                  <c:v>4880.95</c:v>
                </c:pt>
                <c:pt idx="1092">
                  <c:v>4793.3</c:v>
                </c:pt>
                <c:pt idx="1093">
                  <c:v>4770.95</c:v>
                </c:pt>
                <c:pt idx="1094">
                  <c:v>4745.3999999999996</c:v>
                </c:pt>
                <c:pt idx="1095">
                  <c:v>4742.95</c:v>
                </c:pt>
                <c:pt idx="1096">
                  <c:v>4733.45</c:v>
                </c:pt>
                <c:pt idx="1097">
                  <c:v>4670.8500000000004</c:v>
                </c:pt>
                <c:pt idx="1098">
                  <c:v>4495.3999999999996</c:v>
                </c:pt>
                <c:pt idx="1099">
                  <c:v>4579</c:v>
                </c:pt>
                <c:pt idx="1100">
                  <c:v>4719.75</c:v>
                </c:pt>
                <c:pt idx="1101">
                  <c:v>4762</c:v>
                </c:pt>
                <c:pt idx="1102">
                  <c:v>4782.75</c:v>
                </c:pt>
                <c:pt idx="1103">
                  <c:v>4758.6499999999996</c:v>
                </c:pt>
                <c:pt idx="1104">
                  <c:v>4850.6499999999996</c:v>
                </c:pt>
                <c:pt idx="1105">
                  <c:v>4801.5</c:v>
                </c:pt>
                <c:pt idx="1106">
                  <c:v>4935.1000000000004</c:v>
                </c:pt>
                <c:pt idx="1107">
                  <c:v>4936.1000000000004</c:v>
                </c:pt>
                <c:pt idx="1108">
                  <c:v>4880.75</c:v>
                </c:pt>
                <c:pt idx="1109">
                  <c:v>4876.8999999999996</c:v>
                </c:pt>
                <c:pt idx="1110">
                  <c:v>4845.5</c:v>
                </c:pt>
                <c:pt idx="1111">
                  <c:v>4870.8999999999996</c:v>
                </c:pt>
                <c:pt idx="1112">
                  <c:v>4775.05</c:v>
                </c:pt>
                <c:pt idx="1113">
                  <c:v>4739.7</c:v>
                </c:pt>
                <c:pt idx="1114">
                  <c:v>4713.8</c:v>
                </c:pt>
                <c:pt idx="1115">
                  <c:v>4672.95</c:v>
                </c:pt>
                <c:pt idx="1116">
                  <c:v>4635.55</c:v>
                </c:pt>
                <c:pt idx="1117">
                  <c:v>4625.75</c:v>
                </c:pt>
                <c:pt idx="1118">
                  <c:v>4692.3</c:v>
                </c:pt>
                <c:pt idx="1119">
                  <c:v>4689.5</c:v>
                </c:pt>
                <c:pt idx="1120">
                  <c:v>4737.3</c:v>
                </c:pt>
                <c:pt idx="1121">
                  <c:v>4754.45</c:v>
                </c:pt>
                <c:pt idx="1122">
                  <c:v>4828.7</c:v>
                </c:pt>
                <c:pt idx="1123">
                  <c:v>4849.1499999999996</c:v>
                </c:pt>
                <c:pt idx="1124">
                  <c:v>4828.6499999999996</c:v>
                </c:pt>
                <c:pt idx="1125">
                  <c:v>4860.7</c:v>
                </c:pt>
                <c:pt idx="1126">
                  <c:v>4881.3500000000004</c:v>
                </c:pt>
                <c:pt idx="1127">
                  <c:v>4916.1000000000004</c:v>
                </c:pt>
                <c:pt idx="1128">
                  <c:v>4941.1000000000004</c:v>
                </c:pt>
                <c:pt idx="1129">
                  <c:v>4850.7</c:v>
                </c:pt>
                <c:pt idx="1130">
                  <c:v>4857.3500000000004</c:v>
                </c:pt>
                <c:pt idx="1131">
                  <c:v>4919.55</c:v>
                </c:pt>
                <c:pt idx="1132">
                  <c:v>4915.3500000000004</c:v>
                </c:pt>
                <c:pt idx="1133">
                  <c:v>4900.6499999999996</c:v>
                </c:pt>
                <c:pt idx="1134">
                  <c:v>5012.5</c:v>
                </c:pt>
                <c:pt idx="1135">
                  <c:v>4962.25</c:v>
                </c:pt>
                <c:pt idx="1136">
                  <c:v>4951.8500000000004</c:v>
                </c:pt>
                <c:pt idx="1137">
                  <c:v>4962.7</c:v>
                </c:pt>
                <c:pt idx="1138">
                  <c:v>4968.8</c:v>
                </c:pt>
                <c:pt idx="1139">
                  <c:v>4726.7</c:v>
                </c:pt>
                <c:pt idx="1140">
                  <c:v>4675.75</c:v>
                </c:pt>
                <c:pt idx="1141">
                  <c:v>4653.8999999999996</c:v>
                </c:pt>
                <c:pt idx="1142">
                  <c:v>4597.1499999999996</c:v>
                </c:pt>
                <c:pt idx="1143">
                  <c:v>4576.8999999999996</c:v>
                </c:pt>
                <c:pt idx="1144">
                  <c:v>4830.6000000000004</c:v>
                </c:pt>
                <c:pt idx="1145">
                  <c:v>4808.8</c:v>
                </c:pt>
                <c:pt idx="1146">
                  <c:v>4802.25</c:v>
                </c:pt>
                <c:pt idx="1147">
                  <c:v>4733.25</c:v>
                </c:pt>
                <c:pt idx="1148">
                  <c:v>4818</c:v>
                </c:pt>
                <c:pt idx="1149">
                  <c:v>4813.3</c:v>
                </c:pt>
                <c:pt idx="1150">
                  <c:v>4883.25</c:v>
                </c:pt>
                <c:pt idx="1151">
                  <c:v>4913.55</c:v>
                </c:pt>
                <c:pt idx="1152">
                  <c:v>4933.55</c:v>
                </c:pt>
                <c:pt idx="1153">
                  <c:v>4898.1000000000004</c:v>
                </c:pt>
                <c:pt idx="1154">
                  <c:v>4875.2</c:v>
                </c:pt>
                <c:pt idx="1155">
                  <c:v>4868.8500000000004</c:v>
                </c:pt>
                <c:pt idx="1156">
                  <c:v>4946.8500000000004</c:v>
                </c:pt>
                <c:pt idx="1157">
                  <c:v>4915.8999999999996</c:v>
                </c:pt>
                <c:pt idx="1158">
                  <c:v>4960.5</c:v>
                </c:pt>
                <c:pt idx="1159">
                  <c:v>4911.95</c:v>
                </c:pt>
                <c:pt idx="1160">
                  <c:v>4865.8</c:v>
                </c:pt>
                <c:pt idx="1161">
                  <c:v>4833.55</c:v>
                </c:pt>
                <c:pt idx="1162">
                  <c:v>4800.1000000000004</c:v>
                </c:pt>
                <c:pt idx="1163">
                  <c:v>4752.5</c:v>
                </c:pt>
                <c:pt idx="1164">
                  <c:v>4747.3500000000004</c:v>
                </c:pt>
                <c:pt idx="1165">
                  <c:v>4737.2</c:v>
                </c:pt>
                <c:pt idx="1166">
                  <c:v>4726.6499999999996</c:v>
                </c:pt>
                <c:pt idx="1167">
                  <c:v>4875</c:v>
                </c:pt>
                <c:pt idx="1168">
                  <c:v>4858.3</c:v>
                </c:pt>
                <c:pt idx="1169">
                  <c:v>4899.2</c:v>
                </c:pt>
                <c:pt idx="1170">
                  <c:v>4850.2</c:v>
                </c:pt>
                <c:pt idx="1171">
                  <c:v>4850.3500000000004</c:v>
                </c:pt>
                <c:pt idx="1172">
                  <c:v>4864.8999999999996</c:v>
                </c:pt>
                <c:pt idx="1173">
                  <c:v>4963.1499999999996</c:v>
                </c:pt>
                <c:pt idx="1174">
                  <c:v>4879.55</c:v>
                </c:pt>
                <c:pt idx="1175">
                  <c:v>4876.8999999999996</c:v>
                </c:pt>
                <c:pt idx="1176">
                  <c:v>4895.25</c:v>
                </c:pt>
                <c:pt idx="1177">
                  <c:v>4994.25</c:v>
                </c:pt>
                <c:pt idx="1178">
                  <c:v>5062.6000000000004</c:v>
                </c:pt>
                <c:pt idx="1179">
                  <c:v>5026.25</c:v>
                </c:pt>
                <c:pt idx="1180">
                  <c:v>4972.6499999999996</c:v>
                </c:pt>
                <c:pt idx="1181">
                  <c:v>4782.5</c:v>
                </c:pt>
                <c:pt idx="1182">
                  <c:v>4706.8</c:v>
                </c:pt>
                <c:pt idx="1183">
                  <c:v>4667.95</c:v>
                </c:pt>
                <c:pt idx="1184">
                  <c:v>4693.45</c:v>
                </c:pt>
                <c:pt idx="1185">
                  <c:v>4708.8999999999996</c:v>
                </c:pt>
                <c:pt idx="1186">
                  <c:v>4697.8999999999996</c:v>
                </c:pt>
                <c:pt idx="1187">
                  <c:v>4728.05</c:v>
                </c:pt>
                <c:pt idx="1188">
                  <c:v>4779.8</c:v>
                </c:pt>
                <c:pt idx="1189">
                  <c:v>4722.1000000000004</c:v>
                </c:pt>
                <c:pt idx="1190">
                  <c:v>4678.25</c:v>
                </c:pt>
                <c:pt idx="1191">
                  <c:v>4623.8500000000004</c:v>
                </c:pt>
                <c:pt idx="1192">
                  <c:v>4765.6499999999996</c:v>
                </c:pt>
                <c:pt idx="1193">
                  <c:v>4810.45</c:v>
                </c:pt>
                <c:pt idx="1194">
                  <c:v>4759.05</c:v>
                </c:pt>
                <c:pt idx="1195">
                  <c:v>4677.75</c:v>
                </c:pt>
                <c:pt idx="1196">
                  <c:v>4668.5</c:v>
                </c:pt>
                <c:pt idx="1197">
                  <c:v>4591.6000000000004</c:v>
                </c:pt>
                <c:pt idx="1198">
                  <c:v>4720.6499999999996</c:v>
                </c:pt>
                <c:pt idx="1199">
                  <c:v>4898.1499999999996</c:v>
                </c:pt>
                <c:pt idx="1200">
                  <c:v>4869.25</c:v>
                </c:pt>
                <c:pt idx="1201">
                  <c:v>4894.6499999999996</c:v>
                </c:pt>
                <c:pt idx="1202">
                  <c:v>4953.6000000000004</c:v>
                </c:pt>
                <c:pt idx="1203">
                  <c:v>4831.8500000000004</c:v>
                </c:pt>
                <c:pt idx="1204">
                  <c:v>4899.8</c:v>
                </c:pt>
                <c:pt idx="1205">
                  <c:v>4917.1499999999996</c:v>
                </c:pt>
                <c:pt idx="1206">
                  <c:v>4878</c:v>
                </c:pt>
                <c:pt idx="1207">
                  <c:v>4785.25</c:v>
                </c:pt>
                <c:pt idx="1208">
                  <c:v>4793.45</c:v>
                </c:pt>
                <c:pt idx="1209">
                  <c:v>4738.2</c:v>
                </c:pt>
                <c:pt idx="1210">
                  <c:v>4588.7</c:v>
                </c:pt>
                <c:pt idx="1211">
                  <c:v>4883.7</c:v>
                </c:pt>
                <c:pt idx="1212">
                  <c:v>4875.6499999999996</c:v>
                </c:pt>
                <c:pt idx="1213">
                  <c:v>4965.45</c:v>
                </c:pt>
                <c:pt idx="1214">
                  <c:v>4882.1000000000004</c:v>
                </c:pt>
                <c:pt idx="1215">
                  <c:v>4986.2</c:v>
                </c:pt>
                <c:pt idx="1216">
                  <c:v>5002.3500000000004</c:v>
                </c:pt>
                <c:pt idx="1217">
                  <c:v>4931.75</c:v>
                </c:pt>
                <c:pt idx="1218">
                  <c:v>4917.5</c:v>
                </c:pt>
                <c:pt idx="1219">
                  <c:v>4815.7</c:v>
                </c:pt>
                <c:pt idx="1220">
                  <c:v>4831.8500000000004</c:v>
                </c:pt>
                <c:pt idx="1221">
                  <c:v>4820.7</c:v>
                </c:pt>
                <c:pt idx="1222">
                  <c:v>4844.3500000000004</c:v>
                </c:pt>
                <c:pt idx="1223">
                  <c:v>4797.05</c:v>
                </c:pt>
                <c:pt idx="1224">
                  <c:v>4837.55</c:v>
                </c:pt>
                <c:pt idx="1225">
                  <c:v>4877.05</c:v>
                </c:pt>
                <c:pt idx="1226">
                  <c:v>4842.1000000000004</c:v>
                </c:pt>
                <c:pt idx="1227">
                  <c:v>4813.05</c:v>
                </c:pt>
                <c:pt idx="1228">
                  <c:v>4801.95</c:v>
                </c:pt>
                <c:pt idx="1229">
                  <c:v>4807.6499999999996</c:v>
                </c:pt>
                <c:pt idx="1230">
                  <c:v>4825.8999999999996</c:v>
                </c:pt>
                <c:pt idx="1231">
                  <c:v>4838.5</c:v>
                </c:pt>
                <c:pt idx="1232">
                  <c:v>4742.6499999999996</c:v>
                </c:pt>
                <c:pt idx="1233">
                  <c:v>4749.8500000000004</c:v>
                </c:pt>
                <c:pt idx="1234">
                  <c:v>4771.95</c:v>
                </c:pt>
                <c:pt idx="1235">
                  <c:v>4734.5</c:v>
                </c:pt>
                <c:pt idx="1236">
                  <c:v>4750.55</c:v>
                </c:pt>
                <c:pt idx="1237">
                  <c:v>4792.8999999999996</c:v>
                </c:pt>
                <c:pt idx="1238">
                  <c:v>4801.3500000000004</c:v>
                </c:pt>
                <c:pt idx="1239">
                  <c:v>4876.8999999999996</c:v>
                </c:pt>
                <c:pt idx="1240">
                  <c:v>4855.8</c:v>
                </c:pt>
                <c:pt idx="1241">
                  <c:v>4821.8999999999996</c:v>
                </c:pt>
                <c:pt idx="1242">
                  <c:v>4885.3</c:v>
                </c:pt>
                <c:pt idx="1243">
                  <c:v>5308.1</c:v>
                </c:pt>
                <c:pt idx="1244">
                  <c:v>5310.75</c:v>
                </c:pt>
                <c:pt idx="1245">
                  <c:v>5250.1</c:v>
                </c:pt>
                <c:pt idx="1246">
                  <c:v>5177.3</c:v>
                </c:pt>
                <c:pt idx="1247">
                  <c:v>5163.2</c:v>
                </c:pt>
                <c:pt idx="1248">
                  <c:v>5139.8999999999996</c:v>
                </c:pt>
                <c:pt idx="1249">
                  <c:v>5058.45</c:v>
                </c:pt>
                <c:pt idx="1250">
                  <c:v>4939.1000000000004</c:v>
                </c:pt>
                <c:pt idx="1251">
                  <c:v>5029.55</c:v>
                </c:pt>
                <c:pt idx="1252">
                  <c:v>5081.8999999999996</c:v>
                </c:pt>
                <c:pt idx="1253">
                  <c:v>5047.8</c:v>
                </c:pt>
                <c:pt idx="1254">
                  <c:v>5012.3</c:v>
                </c:pt>
                <c:pt idx="1255">
                  <c:v>5016.75</c:v>
                </c:pt>
                <c:pt idx="1256">
                  <c:v>4969.95</c:v>
                </c:pt>
                <c:pt idx="1257">
                  <c:v>5009.7</c:v>
                </c:pt>
                <c:pt idx="1258">
                  <c:v>5116.2</c:v>
                </c:pt>
                <c:pt idx="1259">
                  <c:v>5206.3</c:v>
                </c:pt>
                <c:pt idx="1260">
                  <c:v>5144.5</c:v>
                </c:pt>
                <c:pt idx="1261">
                  <c:v>5105.3999999999996</c:v>
                </c:pt>
                <c:pt idx="1262">
                  <c:v>5182.8999999999996</c:v>
                </c:pt>
                <c:pt idx="1263">
                  <c:v>5164.3500000000004</c:v>
                </c:pt>
                <c:pt idx="1264">
                  <c:v>5194.3</c:v>
                </c:pt>
                <c:pt idx="1265">
                  <c:v>5390.15</c:v>
                </c:pt>
                <c:pt idx="1266">
                  <c:v>5485.25</c:v>
                </c:pt>
                <c:pt idx="1267">
                  <c:v>5450.1</c:v>
                </c:pt>
                <c:pt idx="1268">
                  <c:v>5417.2</c:v>
                </c:pt>
                <c:pt idx="1269">
                  <c:v>5342</c:v>
                </c:pt>
                <c:pt idx="1270">
                  <c:v>5372.55</c:v>
                </c:pt>
                <c:pt idx="1271">
                  <c:v>5335.35</c:v>
                </c:pt>
                <c:pt idx="1272">
                  <c:v>4972.3500000000004</c:v>
                </c:pt>
                <c:pt idx="1273">
                  <c:v>4849.45</c:v>
                </c:pt>
                <c:pt idx="1274">
                  <c:v>4820.3999999999996</c:v>
                </c:pt>
                <c:pt idx="1275">
                  <c:v>4703.3500000000004</c:v>
                </c:pt>
                <c:pt idx="1276">
                  <c:v>4745.2</c:v>
                </c:pt>
                <c:pt idx="1277">
                  <c:v>4719.3999999999996</c:v>
                </c:pt>
                <c:pt idx="1278">
                  <c:v>4810.6000000000004</c:v>
                </c:pt>
                <c:pt idx="1279">
                  <c:v>4888.3999999999996</c:v>
                </c:pt>
                <c:pt idx="1280">
                  <c:v>4962.45</c:v>
                </c:pt>
                <c:pt idx="1281">
                  <c:v>5010.8</c:v>
                </c:pt>
                <c:pt idx="1282">
                  <c:v>4989.8</c:v>
                </c:pt>
                <c:pt idx="1283">
                  <c:v>4935.5</c:v>
                </c:pt>
                <c:pt idx="1284">
                  <c:v>4773.6000000000004</c:v>
                </c:pt>
                <c:pt idx="1285">
                  <c:v>4906.6000000000004</c:v>
                </c:pt>
                <c:pt idx="1286">
                  <c:v>4815.1000000000004</c:v>
                </c:pt>
                <c:pt idx="1287">
                  <c:v>4988.3</c:v>
                </c:pt>
                <c:pt idx="1288">
                  <c:v>5094.3999999999996</c:v>
                </c:pt>
                <c:pt idx="1289">
                  <c:v>5100.7</c:v>
                </c:pt>
                <c:pt idx="1290">
                  <c:v>4990.55</c:v>
                </c:pt>
                <c:pt idx="1291">
                  <c:v>4985.55</c:v>
                </c:pt>
                <c:pt idx="1292">
                  <c:v>5017.45</c:v>
                </c:pt>
                <c:pt idx="1293">
                  <c:v>5015.25</c:v>
                </c:pt>
                <c:pt idx="1294">
                  <c:v>5050.25</c:v>
                </c:pt>
                <c:pt idx="1295">
                  <c:v>5127.3999999999996</c:v>
                </c:pt>
                <c:pt idx="1296">
                  <c:v>5100.8999999999996</c:v>
                </c:pt>
                <c:pt idx="1297">
                  <c:v>5229.3500000000004</c:v>
                </c:pt>
                <c:pt idx="1298">
                  <c:v>5305.95</c:v>
                </c:pt>
                <c:pt idx="1299">
                  <c:v>5424.2</c:v>
                </c:pt>
                <c:pt idx="1300">
                  <c:v>5431.25</c:v>
                </c:pt>
                <c:pt idx="1301">
                  <c:v>5403.3</c:v>
                </c:pt>
                <c:pt idx="1302">
                  <c:v>5345.75</c:v>
                </c:pt>
                <c:pt idx="1303">
                  <c:v>5347.7</c:v>
                </c:pt>
                <c:pt idx="1304">
                  <c:v>5307.2</c:v>
                </c:pt>
                <c:pt idx="1305">
                  <c:v>5355.5</c:v>
                </c:pt>
                <c:pt idx="1306">
                  <c:v>5379.15</c:v>
                </c:pt>
                <c:pt idx="1307">
                  <c:v>5247.9</c:v>
                </c:pt>
                <c:pt idx="1308">
                  <c:v>5065.25</c:v>
                </c:pt>
                <c:pt idx="1309">
                  <c:v>5231.3500000000004</c:v>
                </c:pt>
                <c:pt idx="1310">
                  <c:v>5258.3</c:v>
                </c:pt>
                <c:pt idx="1311">
                  <c:v>5350.9</c:v>
                </c:pt>
                <c:pt idx="1312">
                  <c:v>5529</c:v>
                </c:pt>
                <c:pt idx="1313">
                  <c:v>5615.5</c:v>
                </c:pt>
                <c:pt idx="1314">
                  <c:v>5678.5</c:v>
                </c:pt>
                <c:pt idx="1315">
                  <c:v>5810.5</c:v>
                </c:pt>
                <c:pt idx="1316">
                  <c:v>5784</c:v>
                </c:pt>
                <c:pt idx="1317">
                  <c:v>5740</c:v>
                </c:pt>
                <c:pt idx="1318">
                  <c:v>5650.5</c:v>
                </c:pt>
                <c:pt idx="1319">
                  <c:v>5575.5</c:v>
                </c:pt>
                <c:pt idx="1320">
                  <c:v>5622</c:v>
                </c:pt>
                <c:pt idx="1321">
                  <c:v>5579</c:v>
                </c:pt>
                <c:pt idx="1322">
                  <c:v>5567</c:v>
                </c:pt>
                <c:pt idx="1323">
                  <c:v>5437.5</c:v>
                </c:pt>
                <c:pt idx="1324">
                  <c:v>5460.5</c:v>
                </c:pt>
                <c:pt idx="1325">
                  <c:v>5515</c:v>
                </c:pt>
                <c:pt idx="1326">
                  <c:v>5489</c:v>
                </c:pt>
                <c:pt idx="1327">
                  <c:v>5372.5</c:v>
                </c:pt>
                <c:pt idx="1328">
                  <c:v>5324</c:v>
                </c:pt>
                <c:pt idx="1329">
                  <c:v>5520</c:v>
                </c:pt>
                <c:pt idx="1330">
                  <c:v>5419</c:v>
                </c:pt>
                <c:pt idx="1331">
                  <c:v>5446.5</c:v>
                </c:pt>
                <c:pt idx="1332">
                  <c:v>5466</c:v>
                </c:pt>
                <c:pt idx="1333">
                  <c:v>5509.5</c:v>
                </c:pt>
                <c:pt idx="1334">
                  <c:v>5530</c:v>
                </c:pt>
                <c:pt idx="1335">
                  <c:v>5387.5</c:v>
                </c:pt>
                <c:pt idx="1336">
                  <c:v>5409</c:v>
                </c:pt>
                <c:pt idx="1337">
                  <c:v>5387</c:v>
                </c:pt>
                <c:pt idx="1338">
                  <c:v>5400</c:v>
                </c:pt>
                <c:pt idx="1339">
                  <c:v>5427.5</c:v>
                </c:pt>
                <c:pt idx="1340">
                  <c:v>5389.5</c:v>
                </c:pt>
                <c:pt idx="1341">
                  <c:v>5326.5</c:v>
                </c:pt>
                <c:pt idx="1342">
                  <c:v>5379</c:v>
                </c:pt>
                <c:pt idx="1343">
                  <c:v>5333.5</c:v>
                </c:pt>
                <c:pt idx="1344">
                  <c:v>5361</c:v>
                </c:pt>
                <c:pt idx="1345">
                  <c:v>5354</c:v>
                </c:pt>
                <c:pt idx="1346">
                  <c:v>5319.5</c:v>
                </c:pt>
                <c:pt idx="1347">
                  <c:v>5308.5</c:v>
                </c:pt>
                <c:pt idx="1348">
                  <c:v>5394</c:v>
                </c:pt>
                <c:pt idx="1349">
                  <c:v>5391</c:v>
                </c:pt>
                <c:pt idx="1350">
                  <c:v>5377.5</c:v>
                </c:pt>
                <c:pt idx="1351">
                  <c:v>5352</c:v>
                </c:pt>
                <c:pt idx="1352">
                  <c:v>5315.5</c:v>
                </c:pt>
                <c:pt idx="1353">
                  <c:v>5319</c:v>
                </c:pt>
                <c:pt idx="1354">
                  <c:v>5365</c:v>
                </c:pt>
                <c:pt idx="1355">
                  <c:v>5341</c:v>
                </c:pt>
                <c:pt idx="1356">
                  <c:v>5393</c:v>
                </c:pt>
                <c:pt idx="1357">
                  <c:v>5493.5</c:v>
                </c:pt>
                <c:pt idx="1358">
                  <c:v>5525</c:v>
                </c:pt>
                <c:pt idx="1359">
                  <c:v>5552.5</c:v>
                </c:pt>
                <c:pt idx="1360">
                  <c:v>5629</c:v>
                </c:pt>
                <c:pt idx="1361">
                  <c:v>5576</c:v>
                </c:pt>
                <c:pt idx="1362">
                  <c:v>5611.5</c:v>
                </c:pt>
                <c:pt idx="1363">
                  <c:v>5660</c:v>
                </c:pt>
                <c:pt idx="1364">
                  <c:v>5656.5</c:v>
                </c:pt>
                <c:pt idx="1365">
                  <c:v>5715.5</c:v>
                </c:pt>
                <c:pt idx="1366">
                  <c:v>5722.5</c:v>
                </c:pt>
                <c:pt idx="1367">
                  <c:v>5716</c:v>
                </c:pt>
                <c:pt idx="1368">
                  <c:v>5629</c:v>
                </c:pt>
                <c:pt idx="1369">
                  <c:v>5682.5</c:v>
                </c:pt>
                <c:pt idx="1370">
                  <c:v>5679.5</c:v>
                </c:pt>
                <c:pt idx="1371">
                  <c:v>5695</c:v>
                </c:pt>
                <c:pt idx="1372">
                  <c:v>5652</c:v>
                </c:pt>
                <c:pt idx="1373">
                  <c:v>5612.5</c:v>
                </c:pt>
                <c:pt idx="1374">
                  <c:v>5540.5</c:v>
                </c:pt>
                <c:pt idx="1375">
                  <c:v>5591</c:v>
                </c:pt>
                <c:pt idx="1376">
                  <c:v>5626.5</c:v>
                </c:pt>
                <c:pt idx="1377">
                  <c:v>5650</c:v>
                </c:pt>
                <c:pt idx="1378">
                  <c:v>5627.5</c:v>
                </c:pt>
                <c:pt idx="1379">
                  <c:v>5558</c:v>
                </c:pt>
                <c:pt idx="1380">
                  <c:v>5439.5</c:v>
                </c:pt>
                <c:pt idx="1381">
                  <c:v>5441.5</c:v>
                </c:pt>
                <c:pt idx="1382">
                  <c:v>5469</c:v>
                </c:pt>
                <c:pt idx="1383">
                  <c:v>5433</c:v>
                </c:pt>
                <c:pt idx="1384">
                  <c:v>5386</c:v>
                </c:pt>
                <c:pt idx="1385">
                  <c:v>5470.5</c:v>
                </c:pt>
                <c:pt idx="1386">
                  <c:v>5481</c:v>
                </c:pt>
                <c:pt idx="1387">
                  <c:v>5468.5</c:v>
                </c:pt>
                <c:pt idx="1388">
                  <c:v>5528</c:v>
                </c:pt>
                <c:pt idx="1389">
                  <c:v>5621</c:v>
                </c:pt>
                <c:pt idx="1390">
                  <c:v>5681</c:v>
                </c:pt>
                <c:pt idx="1391">
                  <c:v>5668</c:v>
                </c:pt>
                <c:pt idx="1392">
                  <c:v>5681.5</c:v>
                </c:pt>
                <c:pt idx="1393">
                  <c:v>5663</c:v>
                </c:pt>
                <c:pt idx="1394">
                  <c:v>5671.5</c:v>
                </c:pt>
                <c:pt idx="1395">
                  <c:v>5658</c:v>
                </c:pt>
                <c:pt idx="1396">
                  <c:v>5714.5</c:v>
                </c:pt>
                <c:pt idx="1397">
                  <c:v>5764</c:v>
                </c:pt>
                <c:pt idx="1398">
                  <c:v>5912</c:v>
                </c:pt>
                <c:pt idx="1399">
                  <c:v>5938.5</c:v>
                </c:pt>
                <c:pt idx="1400">
                  <c:v>5937.5</c:v>
                </c:pt>
                <c:pt idx="1401">
                  <c:v>5975</c:v>
                </c:pt>
                <c:pt idx="1402">
                  <c:v>5924.5</c:v>
                </c:pt>
                <c:pt idx="1403">
                  <c:v>5990.5</c:v>
                </c:pt>
                <c:pt idx="1404">
                  <c:v>6151</c:v>
                </c:pt>
                <c:pt idx="1405">
                  <c:v>6133</c:v>
                </c:pt>
                <c:pt idx="1406">
                  <c:v>6103</c:v>
                </c:pt>
                <c:pt idx="1407">
                  <c:v>6280</c:v>
                </c:pt>
                <c:pt idx="1408">
                  <c:v>6349</c:v>
                </c:pt>
                <c:pt idx="1409">
                  <c:v>6371.5</c:v>
                </c:pt>
                <c:pt idx="1410">
                  <c:v>6425</c:v>
                </c:pt>
                <c:pt idx="1411">
                  <c:v>6580.5</c:v>
                </c:pt>
                <c:pt idx="1412">
                  <c:v>6815</c:v>
                </c:pt>
                <c:pt idx="1413">
                  <c:v>6874.5</c:v>
                </c:pt>
                <c:pt idx="1414">
                  <c:v>6836.5</c:v>
                </c:pt>
                <c:pt idx="1415">
                  <c:v>6758</c:v>
                </c:pt>
                <c:pt idx="1416">
                  <c:v>6875</c:v>
                </c:pt>
                <c:pt idx="1417">
                  <c:v>6801</c:v>
                </c:pt>
                <c:pt idx="1418">
                  <c:v>6927.5</c:v>
                </c:pt>
                <c:pt idx="1419">
                  <c:v>6890.5</c:v>
                </c:pt>
                <c:pt idx="1420">
                  <c:v>6924.5</c:v>
                </c:pt>
                <c:pt idx="1421">
                  <c:v>6973.5</c:v>
                </c:pt>
                <c:pt idx="1422">
                  <c:v>6946</c:v>
                </c:pt>
                <c:pt idx="1423">
                  <c:v>6990.5</c:v>
                </c:pt>
                <c:pt idx="1424">
                  <c:v>7011.5</c:v>
                </c:pt>
                <c:pt idx="1425">
                  <c:v>6986</c:v>
                </c:pt>
                <c:pt idx="1426">
                  <c:v>7047</c:v>
                </c:pt>
                <c:pt idx="1427">
                  <c:v>6985</c:v>
                </c:pt>
                <c:pt idx="1428">
                  <c:v>7005.5</c:v>
                </c:pt>
                <c:pt idx="1429">
                  <c:v>7021.5</c:v>
                </c:pt>
                <c:pt idx="1430">
                  <c:v>6941</c:v>
                </c:pt>
                <c:pt idx="1431">
                  <c:v>6880</c:v>
                </c:pt>
                <c:pt idx="1432">
                  <c:v>6957</c:v>
                </c:pt>
                <c:pt idx="1433">
                  <c:v>6902.5</c:v>
                </c:pt>
                <c:pt idx="1434">
                  <c:v>6896.5</c:v>
                </c:pt>
                <c:pt idx="1435">
                  <c:v>6965</c:v>
                </c:pt>
                <c:pt idx="1436">
                  <c:v>6912</c:v>
                </c:pt>
                <c:pt idx="1437">
                  <c:v>6887</c:v>
                </c:pt>
                <c:pt idx="1438">
                  <c:v>6895</c:v>
                </c:pt>
                <c:pt idx="1439">
                  <c:v>6988</c:v>
                </c:pt>
                <c:pt idx="1440">
                  <c:v>7042.5</c:v>
                </c:pt>
                <c:pt idx="1441">
                  <c:v>7013.5</c:v>
                </c:pt>
                <c:pt idx="1442">
                  <c:v>7018.5</c:v>
                </c:pt>
                <c:pt idx="1443">
                  <c:v>6884.5</c:v>
                </c:pt>
                <c:pt idx="1444">
                  <c:v>6840</c:v>
                </c:pt>
                <c:pt idx="1445">
                  <c:v>6906.5</c:v>
                </c:pt>
                <c:pt idx="1446">
                  <c:v>7002.5</c:v>
                </c:pt>
                <c:pt idx="1447">
                  <c:v>6952</c:v>
                </c:pt>
                <c:pt idx="1448">
                  <c:v>6889</c:v>
                </c:pt>
                <c:pt idx="1449">
                  <c:v>7007</c:v>
                </c:pt>
                <c:pt idx="1450">
                  <c:v>7023.5</c:v>
                </c:pt>
                <c:pt idx="1451">
                  <c:v>6930</c:v>
                </c:pt>
                <c:pt idx="1452">
                  <c:v>6806.5</c:v>
                </c:pt>
                <c:pt idx="1453">
                  <c:v>6886</c:v>
                </c:pt>
                <c:pt idx="1454">
                  <c:v>6866.5</c:v>
                </c:pt>
                <c:pt idx="1455">
                  <c:v>6873</c:v>
                </c:pt>
                <c:pt idx="1456">
                  <c:v>6879</c:v>
                </c:pt>
                <c:pt idx="1457">
                  <c:v>6855</c:v>
                </c:pt>
                <c:pt idx="1458">
                  <c:v>6695</c:v>
                </c:pt>
                <c:pt idx="1459">
                  <c:v>6799</c:v>
                </c:pt>
                <c:pt idx="1460">
                  <c:v>6814.5</c:v>
                </c:pt>
                <c:pt idx="1461">
                  <c:v>6896.5</c:v>
                </c:pt>
                <c:pt idx="1462">
                  <c:v>7125.5</c:v>
                </c:pt>
                <c:pt idx="1463">
                  <c:v>7134.5</c:v>
                </c:pt>
                <c:pt idx="1464">
                  <c:v>7258.5</c:v>
                </c:pt>
                <c:pt idx="1465">
                  <c:v>7218.5</c:v>
                </c:pt>
                <c:pt idx="1466">
                  <c:v>7198.5</c:v>
                </c:pt>
                <c:pt idx="1467">
                  <c:v>6999</c:v>
                </c:pt>
                <c:pt idx="1468">
                  <c:v>7053.5</c:v>
                </c:pt>
                <c:pt idx="1469">
                  <c:v>7125.5</c:v>
                </c:pt>
                <c:pt idx="1470">
                  <c:v>7112.5</c:v>
                </c:pt>
                <c:pt idx="1471">
                  <c:v>7081.5</c:v>
                </c:pt>
                <c:pt idx="1472">
                  <c:v>7100</c:v>
                </c:pt>
                <c:pt idx="1473">
                  <c:v>7208</c:v>
                </c:pt>
                <c:pt idx="1474">
                  <c:v>7142</c:v>
                </c:pt>
                <c:pt idx="1475">
                  <c:v>7123</c:v>
                </c:pt>
                <c:pt idx="1476">
                  <c:v>7228.5</c:v>
                </c:pt>
                <c:pt idx="1477">
                  <c:v>7256</c:v>
                </c:pt>
                <c:pt idx="1478">
                  <c:v>7229</c:v>
                </c:pt>
                <c:pt idx="1479">
                  <c:v>7121.5</c:v>
                </c:pt>
                <c:pt idx="1480">
                  <c:v>7061.5</c:v>
                </c:pt>
                <c:pt idx="1481">
                  <c:v>7134.5</c:v>
                </c:pt>
                <c:pt idx="1482">
                  <c:v>7106.5</c:v>
                </c:pt>
                <c:pt idx="1483">
                  <c:v>7217</c:v>
                </c:pt>
                <c:pt idx="1484">
                  <c:v>7291.5</c:v>
                </c:pt>
                <c:pt idx="1485">
                  <c:v>7303</c:v>
                </c:pt>
                <c:pt idx="1486">
                  <c:v>7312.5</c:v>
                </c:pt>
                <c:pt idx="1487">
                  <c:v>7324</c:v>
                </c:pt>
                <c:pt idx="1488">
                  <c:v>7272</c:v>
                </c:pt>
                <c:pt idx="1489">
                  <c:v>7192.5</c:v>
                </c:pt>
                <c:pt idx="1490">
                  <c:v>7312.5</c:v>
                </c:pt>
                <c:pt idx="1491">
                  <c:v>7348</c:v>
                </c:pt>
                <c:pt idx="1492">
                  <c:v>7334.5</c:v>
                </c:pt>
                <c:pt idx="1493">
                  <c:v>7482.5</c:v>
                </c:pt>
                <c:pt idx="1494">
                  <c:v>7522.5</c:v>
                </c:pt>
                <c:pt idx="1495">
                  <c:v>7582.5</c:v>
                </c:pt>
                <c:pt idx="1496">
                  <c:v>7551</c:v>
                </c:pt>
                <c:pt idx="1497">
                  <c:v>7507</c:v>
                </c:pt>
                <c:pt idx="1498">
                  <c:v>7436</c:v>
                </c:pt>
                <c:pt idx="1499">
                  <c:v>7404</c:v>
                </c:pt>
                <c:pt idx="1500">
                  <c:v>7358</c:v>
                </c:pt>
                <c:pt idx="1501">
                  <c:v>7315</c:v>
                </c:pt>
                <c:pt idx="1502">
                  <c:v>7323.5</c:v>
                </c:pt>
                <c:pt idx="1503">
                  <c:v>7173.5</c:v>
                </c:pt>
                <c:pt idx="1504">
                  <c:v>7140</c:v>
                </c:pt>
                <c:pt idx="1505">
                  <c:v>7049</c:v>
                </c:pt>
                <c:pt idx="1506">
                  <c:v>6973</c:v>
                </c:pt>
                <c:pt idx="1507">
                  <c:v>7164.5</c:v>
                </c:pt>
                <c:pt idx="1508">
                  <c:v>7071</c:v>
                </c:pt>
                <c:pt idx="1509">
                  <c:v>7056.5</c:v>
                </c:pt>
                <c:pt idx="1510">
                  <c:v>7122.5</c:v>
                </c:pt>
                <c:pt idx="1511">
                  <c:v>6889.5</c:v>
                </c:pt>
                <c:pt idx="1512">
                  <c:v>6985.5</c:v>
                </c:pt>
                <c:pt idx="1513">
                  <c:v>7215</c:v>
                </c:pt>
                <c:pt idx="1514">
                  <c:v>7277.5</c:v>
                </c:pt>
                <c:pt idx="1515">
                  <c:v>7209.5</c:v>
                </c:pt>
                <c:pt idx="1516">
                  <c:v>7177.5</c:v>
                </c:pt>
                <c:pt idx="1517">
                  <c:v>7195.5</c:v>
                </c:pt>
                <c:pt idx="1518">
                  <c:v>7296</c:v>
                </c:pt>
                <c:pt idx="1519">
                  <c:v>7771</c:v>
                </c:pt>
                <c:pt idx="1520">
                  <c:v>7943</c:v>
                </c:pt>
                <c:pt idx="1521">
                  <c:v>8065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CB-4355-AB33-7A8B2D61A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79312"/>
        <c:axId val="152572112"/>
      </c:lineChart>
      <c:dateAx>
        <c:axId val="152579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2112"/>
        <c:crosses val="autoZero"/>
        <c:auto val="1"/>
        <c:lblOffset val="100"/>
        <c:baseTimeUnit val="days"/>
      </c:dateAx>
      <c:valAx>
        <c:axId val="15257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 Title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3474726949453898E-2"/>
          <c:y val="2.6217277732884823E-2"/>
          <c:w val="0.87749301498602983"/>
          <c:h val="0.88691748257004865"/>
        </c:manualLayout>
      </c:layout>
      <c:lineChart>
        <c:grouping val="standard"/>
        <c:varyColors val="0"/>
        <c:ser>
          <c:idx val="0"/>
          <c:order val="0"/>
          <c:tx>
            <c:strRef>
              <c:f>data!$T$1</c:f>
              <c:strCache>
                <c:ptCount val="1"/>
                <c:pt idx="0">
                  <c:v>Valoume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523"/>
            <c:bubble3D val="0"/>
            <c:extLst>
              <c:ext xmlns:c16="http://schemas.microsoft.com/office/drawing/2014/chart" uri="{C3380CC4-5D6E-409C-BE32-E72D297353CC}">
                <c16:uniqueId val="{00000003-D1D3-42DC-87C0-D98DB0181423}"/>
              </c:ext>
            </c:extLst>
          </c:dPt>
          <c:dPt>
            <c:idx val="1203"/>
            <c:bubble3D val="0"/>
            <c:extLst>
              <c:ext xmlns:c16="http://schemas.microsoft.com/office/drawing/2014/chart" uri="{C3380CC4-5D6E-409C-BE32-E72D297353CC}">
                <c16:uniqueId val="{00000004-D1D3-42DC-87C0-D98DB0181423}"/>
              </c:ext>
            </c:extLst>
          </c:dPt>
          <c:val>
            <c:numRef>
              <c:f>data!$T$2:$T$1523</c:f>
              <c:numCache>
                <c:formatCode>General</c:formatCode>
                <c:ptCount val="1522"/>
                <c:pt idx="0">
                  <c:v>1090000</c:v>
                </c:pt>
                <c:pt idx="1">
                  <c:v>2290000</c:v>
                </c:pt>
                <c:pt idx="2">
                  <c:v>1570000</c:v>
                </c:pt>
                <c:pt idx="3">
                  <c:v>1260000</c:v>
                </c:pt>
                <c:pt idx="4">
                  <c:v>1370000</c:v>
                </c:pt>
                <c:pt idx="5">
                  <c:v>2890000</c:v>
                </c:pt>
                <c:pt idx="6">
                  <c:v>2590000</c:v>
                </c:pt>
                <c:pt idx="7">
                  <c:v>2170000</c:v>
                </c:pt>
                <c:pt idx="8">
                  <c:v>1320000</c:v>
                </c:pt>
                <c:pt idx="9">
                  <c:v>1160000</c:v>
                </c:pt>
                <c:pt idx="10">
                  <c:v>1080000</c:v>
                </c:pt>
                <c:pt idx="11">
                  <c:v>2920000</c:v>
                </c:pt>
                <c:pt idx="12">
                  <c:v>1830000</c:v>
                </c:pt>
                <c:pt idx="13">
                  <c:v>1010000</c:v>
                </c:pt>
                <c:pt idx="14">
                  <c:v>1030000</c:v>
                </c:pt>
                <c:pt idx="15">
                  <c:v>786810</c:v>
                </c:pt>
                <c:pt idx="16">
                  <c:v>1060000</c:v>
                </c:pt>
                <c:pt idx="17">
                  <c:v>770750</c:v>
                </c:pt>
                <c:pt idx="18">
                  <c:v>971080</c:v>
                </c:pt>
                <c:pt idx="19">
                  <c:v>972770</c:v>
                </c:pt>
                <c:pt idx="20">
                  <c:v>2870000</c:v>
                </c:pt>
                <c:pt idx="21">
                  <c:v>1390000</c:v>
                </c:pt>
                <c:pt idx="22">
                  <c:v>1020000</c:v>
                </c:pt>
                <c:pt idx="23">
                  <c:v>1010000</c:v>
                </c:pt>
                <c:pt idx="24">
                  <c:v>1490000</c:v>
                </c:pt>
                <c:pt idx="25">
                  <c:v>1500000</c:v>
                </c:pt>
                <c:pt idx="26">
                  <c:v>1280000</c:v>
                </c:pt>
                <c:pt idx="27">
                  <c:v>3950000</c:v>
                </c:pt>
                <c:pt idx="28">
                  <c:v>2220000</c:v>
                </c:pt>
                <c:pt idx="29">
                  <c:v>2440000</c:v>
                </c:pt>
                <c:pt idx="30">
                  <c:v>1300000</c:v>
                </c:pt>
                <c:pt idx="31">
                  <c:v>1530000</c:v>
                </c:pt>
                <c:pt idx="32">
                  <c:v>919630</c:v>
                </c:pt>
                <c:pt idx="33">
                  <c:v>2320000</c:v>
                </c:pt>
                <c:pt idx="34">
                  <c:v>1290000</c:v>
                </c:pt>
                <c:pt idx="35">
                  <c:v>1810000</c:v>
                </c:pt>
                <c:pt idx="36">
                  <c:v>1320000</c:v>
                </c:pt>
                <c:pt idx="37">
                  <c:v>1250000</c:v>
                </c:pt>
                <c:pt idx="38">
                  <c:v>1930000</c:v>
                </c:pt>
                <c:pt idx="39">
                  <c:v>2570000</c:v>
                </c:pt>
                <c:pt idx="40">
                  <c:v>2150000</c:v>
                </c:pt>
                <c:pt idx="41">
                  <c:v>2550000</c:v>
                </c:pt>
                <c:pt idx="42">
                  <c:v>3260000</c:v>
                </c:pt>
                <c:pt idx="43">
                  <c:v>3480000</c:v>
                </c:pt>
                <c:pt idx="44">
                  <c:v>2750000</c:v>
                </c:pt>
                <c:pt idx="45">
                  <c:v>4190000.0000000005</c:v>
                </c:pt>
                <c:pt idx="46">
                  <c:v>2310000</c:v>
                </c:pt>
                <c:pt idx="47">
                  <c:v>1710000</c:v>
                </c:pt>
                <c:pt idx="48">
                  <c:v>1930000</c:v>
                </c:pt>
                <c:pt idx="49">
                  <c:v>2220000</c:v>
                </c:pt>
                <c:pt idx="50">
                  <c:v>3640000</c:v>
                </c:pt>
                <c:pt idx="51">
                  <c:v>2790000</c:v>
                </c:pt>
                <c:pt idx="52">
                  <c:v>1920000</c:v>
                </c:pt>
                <c:pt idx="53">
                  <c:v>1680000</c:v>
                </c:pt>
                <c:pt idx="54">
                  <c:v>1590000</c:v>
                </c:pt>
                <c:pt idx="55">
                  <c:v>1610000</c:v>
                </c:pt>
                <c:pt idx="56">
                  <c:v>2110000</c:v>
                </c:pt>
                <c:pt idx="57">
                  <c:v>1440000</c:v>
                </c:pt>
                <c:pt idx="58">
                  <c:v>1130000</c:v>
                </c:pt>
                <c:pt idx="59">
                  <c:v>761180</c:v>
                </c:pt>
                <c:pt idx="60">
                  <c:v>2049999.9999999998</c:v>
                </c:pt>
                <c:pt idx="61">
                  <c:v>1110000</c:v>
                </c:pt>
                <c:pt idx="62">
                  <c:v>2260000</c:v>
                </c:pt>
                <c:pt idx="63">
                  <c:v>1670000</c:v>
                </c:pt>
                <c:pt idx="64">
                  <c:v>1390000</c:v>
                </c:pt>
                <c:pt idx="65">
                  <c:v>1810000</c:v>
                </c:pt>
                <c:pt idx="66">
                  <c:v>2410000</c:v>
                </c:pt>
                <c:pt idx="67">
                  <c:v>2800000</c:v>
                </c:pt>
                <c:pt idx="68">
                  <c:v>3620000</c:v>
                </c:pt>
                <c:pt idx="69">
                  <c:v>1270000</c:v>
                </c:pt>
                <c:pt idx="70">
                  <c:v>2760000</c:v>
                </c:pt>
                <c:pt idx="71">
                  <c:v>2500000</c:v>
                </c:pt>
                <c:pt idx="72">
                  <c:v>5660000</c:v>
                </c:pt>
                <c:pt idx="73">
                  <c:v>3000000</c:v>
                </c:pt>
                <c:pt idx="74">
                  <c:v>1660000</c:v>
                </c:pt>
                <c:pt idx="75">
                  <c:v>2770000</c:v>
                </c:pt>
                <c:pt idx="76">
                  <c:v>2069999.9999999998</c:v>
                </c:pt>
                <c:pt idx="77">
                  <c:v>1800000</c:v>
                </c:pt>
                <c:pt idx="78">
                  <c:v>1840000</c:v>
                </c:pt>
                <c:pt idx="79">
                  <c:v>1850000</c:v>
                </c:pt>
                <c:pt idx="80">
                  <c:v>1480000</c:v>
                </c:pt>
                <c:pt idx="81">
                  <c:v>3470000</c:v>
                </c:pt>
                <c:pt idx="82">
                  <c:v>1920000</c:v>
                </c:pt>
                <c:pt idx="83">
                  <c:v>1520000</c:v>
                </c:pt>
                <c:pt idx="84">
                  <c:v>1870000</c:v>
                </c:pt>
                <c:pt idx="85">
                  <c:v>1270000</c:v>
                </c:pt>
                <c:pt idx="86">
                  <c:v>1640000</c:v>
                </c:pt>
                <c:pt idx="87">
                  <c:v>1960000</c:v>
                </c:pt>
                <c:pt idx="88">
                  <c:v>1480000</c:v>
                </c:pt>
                <c:pt idx="89">
                  <c:v>2530000</c:v>
                </c:pt>
                <c:pt idx="90">
                  <c:v>1480000</c:v>
                </c:pt>
                <c:pt idx="91">
                  <c:v>2350000</c:v>
                </c:pt>
                <c:pt idx="92">
                  <c:v>2750000</c:v>
                </c:pt>
                <c:pt idx="93">
                  <c:v>2510000</c:v>
                </c:pt>
                <c:pt idx="94">
                  <c:v>2670000</c:v>
                </c:pt>
                <c:pt idx="95">
                  <c:v>3220000</c:v>
                </c:pt>
                <c:pt idx="96">
                  <c:v>1840000</c:v>
                </c:pt>
                <c:pt idx="97">
                  <c:v>3190000</c:v>
                </c:pt>
                <c:pt idx="98">
                  <c:v>3020000</c:v>
                </c:pt>
                <c:pt idx="99">
                  <c:v>8150000</c:v>
                </c:pt>
                <c:pt idx="100">
                  <c:v>8500000</c:v>
                </c:pt>
                <c:pt idx="101">
                  <c:v>4640000</c:v>
                </c:pt>
                <c:pt idx="102">
                  <c:v>3970000</c:v>
                </c:pt>
                <c:pt idx="103">
                  <c:v>2850000</c:v>
                </c:pt>
                <c:pt idx="104">
                  <c:v>3040000</c:v>
                </c:pt>
                <c:pt idx="105">
                  <c:v>1950000</c:v>
                </c:pt>
                <c:pt idx="106">
                  <c:v>2740000</c:v>
                </c:pt>
                <c:pt idx="107">
                  <c:v>3250000</c:v>
                </c:pt>
                <c:pt idx="108">
                  <c:v>1630000</c:v>
                </c:pt>
                <c:pt idx="109">
                  <c:v>2190000</c:v>
                </c:pt>
                <c:pt idx="110">
                  <c:v>3800000</c:v>
                </c:pt>
                <c:pt idx="111">
                  <c:v>5370000</c:v>
                </c:pt>
                <c:pt idx="112">
                  <c:v>3580000</c:v>
                </c:pt>
                <c:pt idx="113">
                  <c:v>2520000</c:v>
                </c:pt>
                <c:pt idx="114">
                  <c:v>2089999.9999999998</c:v>
                </c:pt>
                <c:pt idx="115">
                  <c:v>3120000</c:v>
                </c:pt>
                <c:pt idx="116">
                  <c:v>2340000</c:v>
                </c:pt>
                <c:pt idx="117">
                  <c:v>2060000</c:v>
                </c:pt>
                <c:pt idx="118">
                  <c:v>3380000</c:v>
                </c:pt>
                <c:pt idx="119">
                  <c:v>2770000</c:v>
                </c:pt>
                <c:pt idx="120">
                  <c:v>2250000</c:v>
                </c:pt>
                <c:pt idx="121">
                  <c:v>1950000</c:v>
                </c:pt>
                <c:pt idx="122">
                  <c:v>2009999.9999999998</c:v>
                </c:pt>
                <c:pt idx="123">
                  <c:v>2330000</c:v>
                </c:pt>
                <c:pt idx="124">
                  <c:v>2770000</c:v>
                </c:pt>
                <c:pt idx="125">
                  <c:v>2510000</c:v>
                </c:pt>
                <c:pt idx="126">
                  <c:v>2830000</c:v>
                </c:pt>
                <c:pt idx="127">
                  <c:v>2870000</c:v>
                </c:pt>
                <c:pt idx="128">
                  <c:v>3570000</c:v>
                </c:pt>
                <c:pt idx="129">
                  <c:v>2740000</c:v>
                </c:pt>
                <c:pt idx="130">
                  <c:v>2040000</c:v>
                </c:pt>
                <c:pt idx="131">
                  <c:v>1330000</c:v>
                </c:pt>
                <c:pt idx="132">
                  <c:v>2480000</c:v>
                </c:pt>
                <c:pt idx="133">
                  <c:v>2820000</c:v>
                </c:pt>
                <c:pt idx="134">
                  <c:v>2650000</c:v>
                </c:pt>
                <c:pt idx="135">
                  <c:v>1670000</c:v>
                </c:pt>
                <c:pt idx="136">
                  <c:v>1600000</c:v>
                </c:pt>
                <c:pt idx="137">
                  <c:v>3690000</c:v>
                </c:pt>
                <c:pt idx="138">
                  <c:v>3360000</c:v>
                </c:pt>
                <c:pt idx="139">
                  <c:v>4460000</c:v>
                </c:pt>
                <c:pt idx="140">
                  <c:v>3950000</c:v>
                </c:pt>
                <c:pt idx="141">
                  <c:v>1920000</c:v>
                </c:pt>
                <c:pt idx="142">
                  <c:v>2620000</c:v>
                </c:pt>
                <c:pt idx="143">
                  <c:v>2260000</c:v>
                </c:pt>
                <c:pt idx="144">
                  <c:v>2460000</c:v>
                </c:pt>
                <c:pt idx="145">
                  <c:v>2190000</c:v>
                </c:pt>
                <c:pt idx="146">
                  <c:v>2020000</c:v>
                </c:pt>
                <c:pt idx="147">
                  <c:v>1560000</c:v>
                </c:pt>
                <c:pt idx="148">
                  <c:v>2380000</c:v>
                </c:pt>
                <c:pt idx="149">
                  <c:v>2040000</c:v>
                </c:pt>
                <c:pt idx="150">
                  <c:v>1950000</c:v>
                </c:pt>
                <c:pt idx="151">
                  <c:v>1680000</c:v>
                </c:pt>
                <c:pt idx="152">
                  <c:v>1620000</c:v>
                </c:pt>
                <c:pt idx="153">
                  <c:v>2990000</c:v>
                </c:pt>
                <c:pt idx="154">
                  <c:v>2200000</c:v>
                </c:pt>
                <c:pt idx="155">
                  <c:v>5920000</c:v>
                </c:pt>
                <c:pt idx="156">
                  <c:v>6530000</c:v>
                </c:pt>
                <c:pt idx="157">
                  <c:v>3400000</c:v>
                </c:pt>
                <c:pt idx="158">
                  <c:v>2850000</c:v>
                </c:pt>
                <c:pt idx="159">
                  <c:v>2240000</c:v>
                </c:pt>
                <c:pt idx="160">
                  <c:v>2610000</c:v>
                </c:pt>
                <c:pt idx="161">
                  <c:v>11490000</c:v>
                </c:pt>
                <c:pt idx="162">
                  <c:v>4760000</c:v>
                </c:pt>
                <c:pt idx="163">
                  <c:v>2440000</c:v>
                </c:pt>
                <c:pt idx="164">
                  <c:v>1370000</c:v>
                </c:pt>
                <c:pt idx="165">
                  <c:v>1470000</c:v>
                </c:pt>
                <c:pt idx="166">
                  <c:v>3090000</c:v>
                </c:pt>
                <c:pt idx="167">
                  <c:v>2260000</c:v>
                </c:pt>
                <c:pt idx="168">
                  <c:v>1970000</c:v>
                </c:pt>
                <c:pt idx="169">
                  <c:v>2580000</c:v>
                </c:pt>
                <c:pt idx="170">
                  <c:v>1520000</c:v>
                </c:pt>
                <c:pt idx="171">
                  <c:v>1350000</c:v>
                </c:pt>
                <c:pt idx="172">
                  <c:v>1180000</c:v>
                </c:pt>
                <c:pt idx="173">
                  <c:v>1360000</c:v>
                </c:pt>
                <c:pt idx="174">
                  <c:v>948270</c:v>
                </c:pt>
                <c:pt idx="175">
                  <c:v>1140000</c:v>
                </c:pt>
                <c:pt idx="176">
                  <c:v>1180000</c:v>
                </c:pt>
                <c:pt idx="177">
                  <c:v>1260000</c:v>
                </c:pt>
                <c:pt idx="178">
                  <c:v>1030000</c:v>
                </c:pt>
                <c:pt idx="179">
                  <c:v>768950</c:v>
                </c:pt>
                <c:pt idx="180">
                  <c:v>1310000</c:v>
                </c:pt>
                <c:pt idx="181">
                  <c:v>1940000</c:v>
                </c:pt>
                <c:pt idx="182">
                  <c:v>1520000</c:v>
                </c:pt>
                <c:pt idx="183">
                  <c:v>1350000</c:v>
                </c:pt>
                <c:pt idx="184">
                  <c:v>1350000</c:v>
                </c:pt>
                <c:pt idx="185">
                  <c:v>1530000</c:v>
                </c:pt>
                <c:pt idx="186">
                  <c:v>1140000</c:v>
                </c:pt>
                <c:pt idx="187">
                  <c:v>1340000</c:v>
                </c:pt>
                <c:pt idx="188">
                  <c:v>925940</c:v>
                </c:pt>
                <c:pt idx="189">
                  <c:v>999890</c:v>
                </c:pt>
                <c:pt idx="190">
                  <c:v>930510</c:v>
                </c:pt>
                <c:pt idx="191">
                  <c:v>2750000</c:v>
                </c:pt>
                <c:pt idx="192">
                  <c:v>1520000</c:v>
                </c:pt>
                <c:pt idx="193">
                  <c:v>1520000</c:v>
                </c:pt>
                <c:pt idx="194">
                  <c:v>1210000</c:v>
                </c:pt>
                <c:pt idx="195">
                  <c:v>1100000</c:v>
                </c:pt>
                <c:pt idx="196">
                  <c:v>1590000</c:v>
                </c:pt>
                <c:pt idx="197">
                  <c:v>1360000</c:v>
                </c:pt>
                <c:pt idx="198">
                  <c:v>1900000</c:v>
                </c:pt>
                <c:pt idx="199">
                  <c:v>816000</c:v>
                </c:pt>
                <c:pt idx="200">
                  <c:v>1260000</c:v>
                </c:pt>
                <c:pt idx="201">
                  <c:v>976230</c:v>
                </c:pt>
                <c:pt idx="202">
                  <c:v>1310000</c:v>
                </c:pt>
                <c:pt idx="203">
                  <c:v>1020000</c:v>
                </c:pt>
                <c:pt idx="204">
                  <c:v>1150000</c:v>
                </c:pt>
                <c:pt idx="205">
                  <c:v>1550000</c:v>
                </c:pt>
                <c:pt idx="206">
                  <c:v>1020000</c:v>
                </c:pt>
                <c:pt idx="207">
                  <c:v>1040000</c:v>
                </c:pt>
                <c:pt idx="208">
                  <c:v>834130</c:v>
                </c:pt>
                <c:pt idx="209">
                  <c:v>1010000</c:v>
                </c:pt>
                <c:pt idx="210">
                  <c:v>1130000</c:v>
                </c:pt>
                <c:pt idx="211">
                  <c:v>1940000</c:v>
                </c:pt>
                <c:pt idx="212">
                  <c:v>1110000</c:v>
                </c:pt>
                <c:pt idx="213">
                  <c:v>828400</c:v>
                </c:pt>
                <c:pt idx="214">
                  <c:v>996380</c:v>
                </c:pt>
                <c:pt idx="215">
                  <c:v>1130000</c:v>
                </c:pt>
                <c:pt idx="216">
                  <c:v>986760</c:v>
                </c:pt>
                <c:pt idx="217">
                  <c:v>2130000</c:v>
                </c:pt>
                <c:pt idx="218">
                  <c:v>1910000</c:v>
                </c:pt>
                <c:pt idx="219">
                  <c:v>9480000</c:v>
                </c:pt>
                <c:pt idx="220">
                  <c:v>2110000</c:v>
                </c:pt>
                <c:pt idx="221">
                  <c:v>1880000</c:v>
                </c:pt>
                <c:pt idx="222">
                  <c:v>2430000</c:v>
                </c:pt>
                <c:pt idx="223">
                  <c:v>1390000</c:v>
                </c:pt>
                <c:pt idx="224">
                  <c:v>823240</c:v>
                </c:pt>
                <c:pt idx="225">
                  <c:v>2420000</c:v>
                </c:pt>
                <c:pt idx="226">
                  <c:v>1760000</c:v>
                </c:pt>
                <c:pt idx="227">
                  <c:v>2080000</c:v>
                </c:pt>
                <c:pt idx="228">
                  <c:v>2600000</c:v>
                </c:pt>
                <c:pt idx="229">
                  <c:v>1230000</c:v>
                </c:pt>
                <c:pt idx="230">
                  <c:v>1290000</c:v>
                </c:pt>
                <c:pt idx="231">
                  <c:v>1070000</c:v>
                </c:pt>
                <c:pt idx="232">
                  <c:v>1140000</c:v>
                </c:pt>
                <c:pt idx="233">
                  <c:v>723080</c:v>
                </c:pt>
                <c:pt idx="234">
                  <c:v>1300000</c:v>
                </c:pt>
                <c:pt idx="235">
                  <c:v>954150</c:v>
                </c:pt>
                <c:pt idx="236">
                  <c:v>1110000</c:v>
                </c:pt>
                <c:pt idx="237">
                  <c:v>1490000</c:v>
                </c:pt>
                <c:pt idx="238">
                  <c:v>2480000</c:v>
                </c:pt>
                <c:pt idx="239">
                  <c:v>2910000</c:v>
                </c:pt>
                <c:pt idx="240">
                  <c:v>1460000</c:v>
                </c:pt>
                <c:pt idx="241">
                  <c:v>1060000</c:v>
                </c:pt>
                <c:pt idx="242">
                  <c:v>849960</c:v>
                </c:pt>
                <c:pt idx="243">
                  <c:v>1190000</c:v>
                </c:pt>
                <c:pt idx="244">
                  <c:v>1200000</c:v>
                </c:pt>
                <c:pt idx="245">
                  <c:v>954700</c:v>
                </c:pt>
                <c:pt idx="246">
                  <c:v>599390</c:v>
                </c:pt>
                <c:pt idx="247">
                  <c:v>711670</c:v>
                </c:pt>
                <c:pt idx="248">
                  <c:v>1960000</c:v>
                </c:pt>
                <c:pt idx="249">
                  <c:v>2430000</c:v>
                </c:pt>
                <c:pt idx="250">
                  <c:v>1760000</c:v>
                </c:pt>
                <c:pt idx="251">
                  <c:v>914820</c:v>
                </c:pt>
                <c:pt idx="252">
                  <c:v>3290000</c:v>
                </c:pt>
                <c:pt idx="253">
                  <c:v>1490000</c:v>
                </c:pt>
                <c:pt idx="254">
                  <c:v>949390</c:v>
                </c:pt>
                <c:pt idx="255">
                  <c:v>1250000</c:v>
                </c:pt>
                <c:pt idx="256">
                  <c:v>2590000</c:v>
                </c:pt>
                <c:pt idx="257">
                  <c:v>1620000</c:v>
                </c:pt>
                <c:pt idx="258">
                  <c:v>4830000</c:v>
                </c:pt>
                <c:pt idx="259">
                  <c:v>1880000</c:v>
                </c:pt>
                <c:pt idx="260">
                  <c:v>1160000</c:v>
                </c:pt>
                <c:pt idx="261">
                  <c:v>882690</c:v>
                </c:pt>
                <c:pt idx="262">
                  <c:v>2069999.9999999998</c:v>
                </c:pt>
                <c:pt idx="263">
                  <c:v>1450000</c:v>
                </c:pt>
                <c:pt idx="264">
                  <c:v>1760000</c:v>
                </c:pt>
                <c:pt idx="265">
                  <c:v>1450000</c:v>
                </c:pt>
                <c:pt idx="266">
                  <c:v>3090000</c:v>
                </c:pt>
                <c:pt idx="267">
                  <c:v>2020000</c:v>
                </c:pt>
                <c:pt idx="268">
                  <c:v>2570000</c:v>
                </c:pt>
                <c:pt idx="269">
                  <c:v>1430000</c:v>
                </c:pt>
                <c:pt idx="270">
                  <c:v>2069999.9999999998</c:v>
                </c:pt>
                <c:pt idx="271">
                  <c:v>1850000</c:v>
                </c:pt>
                <c:pt idx="272">
                  <c:v>2130000</c:v>
                </c:pt>
                <c:pt idx="273">
                  <c:v>1350000</c:v>
                </c:pt>
                <c:pt idx="274">
                  <c:v>1260000</c:v>
                </c:pt>
                <c:pt idx="275">
                  <c:v>915840</c:v>
                </c:pt>
                <c:pt idx="276">
                  <c:v>654480</c:v>
                </c:pt>
                <c:pt idx="277">
                  <c:v>1130000</c:v>
                </c:pt>
                <c:pt idx="278">
                  <c:v>2160000</c:v>
                </c:pt>
                <c:pt idx="279">
                  <c:v>4480000</c:v>
                </c:pt>
                <c:pt idx="280">
                  <c:v>1910000</c:v>
                </c:pt>
                <c:pt idx="281">
                  <c:v>930510</c:v>
                </c:pt>
                <c:pt idx="282">
                  <c:v>1530000</c:v>
                </c:pt>
                <c:pt idx="283">
                  <c:v>1490000</c:v>
                </c:pt>
                <c:pt idx="284">
                  <c:v>1920000</c:v>
                </c:pt>
                <c:pt idx="285">
                  <c:v>1590000</c:v>
                </c:pt>
                <c:pt idx="286">
                  <c:v>2190000</c:v>
                </c:pt>
                <c:pt idx="287">
                  <c:v>1820000</c:v>
                </c:pt>
                <c:pt idx="288">
                  <c:v>807590</c:v>
                </c:pt>
                <c:pt idx="289">
                  <c:v>1350000</c:v>
                </c:pt>
                <c:pt idx="290">
                  <c:v>1700000</c:v>
                </c:pt>
                <c:pt idx="291">
                  <c:v>1280000</c:v>
                </c:pt>
                <c:pt idx="292">
                  <c:v>1490000</c:v>
                </c:pt>
                <c:pt idx="293">
                  <c:v>1290000</c:v>
                </c:pt>
                <c:pt idx="294">
                  <c:v>1350000</c:v>
                </c:pt>
                <c:pt idx="295">
                  <c:v>1150000</c:v>
                </c:pt>
                <c:pt idx="296">
                  <c:v>950810</c:v>
                </c:pt>
                <c:pt idx="297">
                  <c:v>677920</c:v>
                </c:pt>
                <c:pt idx="298">
                  <c:v>1980000</c:v>
                </c:pt>
                <c:pt idx="299">
                  <c:v>1110000</c:v>
                </c:pt>
                <c:pt idx="300">
                  <c:v>839740</c:v>
                </c:pt>
                <c:pt idx="301">
                  <c:v>654830</c:v>
                </c:pt>
                <c:pt idx="302">
                  <c:v>634980</c:v>
                </c:pt>
                <c:pt idx="303">
                  <c:v>1070000</c:v>
                </c:pt>
                <c:pt idx="304">
                  <c:v>906720</c:v>
                </c:pt>
                <c:pt idx="305">
                  <c:v>694230</c:v>
                </c:pt>
                <c:pt idx="306">
                  <c:v>1130000</c:v>
                </c:pt>
                <c:pt idx="307">
                  <c:v>1150000</c:v>
                </c:pt>
                <c:pt idx="308">
                  <c:v>1120000</c:v>
                </c:pt>
                <c:pt idx="309">
                  <c:v>676280</c:v>
                </c:pt>
                <c:pt idx="310">
                  <c:v>980340</c:v>
                </c:pt>
                <c:pt idx="311">
                  <c:v>829500</c:v>
                </c:pt>
                <c:pt idx="312">
                  <c:v>744420</c:v>
                </c:pt>
                <c:pt idx="313">
                  <c:v>1210000</c:v>
                </c:pt>
                <c:pt idx="314">
                  <c:v>916830</c:v>
                </c:pt>
                <c:pt idx="315">
                  <c:v>684430</c:v>
                </c:pt>
                <c:pt idx="316">
                  <c:v>760850</c:v>
                </c:pt>
                <c:pt idx="317">
                  <c:v>719040</c:v>
                </c:pt>
                <c:pt idx="318">
                  <c:v>1050000</c:v>
                </c:pt>
                <c:pt idx="319">
                  <c:v>720900</c:v>
                </c:pt>
                <c:pt idx="320">
                  <c:v>1980000</c:v>
                </c:pt>
                <c:pt idx="321">
                  <c:v>789680</c:v>
                </c:pt>
                <c:pt idx="322">
                  <c:v>882320</c:v>
                </c:pt>
                <c:pt idx="323">
                  <c:v>1040000</c:v>
                </c:pt>
                <c:pt idx="324">
                  <c:v>834720</c:v>
                </c:pt>
                <c:pt idx="325">
                  <c:v>962270</c:v>
                </c:pt>
                <c:pt idx="326">
                  <c:v>1330000</c:v>
                </c:pt>
                <c:pt idx="327">
                  <c:v>523799.99999999994</c:v>
                </c:pt>
                <c:pt idx="328">
                  <c:v>1680000</c:v>
                </c:pt>
                <c:pt idx="329">
                  <c:v>1170000</c:v>
                </c:pt>
                <c:pt idx="330">
                  <c:v>646260</c:v>
                </c:pt>
                <c:pt idx="331">
                  <c:v>461090</c:v>
                </c:pt>
                <c:pt idx="332">
                  <c:v>623480</c:v>
                </c:pt>
                <c:pt idx="333">
                  <c:v>382620</c:v>
                </c:pt>
                <c:pt idx="334">
                  <c:v>628780</c:v>
                </c:pt>
                <c:pt idx="335">
                  <c:v>464240</c:v>
                </c:pt>
                <c:pt idx="336">
                  <c:v>350560</c:v>
                </c:pt>
                <c:pt idx="337">
                  <c:v>500449.99999999994</c:v>
                </c:pt>
                <c:pt idx="338">
                  <c:v>334230</c:v>
                </c:pt>
                <c:pt idx="339">
                  <c:v>429170</c:v>
                </c:pt>
                <c:pt idx="340">
                  <c:v>577280</c:v>
                </c:pt>
                <c:pt idx="341">
                  <c:v>1020000</c:v>
                </c:pt>
                <c:pt idx="342">
                  <c:v>1090000</c:v>
                </c:pt>
                <c:pt idx="343">
                  <c:v>509270</c:v>
                </c:pt>
                <c:pt idx="344">
                  <c:v>743110</c:v>
                </c:pt>
                <c:pt idx="345">
                  <c:v>850200</c:v>
                </c:pt>
                <c:pt idx="346">
                  <c:v>1020000</c:v>
                </c:pt>
                <c:pt idx="347">
                  <c:v>1030000</c:v>
                </c:pt>
                <c:pt idx="348">
                  <c:v>1510000</c:v>
                </c:pt>
                <c:pt idx="349">
                  <c:v>2280000</c:v>
                </c:pt>
                <c:pt idx="350">
                  <c:v>838680</c:v>
                </c:pt>
                <c:pt idx="351">
                  <c:v>1130000</c:v>
                </c:pt>
                <c:pt idx="352">
                  <c:v>659430</c:v>
                </c:pt>
                <c:pt idx="353">
                  <c:v>1270000</c:v>
                </c:pt>
                <c:pt idx="354">
                  <c:v>621360</c:v>
                </c:pt>
                <c:pt idx="355">
                  <c:v>602330</c:v>
                </c:pt>
                <c:pt idx="356">
                  <c:v>441930</c:v>
                </c:pt>
                <c:pt idx="357">
                  <c:v>471760</c:v>
                </c:pt>
                <c:pt idx="358">
                  <c:v>571290</c:v>
                </c:pt>
                <c:pt idx="359">
                  <c:v>596670</c:v>
                </c:pt>
                <c:pt idx="360">
                  <c:v>525550</c:v>
                </c:pt>
                <c:pt idx="361">
                  <c:v>646740</c:v>
                </c:pt>
                <c:pt idx="362">
                  <c:v>312870</c:v>
                </c:pt>
                <c:pt idx="363">
                  <c:v>701970</c:v>
                </c:pt>
                <c:pt idx="364">
                  <c:v>649500</c:v>
                </c:pt>
                <c:pt idx="365">
                  <c:v>528920</c:v>
                </c:pt>
                <c:pt idx="366">
                  <c:v>477520</c:v>
                </c:pt>
                <c:pt idx="367">
                  <c:v>432920</c:v>
                </c:pt>
                <c:pt idx="368">
                  <c:v>402740</c:v>
                </c:pt>
                <c:pt idx="369">
                  <c:v>455800</c:v>
                </c:pt>
                <c:pt idx="370">
                  <c:v>243080</c:v>
                </c:pt>
                <c:pt idx="371">
                  <c:v>290140</c:v>
                </c:pt>
                <c:pt idx="372">
                  <c:v>391740</c:v>
                </c:pt>
                <c:pt idx="373">
                  <c:v>463030</c:v>
                </c:pt>
                <c:pt idx="374">
                  <c:v>621220</c:v>
                </c:pt>
                <c:pt idx="375">
                  <c:v>489160</c:v>
                </c:pt>
                <c:pt idx="376">
                  <c:v>331770</c:v>
                </c:pt>
                <c:pt idx="377">
                  <c:v>517130</c:v>
                </c:pt>
                <c:pt idx="378">
                  <c:v>509970.00000000006</c:v>
                </c:pt>
                <c:pt idx="379">
                  <c:v>971880</c:v>
                </c:pt>
                <c:pt idx="380">
                  <c:v>273840</c:v>
                </c:pt>
                <c:pt idx="381">
                  <c:v>488410</c:v>
                </c:pt>
                <c:pt idx="382">
                  <c:v>830880</c:v>
                </c:pt>
                <c:pt idx="383">
                  <c:v>730940</c:v>
                </c:pt>
                <c:pt idx="384">
                  <c:v>1040000</c:v>
                </c:pt>
                <c:pt idx="385">
                  <c:v>561170</c:v>
                </c:pt>
                <c:pt idx="386">
                  <c:v>890120</c:v>
                </c:pt>
                <c:pt idx="387">
                  <c:v>1320000</c:v>
                </c:pt>
                <c:pt idx="388">
                  <c:v>379800</c:v>
                </c:pt>
                <c:pt idx="389">
                  <c:v>309300</c:v>
                </c:pt>
                <c:pt idx="390">
                  <c:v>492850</c:v>
                </c:pt>
                <c:pt idx="391">
                  <c:v>383900</c:v>
                </c:pt>
                <c:pt idx="392">
                  <c:v>341350</c:v>
                </c:pt>
                <c:pt idx="393">
                  <c:v>606230</c:v>
                </c:pt>
                <c:pt idx="394">
                  <c:v>691440</c:v>
                </c:pt>
                <c:pt idx="395">
                  <c:v>678470</c:v>
                </c:pt>
                <c:pt idx="396">
                  <c:v>548190</c:v>
                </c:pt>
                <c:pt idx="397">
                  <c:v>2170000</c:v>
                </c:pt>
                <c:pt idx="398">
                  <c:v>799080</c:v>
                </c:pt>
                <c:pt idx="399">
                  <c:v>516619.99999999994</c:v>
                </c:pt>
                <c:pt idx="400">
                  <c:v>733890</c:v>
                </c:pt>
                <c:pt idx="401">
                  <c:v>361520</c:v>
                </c:pt>
                <c:pt idx="402">
                  <c:v>2250000</c:v>
                </c:pt>
                <c:pt idx="403">
                  <c:v>4130000</c:v>
                </c:pt>
                <c:pt idx="404">
                  <c:v>1020000</c:v>
                </c:pt>
                <c:pt idx="405">
                  <c:v>1300000</c:v>
                </c:pt>
                <c:pt idx="406">
                  <c:v>1900000</c:v>
                </c:pt>
                <c:pt idx="407">
                  <c:v>2190000</c:v>
                </c:pt>
                <c:pt idx="408">
                  <c:v>1270000</c:v>
                </c:pt>
                <c:pt idx="409">
                  <c:v>1280000</c:v>
                </c:pt>
                <c:pt idx="410">
                  <c:v>721580</c:v>
                </c:pt>
                <c:pt idx="411">
                  <c:v>440540</c:v>
                </c:pt>
                <c:pt idx="412">
                  <c:v>541880</c:v>
                </c:pt>
                <c:pt idx="413">
                  <c:v>926190</c:v>
                </c:pt>
                <c:pt idx="414">
                  <c:v>2380000</c:v>
                </c:pt>
                <c:pt idx="415">
                  <c:v>2000000</c:v>
                </c:pt>
                <c:pt idx="416">
                  <c:v>898430</c:v>
                </c:pt>
                <c:pt idx="417">
                  <c:v>2310000</c:v>
                </c:pt>
                <c:pt idx="418">
                  <c:v>1200000</c:v>
                </c:pt>
                <c:pt idx="419">
                  <c:v>545230</c:v>
                </c:pt>
                <c:pt idx="420">
                  <c:v>616050</c:v>
                </c:pt>
                <c:pt idx="421">
                  <c:v>456150</c:v>
                </c:pt>
                <c:pt idx="422">
                  <c:v>287430</c:v>
                </c:pt>
                <c:pt idx="423">
                  <c:v>672700</c:v>
                </c:pt>
                <c:pt idx="424">
                  <c:v>412750</c:v>
                </c:pt>
                <c:pt idx="425">
                  <c:v>570870</c:v>
                </c:pt>
                <c:pt idx="426">
                  <c:v>1380000</c:v>
                </c:pt>
                <c:pt idx="427">
                  <c:v>1190000</c:v>
                </c:pt>
                <c:pt idx="428">
                  <c:v>595120</c:v>
                </c:pt>
                <c:pt idx="429">
                  <c:v>424340</c:v>
                </c:pt>
                <c:pt idx="430">
                  <c:v>452680</c:v>
                </c:pt>
                <c:pt idx="431">
                  <c:v>806910</c:v>
                </c:pt>
                <c:pt idx="432">
                  <c:v>1330000</c:v>
                </c:pt>
                <c:pt idx="433">
                  <c:v>838120</c:v>
                </c:pt>
                <c:pt idx="434">
                  <c:v>386610</c:v>
                </c:pt>
                <c:pt idx="435">
                  <c:v>861340</c:v>
                </c:pt>
                <c:pt idx="436">
                  <c:v>411010</c:v>
                </c:pt>
                <c:pt idx="437">
                  <c:v>874870</c:v>
                </c:pt>
                <c:pt idx="438">
                  <c:v>452280</c:v>
                </c:pt>
                <c:pt idx="439">
                  <c:v>589260</c:v>
                </c:pt>
                <c:pt idx="440">
                  <c:v>897520</c:v>
                </c:pt>
                <c:pt idx="441">
                  <c:v>572890</c:v>
                </c:pt>
                <c:pt idx="442">
                  <c:v>622400</c:v>
                </c:pt>
                <c:pt idx="443">
                  <c:v>786360</c:v>
                </c:pt>
                <c:pt idx="444">
                  <c:v>687450</c:v>
                </c:pt>
                <c:pt idx="445">
                  <c:v>497010</c:v>
                </c:pt>
                <c:pt idx="446">
                  <c:v>360160</c:v>
                </c:pt>
                <c:pt idx="447">
                  <c:v>999100</c:v>
                </c:pt>
                <c:pt idx="448">
                  <c:v>1160000</c:v>
                </c:pt>
                <c:pt idx="449">
                  <c:v>816200</c:v>
                </c:pt>
                <c:pt idx="450">
                  <c:v>519030</c:v>
                </c:pt>
                <c:pt idx="451">
                  <c:v>457700</c:v>
                </c:pt>
                <c:pt idx="452">
                  <c:v>677510</c:v>
                </c:pt>
                <c:pt idx="453">
                  <c:v>430370</c:v>
                </c:pt>
                <c:pt idx="454">
                  <c:v>1330000</c:v>
                </c:pt>
                <c:pt idx="455">
                  <c:v>1630000</c:v>
                </c:pt>
                <c:pt idx="456">
                  <c:v>1070000</c:v>
                </c:pt>
                <c:pt idx="457">
                  <c:v>657520</c:v>
                </c:pt>
                <c:pt idx="458">
                  <c:v>930850</c:v>
                </c:pt>
                <c:pt idx="459">
                  <c:v>1390000</c:v>
                </c:pt>
                <c:pt idx="460">
                  <c:v>3080000</c:v>
                </c:pt>
                <c:pt idx="461">
                  <c:v>726390</c:v>
                </c:pt>
                <c:pt idx="462">
                  <c:v>861640</c:v>
                </c:pt>
                <c:pt idx="463">
                  <c:v>533140</c:v>
                </c:pt>
                <c:pt idx="464">
                  <c:v>879210</c:v>
                </c:pt>
                <c:pt idx="465">
                  <c:v>686530</c:v>
                </c:pt>
                <c:pt idx="466">
                  <c:v>1230000</c:v>
                </c:pt>
                <c:pt idx="467">
                  <c:v>848880</c:v>
                </c:pt>
                <c:pt idx="468">
                  <c:v>823300</c:v>
                </c:pt>
                <c:pt idx="469">
                  <c:v>1010000</c:v>
                </c:pt>
                <c:pt idx="470">
                  <c:v>611140</c:v>
                </c:pt>
                <c:pt idx="471">
                  <c:v>455220</c:v>
                </c:pt>
                <c:pt idx="472">
                  <c:v>525540</c:v>
                </c:pt>
                <c:pt idx="473">
                  <c:v>554630</c:v>
                </c:pt>
                <c:pt idx="474">
                  <c:v>342550</c:v>
                </c:pt>
                <c:pt idx="475">
                  <c:v>1100000</c:v>
                </c:pt>
                <c:pt idx="476">
                  <c:v>1690000</c:v>
                </c:pt>
                <c:pt idx="477">
                  <c:v>363180</c:v>
                </c:pt>
                <c:pt idx="478">
                  <c:v>659150</c:v>
                </c:pt>
                <c:pt idx="479">
                  <c:v>537940</c:v>
                </c:pt>
                <c:pt idx="480">
                  <c:v>262330</c:v>
                </c:pt>
                <c:pt idx="481">
                  <c:v>404130</c:v>
                </c:pt>
                <c:pt idx="482">
                  <c:v>831120</c:v>
                </c:pt>
                <c:pt idx="483">
                  <c:v>325670</c:v>
                </c:pt>
                <c:pt idx="484">
                  <c:v>403780</c:v>
                </c:pt>
                <c:pt idx="485">
                  <c:v>395360</c:v>
                </c:pt>
                <c:pt idx="486">
                  <c:v>314820</c:v>
                </c:pt>
                <c:pt idx="487">
                  <c:v>680390</c:v>
                </c:pt>
                <c:pt idx="488">
                  <c:v>670900</c:v>
                </c:pt>
                <c:pt idx="489">
                  <c:v>475320</c:v>
                </c:pt>
                <c:pt idx="490">
                  <c:v>333860</c:v>
                </c:pt>
                <c:pt idx="491">
                  <c:v>625660</c:v>
                </c:pt>
                <c:pt idx="492">
                  <c:v>326500</c:v>
                </c:pt>
                <c:pt idx="493">
                  <c:v>265890</c:v>
                </c:pt>
                <c:pt idx="494">
                  <c:v>345110</c:v>
                </c:pt>
                <c:pt idx="495">
                  <c:v>632950</c:v>
                </c:pt>
                <c:pt idx="496">
                  <c:v>693260</c:v>
                </c:pt>
                <c:pt idx="497">
                  <c:v>797280</c:v>
                </c:pt>
                <c:pt idx="498">
                  <c:v>406760</c:v>
                </c:pt>
                <c:pt idx="499">
                  <c:v>2460000</c:v>
                </c:pt>
                <c:pt idx="500">
                  <c:v>736620</c:v>
                </c:pt>
                <c:pt idx="501">
                  <c:v>1040000</c:v>
                </c:pt>
                <c:pt idx="502">
                  <c:v>1060000</c:v>
                </c:pt>
                <c:pt idx="503">
                  <c:v>572040</c:v>
                </c:pt>
                <c:pt idx="504">
                  <c:v>493240</c:v>
                </c:pt>
                <c:pt idx="505">
                  <c:v>334700</c:v>
                </c:pt>
                <c:pt idx="506">
                  <c:v>441000</c:v>
                </c:pt>
                <c:pt idx="507">
                  <c:v>266120</c:v>
                </c:pt>
                <c:pt idx="508">
                  <c:v>324010</c:v>
                </c:pt>
                <c:pt idx="509">
                  <c:v>680220</c:v>
                </c:pt>
                <c:pt idx="510">
                  <c:v>1220000</c:v>
                </c:pt>
                <c:pt idx="511">
                  <c:v>769880</c:v>
                </c:pt>
                <c:pt idx="512">
                  <c:v>521730</c:v>
                </c:pt>
                <c:pt idx="513">
                  <c:v>459190</c:v>
                </c:pt>
                <c:pt idx="514">
                  <c:v>465910</c:v>
                </c:pt>
                <c:pt idx="515">
                  <c:v>687090</c:v>
                </c:pt>
                <c:pt idx="516">
                  <c:v>985830</c:v>
                </c:pt>
                <c:pt idx="517">
                  <c:v>871640</c:v>
                </c:pt>
                <c:pt idx="518">
                  <c:v>416450</c:v>
                </c:pt>
                <c:pt idx="519">
                  <c:v>671850</c:v>
                </c:pt>
                <c:pt idx="520">
                  <c:v>1040000</c:v>
                </c:pt>
                <c:pt idx="521">
                  <c:v>664630</c:v>
                </c:pt>
                <c:pt idx="522">
                  <c:v>380540</c:v>
                </c:pt>
                <c:pt idx="523">
                  <c:v>448640</c:v>
                </c:pt>
                <c:pt idx="524">
                  <c:v>386390</c:v>
                </c:pt>
                <c:pt idx="525">
                  <c:v>677550</c:v>
                </c:pt>
                <c:pt idx="526">
                  <c:v>558180</c:v>
                </c:pt>
                <c:pt idx="527">
                  <c:v>731370</c:v>
                </c:pt>
                <c:pt idx="528">
                  <c:v>675130</c:v>
                </c:pt>
                <c:pt idx="529">
                  <c:v>2220000</c:v>
                </c:pt>
                <c:pt idx="530">
                  <c:v>804880</c:v>
                </c:pt>
                <c:pt idx="531">
                  <c:v>572430</c:v>
                </c:pt>
                <c:pt idx="532">
                  <c:v>311300</c:v>
                </c:pt>
                <c:pt idx="533">
                  <c:v>273280</c:v>
                </c:pt>
                <c:pt idx="534">
                  <c:v>575200</c:v>
                </c:pt>
                <c:pt idx="535">
                  <c:v>479280</c:v>
                </c:pt>
                <c:pt idx="536">
                  <c:v>775970</c:v>
                </c:pt>
                <c:pt idx="537">
                  <c:v>515030</c:v>
                </c:pt>
                <c:pt idx="538">
                  <c:v>815190</c:v>
                </c:pt>
                <c:pt idx="539">
                  <c:v>630240</c:v>
                </c:pt>
                <c:pt idx="540">
                  <c:v>558690</c:v>
                </c:pt>
                <c:pt idx="541">
                  <c:v>862530</c:v>
                </c:pt>
                <c:pt idx="542">
                  <c:v>1510000</c:v>
                </c:pt>
                <c:pt idx="543">
                  <c:v>1530000</c:v>
                </c:pt>
                <c:pt idx="544">
                  <c:v>1580000</c:v>
                </c:pt>
                <c:pt idx="545">
                  <c:v>1020000</c:v>
                </c:pt>
                <c:pt idx="546">
                  <c:v>621070</c:v>
                </c:pt>
                <c:pt idx="547">
                  <c:v>681810</c:v>
                </c:pt>
                <c:pt idx="548">
                  <c:v>611030</c:v>
                </c:pt>
                <c:pt idx="549">
                  <c:v>758340</c:v>
                </c:pt>
                <c:pt idx="550">
                  <c:v>1230000</c:v>
                </c:pt>
                <c:pt idx="551">
                  <c:v>480120</c:v>
                </c:pt>
                <c:pt idx="552">
                  <c:v>661120</c:v>
                </c:pt>
                <c:pt idx="553">
                  <c:v>439290</c:v>
                </c:pt>
                <c:pt idx="554">
                  <c:v>568610</c:v>
                </c:pt>
                <c:pt idx="555">
                  <c:v>446420</c:v>
                </c:pt>
                <c:pt idx="556">
                  <c:v>690960</c:v>
                </c:pt>
                <c:pt idx="557">
                  <c:v>1320000</c:v>
                </c:pt>
                <c:pt idx="558">
                  <c:v>1200000</c:v>
                </c:pt>
                <c:pt idx="559">
                  <c:v>840570</c:v>
                </c:pt>
                <c:pt idx="560">
                  <c:v>745770</c:v>
                </c:pt>
                <c:pt idx="561">
                  <c:v>660190</c:v>
                </c:pt>
                <c:pt idx="562">
                  <c:v>1240000</c:v>
                </c:pt>
                <c:pt idx="563">
                  <c:v>469840</c:v>
                </c:pt>
                <c:pt idx="564">
                  <c:v>451070</c:v>
                </c:pt>
                <c:pt idx="565">
                  <c:v>800710</c:v>
                </c:pt>
                <c:pt idx="566">
                  <c:v>332110</c:v>
                </c:pt>
                <c:pt idx="567">
                  <c:v>359810</c:v>
                </c:pt>
                <c:pt idx="568">
                  <c:v>383940</c:v>
                </c:pt>
                <c:pt idx="569">
                  <c:v>322930</c:v>
                </c:pt>
                <c:pt idx="570">
                  <c:v>636520</c:v>
                </c:pt>
                <c:pt idx="571">
                  <c:v>1190000</c:v>
                </c:pt>
                <c:pt idx="572">
                  <c:v>1090000</c:v>
                </c:pt>
                <c:pt idx="573">
                  <c:v>829580</c:v>
                </c:pt>
                <c:pt idx="574">
                  <c:v>630800</c:v>
                </c:pt>
                <c:pt idx="575">
                  <c:v>616250</c:v>
                </c:pt>
                <c:pt idx="576">
                  <c:v>499340</c:v>
                </c:pt>
                <c:pt idx="577">
                  <c:v>739030</c:v>
                </c:pt>
                <c:pt idx="578">
                  <c:v>479790</c:v>
                </c:pt>
                <c:pt idx="579">
                  <c:v>497150</c:v>
                </c:pt>
                <c:pt idx="580">
                  <c:v>515080.00000000012</c:v>
                </c:pt>
                <c:pt idx="581">
                  <c:v>477760</c:v>
                </c:pt>
                <c:pt idx="582">
                  <c:v>407390</c:v>
                </c:pt>
                <c:pt idx="583">
                  <c:v>403220</c:v>
                </c:pt>
                <c:pt idx="584">
                  <c:v>841470</c:v>
                </c:pt>
                <c:pt idx="585">
                  <c:v>459260</c:v>
                </c:pt>
                <c:pt idx="586">
                  <c:v>419480</c:v>
                </c:pt>
                <c:pt idx="587">
                  <c:v>650620</c:v>
                </c:pt>
                <c:pt idx="588">
                  <c:v>2800000</c:v>
                </c:pt>
                <c:pt idx="589">
                  <c:v>1460000</c:v>
                </c:pt>
                <c:pt idx="590">
                  <c:v>1170000</c:v>
                </c:pt>
                <c:pt idx="591">
                  <c:v>1590000</c:v>
                </c:pt>
                <c:pt idx="592">
                  <c:v>687010</c:v>
                </c:pt>
                <c:pt idx="593">
                  <c:v>892540</c:v>
                </c:pt>
                <c:pt idx="594">
                  <c:v>481730</c:v>
                </c:pt>
                <c:pt idx="595">
                  <c:v>556610</c:v>
                </c:pt>
                <c:pt idx="596">
                  <c:v>854410</c:v>
                </c:pt>
                <c:pt idx="597">
                  <c:v>404880</c:v>
                </c:pt>
                <c:pt idx="598">
                  <c:v>589420</c:v>
                </c:pt>
                <c:pt idx="599">
                  <c:v>1770000</c:v>
                </c:pt>
                <c:pt idx="600">
                  <c:v>358920</c:v>
                </c:pt>
                <c:pt idx="601">
                  <c:v>558030</c:v>
                </c:pt>
                <c:pt idx="602">
                  <c:v>808870</c:v>
                </c:pt>
                <c:pt idx="603">
                  <c:v>906880</c:v>
                </c:pt>
                <c:pt idx="604">
                  <c:v>453940</c:v>
                </c:pt>
                <c:pt idx="605">
                  <c:v>260629.99999999997</c:v>
                </c:pt>
                <c:pt idx="606">
                  <c:v>531560</c:v>
                </c:pt>
                <c:pt idx="607">
                  <c:v>666110</c:v>
                </c:pt>
                <c:pt idx="608">
                  <c:v>556910</c:v>
                </c:pt>
                <c:pt idx="609">
                  <c:v>739830</c:v>
                </c:pt>
                <c:pt idx="610">
                  <c:v>339710</c:v>
                </c:pt>
                <c:pt idx="611">
                  <c:v>542480</c:v>
                </c:pt>
                <c:pt idx="612">
                  <c:v>836170</c:v>
                </c:pt>
                <c:pt idx="613">
                  <c:v>717660</c:v>
                </c:pt>
                <c:pt idx="614">
                  <c:v>1180000</c:v>
                </c:pt>
                <c:pt idx="615">
                  <c:v>273510</c:v>
                </c:pt>
                <c:pt idx="616">
                  <c:v>1340000</c:v>
                </c:pt>
                <c:pt idx="617">
                  <c:v>1080000</c:v>
                </c:pt>
                <c:pt idx="618">
                  <c:v>532400</c:v>
                </c:pt>
                <c:pt idx="619">
                  <c:v>770780</c:v>
                </c:pt>
                <c:pt idx="620">
                  <c:v>856260</c:v>
                </c:pt>
                <c:pt idx="621">
                  <c:v>928850</c:v>
                </c:pt>
                <c:pt idx="622">
                  <c:v>367510</c:v>
                </c:pt>
                <c:pt idx="623">
                  <c:v>443840</c:v>
                </c:pt>
                <c:pt idx="624">
                  <c:v>616330</c:v>
                </c:pt>
                <c:pt idx="625">
                  <c:v>1060000</c:v>
                </c:pt>
                <c:pt idx="626">
                  <c:v>650310</c:v>
                </c:pt>
                <c:pt idx="627">
                  <c:v>617740</c:v>
                </c:pt>
                <c:pt idx="628">
                  <c:v>1350000</c:v>
                </c:pt>
                <c:pt idx="629">
                  <c:v>1070000</c:v>
                </c:pt>
                <c:pt idx="630">
                  <c:v>768270</c:v>
                </c:pt>
                <c:pt idx="631">
                  <c:v>901980</c:v>
                </c:pt>
                <c:pt idx="632">
                  <c:v>536540</c:v>
                </c:pt>
                <c:pt idx="633">
                  <c:v>568160</c:v>
                </c:pt>
                <c:pt idx="634">
                  <c:v>728000</c:v>
                </c:pt>
                <c:pt idx="635">
                  <c:v>432910</c:v>
                </c:pt>
                <c:pt idx="636">
                  <c:v>469150</c:v>
                </c:pt>
                <c:pt idx="637">
                  <c:v>1460000</c:v>
                </c:pt>
                <c:pt idx="638">
                  <c:v>623590</c:v>
                </c:pt>
                <c:pt idx="639">
                  <c:v>676810</c:v>
                </c:pt>
                <c:pt idx="640">
                  <c:v>527220</c:v>
                </c:pt>
                <c:pt idx="641">
                  <c:v>486390</c:v>
                </c:pt>
                <c:pt idx="642">
                  <c:v>570560</c:v>
                </c:pt>
                <c:pt idx="643">
                  <c:v>891880</c:v>
                </c:pt>
                <c:pt idx="644">
                  <c:v>1840000</c:v>
                </c:pt>
                <c:pt idx="645">
                  <c:v>1220000</c:v>
                </c:pt>
                <c:pt idx="646">
                  <c:v>928110</c:v>
                </c:pt>
                <c:pt idx="647">
                  <c:v>518289.99999999994</c:v>
                </c:pt>
                <c:pt idx="648">
                  <c:v>595710</c:v>
                </c:pt>
                <c:pt idx="649">
                  <c:v>814820</c:v>
                </c:pt>
                <c:pt idx="650">
                  <c:v>2190000</c:v>
                </c:pt>
                <c:pt idx="651">
                  <c:v>1330000</c:v>
                </c:pt>
                <c:pt idx="652">
                  <c:v>1700000</c:v>
                </c:pt>
                <c:pt idx="653">
                  <c:v>1650000</c:v>
                </c:pt>
                <c:pt idx="654">
                  <c:v>591900</c:v>
                </c:pt>
                <c:pt idx="655">
                  <c:v>1150000</c:v>
                </c:pt>
                <c:pt idx="656">
                  <c:v>928070</c:v>
                </c:pt>
                <c:pt idx="657">
                  <c:v>1600000</c:v>
                </c:pt>
                <c:pt idx="658">
                  <c:v>856680</c:v>
                </c:pt>
                <c:pt idx="659">
                  <c:v>1240000</c:v>
                </c:pt>
                <c:pt idx="660">
                  <c:v>1740000</c:v>
                </c:pt>
                <c:pt idx="661">
                  <c:v>1440000</c:v>
                </c:pt>
                <c:pt idx="662">
                  <c:v>1240000</c:v>
                </c:pt>
                <c:pt idx="663">
                  <c:v>1590000</c:v>
                </c:pt>
                <c:pt idx="664">
                  <c:v>1040000</c:v>
                </c:pt>
                <c:pt idx="665">
                  <c:v>561310</c:v>
                </c:pt>
                <c:pt idx="666">
                  <c:v>355150</c:v>
                </c:pt>
                <c:pt idx="667">
                  <c:v>662830</c:v>
                </c:pt>
                <c:pt idx="668">
                  <c:v>640520</c:v>
                </c:pt>
                <c:pt idx="669">
                  <c:v>567370</c:v>
                </c:pt>
                <c:pt idx="670">
                  <c:v>761570</c:v>
                </c:pt>
                <c:pt idx="671">
                  <c:v>528700</c:v>
                </c:pt>
                <c:pt idx="672">
                  <c:v>508970.00000000006</c:v>
                </c:pt>
                <c:pt idx="673">
                  <c:v>1630000</c:v>
                </c:pt>
                <c:pt idx="674">
                  <c:v>957390</c:v>
                </c:pt>
                <c:pt idx="675">
                  <c:v>517409.99999999994</c:v>
                </c:pt>
                <c:pt idx="676">
                  <c:v>854400</c:v>
                </c:pt>
                <c:pt idx="677">
                  <c:v>883100</c:v>
                </c:pt>
                <c:pt idx="678">
                  <c:v>659830</c:v>
                </c:pt>
                <c:pt idx="679">
                  <c:v>436540</c:v>
                </c:pt>
                <c:pt idx="680">
                  <c:v>979890</c:v>
                </c:pt>
                <c:pt idx="681">
                  <c:v>651920</c:v>
                </c:pt>
                <c:pt idx="682">
                  <c:v>670810</c:v>
                </c:pt>
                <c:pt idx="683">
                  <c:v>578780</c:v>
                </c:pt>
                <c:pt idx="684">
                  <c:v>517860</c:v>
                </c:pt>
                <c:pt idx="685">
                  <c:v>2180000</c:v>
                </c:pt>
                <c:pt idx="686">
                  <c:v>961130</c:v>
                </c:pt>
                <c:pt idx="687">
                  <c:v>530680</c:v>
                </c:pt>
                <c:pt idx="688">
                  <c:v>458830</c:v>
                </c:pt>
                <c:pt idx="689">
                  <c:v>412740</c:v>
                </c:pt>
                <c:pt idx="690">
                  <c:v>661790</c:v>
                </c:pt>
                <c:pt idx="691">
                  <c:v>660960</c:v>
                </c:pt>
                <c:pt idx="692">
                  <c:v>753970</c:v>
                </c:pt>
                <c:pt idx="693">
                  <c:v>387250</c:v>
                </c:pt>
                <c:pt idx="694">
                  <c:v>492110</c:v>
                </c:pt>
                <c:pt idx="695">
                  <c:v>522360.00000000006</c:v>
                </c:pt>
                <c:pt idx="696">
                  <c:v>645490</c:v>
                </c:pt>
                <c:pt idx="697">
                  <c:v>515240.00000000006</c:v>
                </c:pt>
                <c:pt idx="698">
                  <c:v>532330</c:v>
                </c:pt>
                <c:pt idx="699">
                  <c:v>63729.999999999993</c:v>
                </c:pt>
                <c:pt idx="700">
                  <c:v>571190</c:v>
                </c:pt>
                <c:pt idx="701">
                  <c:v>583290</c:v>
                </c:pt>
                <c:pt idx="702">
                  <c:v>478510</c:v>
                </c:pt>
                <c:pt idx="703">
                  <c:v>678150</c:v>
                </c:pt>
                <c:pt idx="704">
                  <c:v>746050</c:v>
                </c:pt>
                <c:pt idx="705">
                  <c:v>1180000</c:v>
                </c:pt>
                <c:pt idx="706">
                  <c:v>738120</c:v>
                </c:pt>
                <c:pt idx="707">
                  <c:v>631940</c:v>
                </c:pt>
                <c:pt idx="708">
                  <c:v>505939.99999999994</c:v>
                </c:pt>
                <c:pt idx="709">
                  <c:v>490410</c:v>
                </c:pt>
                <c:pt idx="710">
                  <c:v>442140</c:v>
                </c:pt>
                <c:pt idx="711">
                  <c:v>2460000</c:v>
                </c:pt>
                <c:pt idx="712">
                  <c:v>659140</c:v>
                </c:pt>
                <c:pt idx="713">
                  <c:v>552510</c:v>
                </c:pt>
                <c:pt idx="714">
                  <c:v>1050000</c:v>
                </c:pt>
                <c:pt idx="715">
                  <c:v>889810</c:v>
                </c:pt>
                <c:pt idx="716">
                  <c:v>868750</c:v>
                </c:pt>
                <c:pt idx="717">
                  <c:v>631290</c:v>
                </c:pt>
                <c:pt idx="718">
                  <c:v>461530</c:v>
                </c:pt>
                <c:pt idx="719">
                  <c:v>738560</c:v>
                </c:pt>
                <c:pt idx="720">
                  <c:v>407600</c:v>
                </c:pt>
                <c:pt idx="721">
                  <c:v>512690.00000000012</c:v>
                </c:pt>
                <c:pt idx="722">
                  <c:v>435880</c:v>
                </c:pt>
                <c:pt idx="723">
                  <c:v>456870</c:v>
                </c:pt>
                <c:pt idx="724">
                  <c:v>1150000</c:v>
                </c:pt>
                <c:pt idx="725">
                  <c:v>518870.00000000006</c:v>
                </c:pt>
                <c:pt idx="726">
                  <c:v>1450000</c:v>
                </c:pt>
                <c:pt idx="727">
                  <c:v>518260.00000000006</c:v>
                </c:pt>
                <c:pt idx="728">
                  <c:v>944560</c:v>
                </c:pt>
                <c:pt idx="729">
                  <c:v>943410</c:v>
                </c:pt>
                <c:pt idx="730">
                  <c:v>862490</c:v>
                </c:pt>
                <c:pt idx="731">
                  <c:v>660250</c:v>
                </c:pt>
                <c:pt idx="732">
                  <c:v>541990</c:v>
                </c:pt>
                <c:pt idx="733">
                  <c:v>584450</c:v>
                </c:pt>
                <c:pt idx="734">
                  <c:v>677000</c:v>
                </c:pt>
                <c:pt idx="735">
                  <c:v>338210</c:v>
                </c:pt>
                <c:pt idx="736">
                  <c:v>771550</c:v>
                </c:pt>
                <c:pt idx="737">
                  <c:v>890120</c:v>
                </c:pt>
                <c:pt idx="738">
                  <c:v>711010</c:v>
                </c:pt>
                <c:pt idx="739">
                  <c:v>485200</c:v>
                </c:pt>
                <c:pt idx="740">
                  <c:v>613150</c:v>
                </c:pt>
                <c:pt idx="741">
                  <c:v>581960</c:v>
                </c:pt>
                <c:pt idx="742">
                  <c:v>530290</c:v>
                </c:pt>
                <c:pt idx="743">
                  <c:v>422130</c:v>
                </c:pt>
                <c:pt idx="744">
                  <c:v>318720</c:v>
                </c:pt>
                <c:pt idx="745">
                  <c:v>881070</c:v>
                </c:pt>
                <c:pt idx="746">
                  <c:v>663450</c:v>
                </c:pt>
                <c:pt idx="747">
                  <c:v>381580</c:v>
                </c:pt>
                <c:pt idx="748">
                  <c:v>323240</c:v>
                </c:pt>
                <c:pt idx="749">
                  <c:v>372620</c:v>
                </c:pt>
                <c:pt idx="750">
                  <c:v>383750</c:v>
                </c:pt>
                <c:pt idx="751">
                  <c:v>242110</c:v>
                </c:pt>
                <c:pt idx="752">
                  <c:v>391800</c:v>
                </c:pt>
                <c:pt idx="753">
                  <c:v>607830</c:v>
                </c:pt>
                <c:pt idx="754">
                  <c:v>856150</c:v>
                </c:pt>
                <c:pt idx="755">
                  <c:v>690120</c:v>
                </c:pt>
                <c:pt idx="756">
                  <c:v>964660</c:v>
                </c:pt>
                <c:pt idx="757">
                  <c:v>653370</c:v>
                </c:pt>
                <c:pt idx="758">
                  <c:v>495810</c:v>
                </c:pt>
                <c:pt idx="759">
                  <c:v>330810</c:v>
                </c:pt>
                <c:pt idx="760">
                  <c:v>320900</c:v>
                </c:pt>
                <c:pt idx="761">
                  <c:v>389880</c:v>
                </c:pt>
                <c:pt idx="762">
                  <c:v>424690</c:v>
                </c:pt>
                <c:pt idx="763">
                  <c:v>367440</c:v>
                </c:pt>
                <c:pt idx="764">
                  <c:v>353060</c:v>
                </c:pt>
                <c:pt idx="765">
                  <c:v>627910</c:v>
                </c:pt>
                <c:pt idx="766">
                  <c:v>656400</c:v>
                </c:pt>
                <c:pt idx="767">
                  <c:v>612160</c:v>
                </c:pt>
                <c:pt idx="768">
                  <c:v>885330</c:v>
                </c:pt>
                <c:pt idx="769">
                  <c:v>613270</c:v>
                </c:pt>
                <c:pt idx="770">
                  <c:v>500040.00000000006</c:v>
                </c:pt>
                <c:pt idx="771">
                  <c:v>346030</c:v>
                </c:pt>
                <c:pt idx="772">
                  <c:v>447240</c:v>
                </c:pt>
                <c:pt idx="773">
                  <c:v>378310</c:v>
                </c:pt>
                <c:pt idx="774">
                  <c:v>265010</c:v>
                </c:pt>
                <c:pt idx="775">
                  <c:v>328750</c:v>
                </c:pt>
                <c:pt idx="776">
                  <c:v>405140</c:v>
                </c:pt>
                <c:pt idx="777">
                  <c:v>1520000</c:v>
                </c:pt>
                <c:pt idx="778">
                  <c:v>2089999.9999999998</c:v>
                </c:pt>
                <c:pt idx="779">
                  <c:v>679170</c:v>
                </c:pt>
                <c:pt idx="780">
                  <c:v>491320</c:v>
                </c:pt>
                <c:pt idx="781">
                  <c:v>515900</c:v>
                </c:pt>
                <c:pt idx="782">
                  <c:v>494120</c:v>
                </c:pt>
                <c:pt idx="783">
                  <c:v>570380</c:v>
                </c:pt>
                <c:pt idx="784">
                  <c:v>527730</c:v>
                </c:pt>
                <c:pt idx="785">
                  <c:v>684030</c:v>
                </c:pt>
                <c:pt idx="786">
                  <c:v>482530</c:v>
                </c:pt>
                <c:pt idx="787">
                  <c:v>974100</c:v>
                </c:pt>
                <c:pt idx="788">
                  <c:v>522390</c:v>
                </c:pt>
                <c:pt idx="789">
                  <c:v>970570</c:v>
                </c:pt>
                <c:pt idx="790">
                  <c:v>337280</c:v>
                </c:pt>
                <c:pt idx="791">
                  <c:v>362690</c:v>
                </c:pt>
                <c:pt idx="792">
                  <c:v>657260</c:v>
                </c:pt>
                <c:pt idx="793">
                  <c:v>419730</c:v>
                </c:pt>
                <c:pt idx="794">
                  <c:v>362000</c:v>
                </c:pt>
                <c:pt idx="795">
                  <c:v>351240</c:v>
                </c:pt>
                <c:pt idx="796">
                  <c:v>727500</c:v>
                </c:pt>
                <c:pt idx="797">
                  <c:v>288930</c:v>
                </c:pt>
                <c:pt idx="798">
                  <c:v>439610</c:v>
                </c:pt>
                <c:pt idx="799">
                  <c:v>692630</c:v>
                </c:pt>
                <c:pt idx="800">
                  <c:v>561180</c:v>
                </c:pt>
                <c:pt idx="801">
                  <c:v>490090</c:v>
                </c:pt>
                <c:pt idx="802">
                  <c:v>222880</c:v>
                </c:pt>
                <c:pt idx="803">
                  <c:v>379190</c:v>
                </c:pt>
                <c:pt idx="804">
                  <c:v>542970</c:v>
                </c:pt>
                <c:pt idx="805">
                  <c:v>375290</c:v>
                </c:pt>
                <c:pt idx="806">
                  <c:v>1080000</c:v>
                </c:pt>
                <c:pt idx="807">
                  <c:v>765290</c:v>
                </c:pt>
                <c:pt idx="808">
                  <c:v>546110</c:v>
                </c:pt>
                <c:pt idx="809">
                  <c:v>1170000</c:v>
                </c:pt>
                <c:pt idx="810">
                  <c:v>1030000</c:v>
                </c:pt>
                <c:pt idx="811">
                  <c:v>586850</c:v>
                </c:pt>
                <c:pt idx="812">
                  <c:v>416880</c:v>
                </c:pt>
                <c:pt idx="813">
                  <c:v>618390</c:v>
                </c:pt>
                <c:pt idx="814">
                  <c:v>746280</c:v>
                </c:pt>
                <c:pt idx="815">
                  <c:v>1340000</c:v>
                </c:pt>
                <c:pt idx="816">
                  <c:v>539980</c:v>
                </c:pt>
                <c:pt idx="817">
                  <c:v>577510</c:v>
                </c:pt>
                <c:pt idx="818">
                  <c:v>646160</c:v>
                </c:pt>
                <c:pt idx="819">
                  <c:v>483670</c:v>
                </c:pt>
                <c:pt idx="820">
                  <c:v>443740</c:v>
                </c:pt>
                <c:pt idx="821">
                  <c:v>379320</c:v>
                </c:pt>
                <c:pt idx="822">
                  <c:v>574540</c:v>
                </c:pt>
                <c:pt idx="823">
                  <c:v>881680</c:v>
                </c:pt>
                <c:pt idx="824">
                  <c:v>464410</c:v>
                </c:pt>
                <c:pt idx="825">
                  <c:v>416240</c:v>
                </c:pt>
                <c:pt idx="826">
                  <c:v>838720</c:v>
                </c:pt>
                <c:pt idx="827">
                  <c:v>577760</c:v>
                </c:pt>
                <c:pt idx="828">
                  <c:v>325540</c:v>
                </c:pt>
                <c:pt idx="829">
                  <c:v>518150</c:v>
                </c:pt>
                <c:pt idx="830">
                  <c:v>322910</c:v>
                </c:pt>
                <c:pt idx="831">
                  <c:v>347390</c:v>
                </c:pt>
                <c:pt idx="832">
                  <c:v>386750</c:v>
                </c:pt>
                <c:pt idx="833">
                  <c:v>408410</c:v>
                </c:pt>
                <c:pt idx="834">
                  <c:v>3670000</c:v>
                </c:pt>
                <c:pt idx="835">
                  <c:v>1270000</c:v>
                </c:pt>
                <c:pt idx="836">
                  <c:v>1040000</c:v>
                </c:pt>
                <c:pt idx="837">
                  <c:v>755790</c:v>
                </c:pt>
                <c:pt idx="838">
                  <c:v>1240000</c:v>
                </c:pt>
                <c:pt idx="839">
                  <c:v>762690</c:v>
                </c:pt>
                <c:pt idx="840">
                  <c:v>303120</c:v>
                </c:pt>
                <c:pt idx="841">
                  <c:v>374270</c:v>
                </c:pt>
                <c:pt idx="842">
                  <c:v>374040</c:v>
                </c:pt>
                <c:pt idx="843">
                  <c:v>725890</c:v>
                </c:pt>
                <c:pt idx="844">
                  <c:v>394990</c:v>
                </c:pt>
                <c:pt idx="845">
                  <c:v>516719.99999999994</c:v>
                </c:pt>
                <c:pt idx="846">
                  <c:v>598100</c:v>
                </c:pt>
                <c:pt idx="847">
                  <c:v>1190000</c:v>
                </c:pt>
                <c:pt idx="848">
                  <c:v>622440</c:v>
                </c:pt>
                <c:pt idx="849">
                  <c:v>987420</c:v>
                </c:pt>
                <c:pt idx="850">
                  <c:v>340660</c:v>
                </c:pt>
                <c:pt idx="851">
                  <c:v>385910</c:v>
                </c:pt>
                <c:pt idx="852">
                  <c:v>342010</c:v>
                </c:pt>
                <c:pt idx="853">
                  <c:v>511179.99999999994</c:v>
                </c:pt>
                <c:pt idx="854">
                  <c:v>447350</c:v>
                </c:pt>
                <c:pt idx="855">
                  <c:v>358860</c:v>
                </c:pt>
                <c:pt idx="856">
                  <c:v>612120</c:v>
                </c:pt>
                <c:pt idx="857">
                  <c:v>456600</c:v>
                </c:pt>
                <c:pt idx="858">
                  <c:v>428890</c:v>
                </c:pt>
                <c:pt idx="859">
                  <c:v>610090</c:v>
                </c:pt>
                <c:pt idx="860">
                  <c:v>336010</c:v>
                </c:pt>
                <c:pt idx="861">
                  <c:v>378560</c:v>
                </c:pt>
                <c:pt idx="862">
                  <c:v>538050</c:v>
                </c:pt>
                <c:pt idx="863">
                  <c:v>559680</c:v>
                </c:pt>
                <c:pt idx="864">
                  <c:v>281640</c:v>
                </c:pt>
                <c:pt idx="865">
                  <c:v>346200</c:v>
                </c:pt>
                <c:pt idx="866">
                  <c:v>336520</c:v>
                </c:pt>
                <c:pt idx="867">
                  <c:v>657120</c:v>
                </c:pt>
                <c:pt idx="868">
                  <c:v>712380</c:v>
                </c:pt>
                <c:pt idx="869">
                  <c:v>734330</c:v>
                </c:pt>
                <c:pt idx="870">
                  <c:v>4120000</c:v>
                </c:pt>
                <c:pt idx="871">
                  <c:v>2930000</c:v>
                </c:pt>
                <c:pt idx="872">
                  <c:v>3840000</c:v>
                </c:pt>
                <c:pt idx="873">
                  <c:v>2100000</c:v>
                </c:pt>
                <c:pt idx="874">
                  <c:v>1780000</c:v>
                </c:pt>
                <c:pt idx="875">
                  <c:v>1430000</c:v>
                </c:pt>
                <c:pt idx="876">
                  <c:v>1570000</c:v>
                </c:pt>
                <c:pt idx="877">
                  <c:v>1050000</c:v>
                </c:pt>
                <c:pt idx="878">
                  <c:v>1580000</c:v>
                </c:pt>
                <c:pt idx="879">
                  <c:v>1560000</c:v>
                </c:pt>
                <c:pt idx="880">
                  <c:v>743050</c:v>
                </c:pt>
                <c:pt idx="881">
                  <c:v>658760</c:v>
                </c:pt>
                <c:pt idx="882">
                  <c:v>684860</c:v>
                </c:pt>
                <c:pt idx="883">
                  <c:v>536480</c:v>
                </c:pt>
                <c:pt idx="884">
                  <c:v>517009.99999999994</c:v>
                </c:pt>
                <c:pt idx="885">
                  <c:v>865630</c:v>
                </c:pt>
                <c:pt idx="886">
                  <c:v>552960</c:v>
                </c:pt>
                <c:pt idx="887">
                  <c:v>748690</c:v>
                </c:pt>
                <c:pt idx="888">
                  <c:v>338430</c:v>
                </c:pt>
                <c:pt idx="889">
                  <c:v>485770</c:v>
                </c:pt>
                <c:pt idx="890">
                  <c:v>1040000</c:v>
                </c:pt>
                <c:pt idx="891">
                  <c:v>1170000</c:v>
                </c:pt>
                <c:pt idx="892">
                  <c:v>601720</c:v>
                </c:pt>
                <c:pt idx="893">
                  <c:v>1240000</c:v>
                </c:pt>
                <c:pt idx="894">
                  <c:v>438970</c:v>
                </c:pt>
                <c:pt idx="895">
                  <c:v>881720</c:v>
                </c:pt>
                <c:pt idx="896">
                  <c:v>1100000</c:v>
                </c:pt>
                <c:pt idx="897">
                  <c:v>640760</c:v>
                </c:pt>
                <c:pt idx="898">
                  <c:v>366410</c:v>
                </c:pt>
                <c:pt idx="899">
                  <c:v>650030</c:v>
                </c:pt>
                <c:pt idx="900">
                  <c:v>502270</c:v>
                </c:pt>
                <c:pt idx="901">
                  <c:v>484580</c:v>
                </c:pt>
                <c:pt idx="902">
                  <c:v>680220</c:v>
                </c:pt>
                <c:pt idx="903">
                  <c:v>407890</c:v>
                </c:pt>
                <c:pt idx="904">
                  <c:v>343010</c:v>
                </c:pt>
                <c:pt idx="905">
                  <c:v>347740</c:v>
                </c:pt>
                <c:pt idx="906">
                  <c:v>840230</c:v>
                </c:pt>
                <c:pt idx="907">
                  <c:v>463510</c:v>
                </c:pt>
                <c:pt idx="908">
                  <c:v>329660</c:v>
                </c:pt>
                <c:pt idx="909">
                  <c:v>271580</c:v>
                </c:pt>
                <c:pt idx="910">
                  <c:v>903100</c:v>
                </c:pt>
                <c:pt idx="911">
                  <c:v>835740</c:v>
                </c:pt>
                <c:pt idx="912">
                  <c:v>691510</c:v>
                </c:pt>
                <c:pt idx="913">
                  <c:v>661740</c:v>
                </c:pt>
                <c:pt idx="914">
                  <c:v>374900</c:v>
                </c:pt>
                <c:pt idx="915">
                  <c:v>431090</c:v>
                </c:pt>
                <c:pt idx="916">
                  <c:v>334700</c:v>
                </c:pt>
                <c:pt idx="917">
                  <c:v>448500</c:v>
                </c:pt>
                <c:pt idx="918">
                  <c:v>544360</c:v>
                </c:pt>
                <c:pt idx="919">
                  <c:v>446510</c:v>
                </c:pt>
                <c:pt idx="920">
                  <c:v>820180</c:v>
                </c:pt>
                <c:pt idx="921">
                  <c:v>436340</c:v>
                </c:pt>
                <c:pt idx="922">
                  <c:v>1170000</c:v>
                </c:pt>
                <c:pt idx="923">
                  <c:v>596380</c:v>
                </c:pt>
                <c:pt idx="924">
                  <c:v>547810</c:v>
                </c:pt>
                <c:pt idx="925">
                  <c:v>477580</c:v>
                </c:pt>
                <c:pt idx="926">
                  <c:v>393520</c:v>
                </c:pt>
                <c:pt idx="927">
                  <c:v>309700</c:v>
                </c:pt>
                <c:pt idx="928">
                  <c:v>2180000</c:v>
                </c:pt>
                <c:pt idx="929">
                  <c:v>552570</c:v>
                </c:pt>
                <c:pt idx="930">
                  <c:v>608160</c:v>
                </c:pt>
                <c:pt idx="931">
                  <c:v>515009.99999999994</c:v>
                </c:pt>
                <c:pt idx="932">
                  <c:v>1350000</c:v>
                </c:pt>
                <c:pt idx="933">
                  <c:v>566980</c:v>
                </c:pt>
                <c:pt idx="934">
                  <c:v>394670</c:v>
                </c:pt>
                <c:pt idx="935">
                  <c:v>249260</c:v>
                </c:pt>
                <c:pt idx="936">
                  <c:v>471290</c:v>
                </c:pt>
                <c:pt idx="937">
                  <c:v>206650</c:v>
                </c:pt>
                <c:pt idx="938">
                  <c:v>343470</c:v>
                </c:pt>
                <c:pt idx="939">
                  <c:v>644990</c:v>
                </c:pt>
                <c:pt idx="940">
                  <c:v>280440</c:v>
                </c:pt>
                <c:pt idx="941">
                  <c:v>147660</c:v>
                </c:pt>
                <c:pt idx="942">
                  <c:v>260329.99999999994</c:v>
                </c:pt>
                <c:pt idx="943">
                  <c:v>368550</c:v>
                </c:pt>
                <c:pt idx="944">
                  <c:v>353660</c:v>
                </c:pt>
                <c:pt idx="945">
                  <c:v>216270</c:v>
                </c:pt>
                <c:pt idx="946">
                  <c:v>211290</c:v>
                </c:pt>
                <c:pt idx="947">
                  <c:v>354130</c:v>
                </c:pt>
                <c:pt idx="948">
                  <c:v>428620</c:v>
                </c:pt>
                <c:pt idx="949">
                  <c:v>293100</c:v>
                </c:pt>
                <c:pt idx="950">
                  <c:v>257390</c:v>
                </c:pt>
                <c:pt idx="951">
                  <c:v>409350</c:v>
                </c:pt>
                <c:pt idx="952">
                  <c:v>325630</c:v>
                </c:pt>
                <c:pt idx="953">
                  <c:v>493380</c:v>
                </c:pt>
                <c:pt idx="954">
                  <c:v>568460</c:v>
                </c:pt>
                <c:pt idx="955">
                  <c:v>722080</c:v>
                </c:pt>
                <c:pt idx="956">
                  <c:v>335440</c:v>
                </c:pt>
                <c:pt idx="957">
                  <c:v>393480</c:v>
                </c:pt>
                <c:pt idx="958">
                  <c:v>538780</c:v>
                </c:pt>
                <c:pt idx="959">
                  <c:v>259240.00000000003</c:v>
                </c:pt>
                <c:pt idx="960">
                  <c:v>113460</c:v>
                </c:pt>
                <c:pt idx="961">
                  <c:v>875890</c:v>
                </c:pt>
                <c:pt idx="962">
                  <c:v>1910000</c:v>
                </c:pt>
                <c:pt idx="963">
                  <c:v>755580</c:v>
                </c:pt>
                <c:pt idx="964">
                  <c:v>476360</c:v>
                </c:pt>
                <c:pt idx="965">
                  <c:v>249900</c:v>
                </c:pt>
                <c:pt idx="966">
                  <c:v>260480.00000000006</c:v>
                </c:pt>
                <c:pt idx="967">
                  <c:v>286190</c:v>
                </c:pt>
                <c:pt idx="968">
                  <c:v>764500</c:v>
                </c:pt>
                <c:pt idx="969">
                  <c:v>266310</c:v>
                </c:pt>
                <c:pt idx="970">
                  <c:v>505270</c:v>
                </c:pt>
                <c:pt idx="971">
                  <c:v>414180</c:v>
                </c:pt>
                <c:pt idx="972">
                  <c:v>1340000</c:v>
                </c:pt>
                <c:pt idx="973">
                  <c:v>683210</c:v>
                </c:pt>
                <c:pt idx="974">
                  <c:v>2820000</c:v>
                </c:pt>
                <c:pt idx="975">
                  <c:v>1050000</c:v>
                </c:pt>
                <c:pt idx="976">
                  <c:v>941570</c:v>
                </c:pt>
                <c:pt idx="977">
                  <c:v>699550</c:v>
                </c:pt>
                <c:pt idx="978">
                  <c:v>334250</c:v>
                </c:pt>
                <c:pt idx="979">
                  <c:v>534580</c:v>
                </c:pt>
                <c:pt idx="980">
                  <c:v>981120</c:v>
                </c:pt>
                <c:pt idx="981">
                  <c:v>707210</c:v>
                </c:pt>
                <c:pt idx="982">
                  <c:v>922660</c:v>
                </c:pt>
                <c:pt idx="983">
                  <c:v>954930</c:v>
                </c:pt>
                <c:pt idx="984">
                  <c:v>886620</c:v>
                </c:pt>
                <c:pt idx="985">
                  <c:v>328370</c:v>
                </c:pt>
                <c:pt idx="986">
                  <c:v>557210</c:v>
                </c:pt>
                <c:pt idx="987">
                  <c:v>445650</c:v>
                </c:pt>
                <c:pt idx="988">
                  <c:v>309910</c:v>
                </c:pt>
                <c:pt idx="989">
                  <c:v>475110</c:v>
                </c:pt>
                <c:pt idx="990">
                  <c:v>385940</c:v>
                </c:pt>
                <c:pt idx="991">
                  <c:v>450480</c:v>
                </c:pt>
                <c:pt idx="992">
                  <c:v>673950</c:v>
                </c:pt>
                <c:pt idx="993">
                  <c:v>763450</c:v>
                </c:pt>
                <c:pt idx="994">
                  <c:v>1220000</c:v>
                </c:pt>
                <c:pt idx="995">
                  <c:v>435450</c:v>
                </c:pt>
                <c:pt idx="996">
                  <c:v>425700</c:v>
                </c:pt>
                <c:pt idx="997">
                  <c:v>402100</c:v>
                </c:pt>
                <c:pt idx="998">
                  <c:v>401260</c:v>
                </c:pt>
                <c:pt idx="999">
                  <c:v>411460</c:v>
                </c:pt>
                <c:pt idx="1000">
                  <c:v>577500</c:v>
                </c:pt>
                <c:pt idx="1001">
                  <c:v>378240</c:v>
                </c:pt>
                <c:pt idx="1002">
                  <c:v>220410</c:v>
                </c:pt>
                <c:pt idx="1003">
                  <c:v>364330</c:v>
                </c:pt>
                <c:pt idx="1004">
                  <c:v>519200.00000000012</c:v>
                </c:pt>
                <c:pt idx="1005">
                  <c:v>585280</c:v>
                </c:pt>
                <c:pt idx="1006">
                  <c:v>583930</c:v>
                </c:pt>
                <c:pt idx="1007">
                  <c:v>894470</c:v>
                </c:pt>
                <c:pt idx="1008">
                  <c:v>122050</c:v>
                </c:pt>
                <c:pt idx="1009">
                  <c:v>823430</c:v>
                </c:pt>
                <c:pt idx="1010">
                  <c:v>1320000</c:v>
                </c:pt>
                <c:pt idx="1011">
                  <c:v>699430</c:v>
                </c:pt>
                <c:pt idx="1012">
                  <c:v>936430</c:v>
                </c:pt>
                <c:pt idx="1013">
                  <c:v>612060</c:v>
                </c:pt>
                <c:pt idx="1014">
                  <c:v>759820</c:v>
                </c:pt>
                <c:pt idx="1015">
                  <c:v>1310000</c:v>
                </c:pt>
                <c:pt idx="1016">
                  <c:v>872010</c:v>
                </c:pt>
                <c:pt idx="1017">
                  <c:v>592180</c:v>
                </c:pt>
                <c:pt idx="1018">
                  <c:v>470710</c:v>
                </c:pt>
                <c:pt idx="1019">
                  <c:v>416770</c:v>
                </c:pt>
                <c:pt idx="1020">
                  <c:v>404900</c:v>
                </c:pt>
                <c:pt idx="1021">
                  <c:v>396730</c:v>
                </c:pt>
                <c:pt idx="1022">
                  <c:v>237340</c:v>
                </c:pt>
                <c:pt idx="1023">
                  <c:v>633020</c:v>
                </c:pt>
                <c:pt idx="1024">
                  <c:v>919710</c:v>
                </c:pt>
                <c:pt idx="1025">
                  <c:v>405630</c:v>
                </c:pt>
                <c:pt idx="1026">
                  <c:v>634010</c:v>
                </c:pt>
                <c:pt idx="1027">
                  <c:v>267830</c:v>
                </c:pt>
                <c:pt idx="1028">
                  <c:v>1320000</c:v>
                </c:pt>
                <c:pt idx="1029">
                  <c:v>575380</c:v>
                </c:pt>
                <c:pt idx="1030">
                  <c:v>1130000</c:v>
                </c:pt>
                <c:pt idx="1031">
                  <c:v>572000</c:v>
                </c:pt>
                <c:pt idx="1032">
                  <c:v>474470</c:v>
                </c:pt>
                <c:pt idx="1033">
                  <c:v>579400</c:v>
                </c:pt>
                <c:pt idx="1034">
                  <c:v>658950</c:v>
                </c:pt>
                <c:pt idx="1035">
                  <c:v>1020000</c:v>
                </c:pt>
                <c:pt idx="1036">
                  <c:v>665950</c:v>
                </c:pt>
                <c:pt idx="1037">
                  <c:v>17700</c:v>
                </c:pt>
                <c:pt idx="1038">
                  <c:v>641250</c:v>
                </c:pt>
                <c:pt idx="1039">
                  <c:v>591290</c:v>
                </c:pt>
                <c:pt idx="1040">
                  <c:v>315400</c:v>
                </c:pt>
                <c:pt idx="1041">
                  <c:v>734240</c:v>
                </c:pt>
                <c:pt idx="1042">
                  <c:v>373340</c:v>
                </c:pt>
                <c:pt idx="1043">
                  <c:v>528040</c:v>
                </c:pt>
                <c:pt idx="1044">
                  <c:v>428320</c:v>
                </c:pt>
                <c:pt idx="1045">
                  <c:v>720950</c:v>
                </c:pt>
                <c:pt idx="1046">
                  <c:v>487750</c:v>
                </c:pt>
                <c:pt idx="1047">
                  <c:v>533170</c:v>
                </c:pt>
                <c:pt idx="1048">
                  <c:v>559400</c:v>
                </c:pt>
                <c:pt idx="1049">
                  <c:v>3050000</c:v>
                </c:pt>
                <c:pt idx="1050">
                  <c:v>838930</c:v>
                </c:pt>
                <c:pt idx="1051">
                  <c:v>1030000</c:v>
                </c:pt>
                <c:pt idx="1052">
                  <c:v>772160</c:v>
                </c:pt>
                <c:pt idx="1053">
                  <c:v>510950</c:v>
                </c:pt>
                <c:pt idx="1054">
                  <c:v>1310000</c:v>
                </c:pt>
                <c:pt idx="1055">
                  <c:v>532520</c:v>
                </c:pt>
                <c:pt idx="1056">
                  <c:v>485050</c:v>
                </c:pt>
                <c:pt idx="1057">
                  <c:v>392460</c:v>
                </c:pt>
                <c:pt idx="1058">
                  <c:v>932480</c:v>
                </c:pt>
                <c:pt idx="1059">
                  <c:v>537210</c:v>
                </c:pt>
                <c:pt idx="1060">
                  <c:v>2170000</c:v>
                </c:pt>
                <c:pt idx="1061">
                  <c:v>970660</c:v>
                </c:pt>
                <c:pt idx="1062">
                  <c:v>1020000</c:v>
                </c:pt>
                <c:pt idx="1063">
                  <c:v>1130000</c:v>
                </c:pt>
                <c:pt idx="1064">
                  <c:v>860130</c:v>
                </c:pt>
                <c:pt idx="1065">
                  <c:v>1470000</c:v>
                </c:pt>
                <c:pt idx="1066">
                  <c:v>1320000</c:v>
                </c:pt>
                <c:pt idx="1067">
                  <c:v>719000</c:v>
                </c:pt>
                <c:pt idx="1068">
                  <c:v>781220</c:v>
                </c:pt>
                <c:pt idx="1069">
                  <c:v>740620</c:v>
                </c:pt>
                <c:pt idx="1070">
                  <c:v>919640</c:v>
                </c:pt>
                <c:pt idx="1071">
                  <c:v>1260000</c:v>
                </c:pt>
                <c:pt idx="1072">
                  <c:v>364190</c:v>
                </c:pt>
                <c:pt idx="1073">
                  <c:v>465910</c:v>
                </c:pt>
                <c:pt idx="1074">
                  <c:v>663750</c:v>
                </c:pt>
                <c:pt idx="1075">
                  <c:v>908140</c:v>
                </c:pt>
                <c:pt idx="1076">
                  <c:v>562480</c:v>
                </c:pt>
                <c:pt idx="1077">
                  <c:v>716540</c:v>
                </c:pt>
                <c:pt idx="1078">
                  <c:v>505030</c:v>
                </c:pt>
                <c:pt idx="1079">
                  <c:v>613160</c:v>
                </c:pt>
                <c:pt idx="1080">
                  <c:v>980280</c:v>
                </c:pt>
                <c:pt idx="1081">
                  <c:v>471150</c:v>
                </c:pt>
                <c:pt idx="1082">
                  <c:v>1740000</c:v>
                </c:pt>
                <c:pt idx="1083">
                  <c:v>870040</c:v>
                </c:pt>
                <c:pt idx="1084">
                  <c:v>1080000</c:v>
                </c:pt>
                <c:pt idx="1085">
                  <c:v>845650</c:v>
                </c:pt>
                <c:pt idx="1086">
                  <c:v>287570</c:v>
                </c:pt>
                <c:pt idx="1087">
                  <c:v>23600</c:v>
                </c:pt>
                <c:pt idx="1088">
                  <c:v>500739.99999999994</c:v>
                </c:pt>
                <c:pt idx="1089">
                  <c:v>201190</c:v>
                </c:pt>
                <c:pt idx="1090">
                  <c:v>922930</c:v>
                </c:pt>
                <c:pt idx="1091">
                  <c:v>545730</c:v>
                </c:pt>
                <c:pt idx="1092">
                  <c:v>655640</c:v>
                </c:pt>
                <c:pt idx="1093">
                  <c:v>333510</c:v>
                </c:pt>
                <c:pt idx="1094">
                  <c:v>548870</c:v>
                </c:pt>
                <c:pt idx="1095">
                  <c:v>431390</c:v>
                </c:pt>
                <c:pt idx="1096">
                  <c:v>1140000</c:v>
                </c:pt>
                <c:pt idx="1097">
                  <c:v>1070000</c:v>
                </c:pt>
                <c:pt idx="1098">
                  <c:v>920930</c:v>
                </c:pt>
                <c:pt idx="1099">
                  <c:v>468060</c:v>
                </c:pt>
                <c:pt idx="1100">
                  <c:v>748920</c:v>
                </c:pt>
                <c:pt idx="1101">
                  <c:v>419420</c:v>
                </c:pt>
                <c:pt idx="1102">
                  <c:v>301650</c:v>
                </c:pt>
                <c:pt idx="1103">
                  <c:v>733970</c:v>
                </c:pt>
                <c:pt idx="1104">
                  <c:v>523150</c:v>
                </c:pt>
                <c:pt idx="1105">
                  <c:v>840780</c:v>
                </c:pt>
                <c:pt idx="1106">
                  <c:v>549130</c:v>
                </c:pt>
                <c:pt idx="1107">
                  <c:v>706640</c:v>
                </c:pt>
                <c:pt idx="1108">
                  <c:v>652620</c:v>
                </c:pt>
                <c:pt idx="1109">
                  <c:v>637360</c:v>
                </c:pt>
                <c:pt idx="1110">
                  <c:v>414680</c:v>
                </c:pt>
                <c:pt idx="1111">
                  <c:v>302470</c:v>
                </c:pt>
                <c:pt idx="1112">
                  <c:v>660140</c:v>
                </c:pt>
                <c:pt idx="1113">
                  <c:v>600780</c:v>
                </c:pt>
                <c:pt idx="1114">
                  <c:v>1090000</c:v>
                </c:pt>
                <c:pt idx="1115">
                  <c:v>939280</c:v>
                </c:pt>
                <c:pt idx="1116">
                  <c:v>1360000</c:v>
                </c:pt>
                <c:pt idx="1117">
                  <c:v>865320</c:v>
                </c:pt>
                <c:pt idx="1118">
                  <c:v>257359.99999999997</c:v>
                </c:pt>
                <c:pt idx="1119">
                  <c:v>313150</c:v>
                </c:pt>
                <c:pt idx="1120">
                  <c:v>258689.99999999997</c:v>
                </c:pt>
                <c:pt idx="1121">
                  <c:v>542470</c:v>
                </c:pt>
                <c:pt idx="1122">
                  <c:v>631370</c:v>
                </c:pt>
                <c:pt idx="1123">
                  <c:v>832010</c:v>
                </c:pt>
                <c:pt idx="1124">
                  <c:v>308710</c:v>
                </c:pt>
                <c:pt idx="1125">
                  <c:v>290820</c:v>
                </c:pt>
                <c:pt idx="1126">
                  <c:v>223490</c:v>
                </c:pt>
                <c:pt idx="1127">
                  <c:v>664540</c:v>
                </c:pt>
                <c:pt idx="1128">
                  <c:v>773060</c:v>
                </c:pt>
                <c:pt idx="1129">
                  <c:v>662970</c:v>
                </c:pt>
                <c:pt idx="1130">
                  <c:v>377890</c:v>
                </c:pt>
                <c:pt idx="1131">
                  <c:v>1130000</c:v>
                </c:pt>
                <c:pt idx="1132">
                  <c:v>400080</c:v>
                </c:pt>
                <c:pt idx="1133">
                  <c:v>413860</c:v>
                </c:pt>
                <c:pt idx="1134">
                  <c:v>625670</c:v>
                </c:pt>
                <c:pt idx="1135">
                  <c:v>338480</c:v>
                </c:pt>
                <c:pt idx="1136">
                  <c:v>683440</c:v>
                </c:pt>
                <c:pt idx="1137">
                  <c:v>567280</c:v>
                </c:pt>
                <c:pt idx="1138">
                  <c:v>654660</c:v>
                </c:pt>
                <c:pt idx="1139">
                  <c:v>2120000</c:v>
                </c:pt>
                <c:pt idx="1140">
                  <c:v>946320</c:v>
                </c:pt>
                <c:pt idx="1141">
                  <c:v>594240</c:v>
                </c:pt>
                <c:pt idx="1142">
                  <c:v>1090000</c:v>
                </c:pt>
                <c:pt idx="1143">
                  <c:v>979440</c:v>
                </c:pt>
                <c:pt idx="1144">
                  <c:v>1700000</c:v>
                </c:pt>
                <c:pt idx="1145">
                  <c:v>738630</c:v>
                </c:pt>
                <c:pt idx="1146">
                  <c:v>194850</c:v>
                </c:pt>
                <c:pt idx="1147">
                  <c:v>328800</c:v>
                </c:pt>
                <c:pt idx="1148">
                  <c:v>259100.00000000006</c:v>
                </c:pt>
                <c:pt idx="1149">
                  <c:v>280720</c:v>
                </c:pt>
                <c:pt idx="1150">
                  <c:v>523510.00000000006</c:v>
                </c:pt>
                <c:pt idx="1151">
                  <c:v>221440</c:v>
                </c:pt>
                <c:pt idx="1152">
                  <c:v>536370</c:v>
                </c:pt>
                <c:pt idx="1153">
                  <c:v>208410</c:v>
                </c:pt>
                <c:pt idx="1154">
                  <c:v>314430</c:v>
                </c:pt>
                <c:pt idx="1155">
                  <c:v>382110</c:v>
                </c:pt>
                <c:pt idx="1156">
                  <c:v>424480</c:v>
                </c:pt>
                <c:pt idx="1157">
                  <c:v>571340</c:v>
                </c:pt>
                <c:pt idx="1158">
                  <c:v>465200</c:v>
                </c:pt>
                <c:pt idx="1159">
                  <c:v>310780</c:v>
                </c:pt>
                <c:pt idx="1160">
                  <c:v>263400</c:v>
                </c:pt>
                <c:pt idx="1161">
                  <c:v>476840</c:v>
                </c:pt>
                <c:pt idx="1162">
                  <c:v>398340</c:v>
                </c:pt>
                <c:pt idx="1163">
                  <c:v>291110</c:v>
                </c:pt>
                <c:pt idx="1164">
                  <c:v>272440</c:v>
                </c:pt>
                <c:pt idx="1165">
                  <c:v>404100</c:v>
                </c:pt>
                <c:pt idx="1166">
                  <c:v>384210</c:v>
                </c:pt>
                <c:pt idx="1167">
                  <c:v>757320</c:v>
                </c:pt>
                <c:pt idx="1168">
                  <c:v>315870</c:v>
                </c:pt>
                <c:pt idx="1169">
                  <c:v>453830</c:v>
                </c:pt>
                <c:pt idx="1170">
                  <c:v>356440</c:v>
                </c:pt>
                <c:pt idx="1171">
                  <c:v>295360</c:v>
                </c:pt>
                <c:pt idx="1172">
                  <c:v>357210</c:v>
                </c:pt>
                <c:pt idx="1173">
                  <c:v>1330000</c:v>
                </c:pt>
                <c:pt idx="1174">
                  <c:v>899950</c:v>
                </c:pt>
                <c:pt idx="1175">
                  <c:v>481700</c:v>
                </c:pt>
                <c:pt idx="1176">
                  <c:v>665990</c:v>
                </c:pt>
                <c:pt idx="1177">
                  <c:v>790350</c:v>
                </c:pt>
                <c:pt idx="1178">
                  <c:v>1040000</c:v>
                </c:pt>
                <c:pt idx="1179">
                  <c:v>516970.00000000006</c:v>
                </c:pt>
                <c:pt idx="1180">
                  <c:v>449000</c:v>
                </c:pt>
                <c:pt idx="1181">
                  <c:v>1340000</c:v>
                </c:pt>
                <c:pt idx="1182">
                  <c:v>466000</c:v>
                </c:pt>
                <c:pt idx="1183">
                  <c:v>447520</c:v>
                </c:pt>
                <c:pt idx="1184">
                  <c:v>661110</c:v>
                </c:pt>
                <c:pt idx="1185">
                  <c:v>930720</c:v>
                </c:pt>
                <c:pt idx="1186">
                  <c:v>305740</c:v>
                </c:pt>
                <c:pt idx="1187">
                  <c:v>844930</c:v>
                </c:pt>
                <c:pt idx="1188">
                  <c:v>346430</c:v>
                </c:pt>
                <c:pt idx="1189">
                  <c:v>370220</c:v>
                </c:pt>
                <c:pt idx="1190">
                  <c:v>380470</c:v>
                </c:pt>
                <c:pt idx="1191">
                  <c:v>514240.00000000006</c:v>
                </c:pt>
                <c:pt idx="1192">
                  <c:v>778800</c:v>
                </c:pt>
                <c:pt idx="1193">
                  <c:v>745470</c:v>
                </c:pt>
                <c:pt idx="1194">
                  <c:v>528040</c:v>
                </c:pt>
                <c:pt idx="1195">
                  <c:v>655990</c:v>
                </c:pt>
                <c:pt idx="1196">
                  <c:v>288780</c:v>
                </c:pt>
                <c:pt idx="1197">
                  <c:v>446740</c:v>
                </c:pt>
                <c:pt idx="1198">
                  <c:v>989930</c:v>
                </c:pt>
                <c:pt idx="1199">
                  <c:v>1070000</c:v>
                </c:pt>
                <c:pt idx="1200">
                  <c:v>842330</c:v>
                </c:pt>
                <c:pt idx="1201">
                  <c:v>510070</c:v>
                </c:pt>
                <c:pt idx="1202">
                  <c:v>79730</c:v>
                </c:pt>
                <c:pt idx="1203">
                  <c:v>719170</c:v>
                </c:pt>
                <c:pt idx="1204">
                  <c:v>499980</c:v>
                </c:pt>
                <c:pt idx="1205">
                  <c:v>370360</c:v>
                </c:pt>
                <c:pt idx="1206">
                  <c:v>221550</c:v>
                </c:pt>
                <c:pt idx="1207">
                  <c:v>194770</c:v>
                </c:pt>
                <c:pt idx="1208">
                  <c:v>209240</c:v>
                </c:pt>
                <c:pt idx="1209">
                  <c:v>326020</c:v>
                </c:pt>
                <c:pt idx="1210">
                  <c:v>656930</c:v>
                </c:pt>
                <c:pt idx="1211">
                  <c:v>2870000</c:v>
                </c:pt>
                <c:pt idx="1212">
                  <c:v>494330</c:v>
                </c:pt>
                <c:pt idx="1213">
                  <c:v>452270</c:v>
                </c:pt>
                <c:pt idx="1214">
                  <c:v>593720</c:v>
                </c:pt>
                <c:pt idx="1215">
                  <c:v>339940</c:v>
                </c:pt>
                <c:pt idx="1216">
                  <c:v>945470</c:v>
                </c:pt>
                <c:pt idx="1217">
                  <c:v>564640</c:v>
                </c:pt>
                <c:pt idx="1218">
                  <c:v>189350</c:v>
                </c:pt>
                <c:pt idx="1219">
                  <c:v>954250</c:v>
                </c:pt>
                <c:pt idx="1220">
                  <c:v>407770</c:v>
                </c:pt>
                <c:pt idx="1221">
                  <c:v>250520.00000000003</c:v>
                </c:pt>
                <c:pt idx="1222">
                  <c:v>351450</c:v>
                </c:pt>
                <c:pt idx="1223">
                  <c:v>349540</c:v>
                </c:pt>
                <c:pt idx="1224">
                  <c:v>525960</c:v>
                </c:pt>
                <c:pt idx="1225">
                  <c:v>327810</c:v>
                </c:pt>
                <c:pt idx="1226">
                  <c:v>377040</c:v>
                </c:pt>
                <c:pt idx="1227">
                  <c:v>342300</c:v>
                </c:pt>
                <c:pt idx="1228">
                  <c:v>240740</c:v>
                </c:pt>
                <c:pt idx="1229">
                  <c:v>236850</c:v>
                </c:pt>
                <c:pt idx="1230">
                  <c:v>404370</c:v>
                </c:pt>
                <c:pt idx="1231">
                  <c:v>404180</c:v>
                </c:pt>
                <c:pt idx="1232">
                  <c:v>402230</c:v>
                </c:pt>
                <c:pt idx="1233">
                  <c:v>331580</c:v>
                </c:pt>
                <c:pt idx="1234">
                  <c:v>500290</c:v>
                </c:pt>
                <c:pt idx="1235">
                  <c:v>386090</c:v>
                </c:pt>
                <c:pt idx="1236">
                  <c:v>371320</c:v>
                </c:pt>
                <c:pt idx="1237">
                  <c:v>227610</c:v>
                </c:pt>
                <c:pt idx="1238">
                  <c:v>328170</c:v>
                </c:pt>
                <c:pt idx="1239">
                  <c:v>408990</c:v>
                </c:pt>
                <c:pt idx="1240">
                  <c:v>242800</c:v>
                </c:pt>
                <c:pt idx="1241">
                  <c:v>313950</c:v>
                </c:pt>
                <c:pt idx="1242">
                  <c:v>290230</c:v>
                </c:pt>
                <c:pt idx="1243">
                  <c:v>2860000</c:v>
                </c:pt>
                <c:pt idx="1244">
                  <c:v>836690</c:v>
                </c:pt>
                <c:pt idx="1245">
                  <c:v>419050</c:v>
                </c:pt>
                <c:pt idx="1246">
                  <c:v>439720</c:v>
                </c:pt>
                <c:pt idx="1247">
                  <c:v>343160</c:v>
                </c:pt>
                <c:pt idx="1248">
                  <c:v>239410</c:v>
                </c:pt>
                <c:pt idx="1249">
                  <c:v>316800</c:v>
                </c:pt>
                <c:pt idx="1250">
                  <c:v>213090</c:v>
                </c:pt>
                <c:pt idx="1251">
                  <c:v>448430</c:v>
                </c:pt>
                <c:pt idx="1252">
                  <c:v>497260</c:v>
                </c:pt>
                <c:pt idx="1253">
                  <c:v>435320</c:v>
                </c:pt>
                <c:pt idx="1254">
                  <c:v>197560</c:v>
                </c:pt>
                <c:pt idx="1255">
                  <c:v>255320</c:v>
                </c:pt>
                <c:pt idx="1256">
                  <c:v>416550</c:v>
                </c:pt>
                <c:pt idx="1257">
                  <c:v>494730</c:v>
                </c:pt>
                <c:pt idx="1258">
                  <c:v>442190</c:v>
                </c:pt>
                <c:pt idx="1259">
                  <c:v>730640</c:v>
                </c:pt>
                <c:pt idx="1260">
                  <c:v>418600</c:v>
                </c:pt>
                <c:pt idx="1261">
                  <c:v>603950</c:v>
                </c:pt>
                <c:pt idx="1262">
                  <c:v>357310</c:v>
                </c:pt>
                <c:pt idx="1263">
                  <c:v>480830</c:v>
                </c:pt>
                <c:pt idx="1264">
                  <c:v>394120</c:v>
                </c:pt>
                <c:pt idx="1265">
                  <c:v>609530</c:v>
                </c:pt>
                <c:pt idx="1266">
                  <c:v>1330000</c:v>
                </c:pt>
                <c:pt idx="1267">
                  <c:v>591630</c:v>
                </c:pt>
                <c:pt idx="1268">
                  <c:v>442230</c:v>
                </c:pt>
                <c:pt idx="1269">
                  <c:v>361000</c:v>
                </c:pt>
                <c:pt idx="1270">
                  <c:v>604380</c:v>
                </c:pt>
                <c:pt idx="1271">
                  <c:v>631820</c:v>
                </c:pt>
                <c:pt idx="1272">
                  <c:v>2270000</c:v>
                </c:pt>
                <c:pt idx="1273">
                  <c:v>813860</c:v>
                </c:pt>
                <c:pt idx="1274">
                  <c:v>571530</c:v>
                </c:pt>
                <c:pt idx="1275">
                  <c:v>476470</c:v>
                </c:pt>
                <c:pt idx="1276">
                  <c:v>232210</c:v>
                </c:pt>
                <c:pt idx="1277">
                  <c:v>254029.99999999997</c:v>
                </c:pt>
                <c:pt idx="1278">
                  <c:v>275720</c:v>
                </c:pt>
                <c:pt idx="1279">
                  <c:v>277280</c:v>
                </c:pt>
                <c:pt idx="1280">
                  <c:v>324030</c:v>
                </c:pt>
                <c:pt idx="1281">
                  <c:v>410180</c:v>
                </c:pt>
                <c:pt idx="1282">
                  <c:v>402920</c:v>
                </c:pt>
                <c:pt idx="1283">
                  <c:v>561800</c:v>
                </c:pt>
                <c:pt idx="1284">
                  <c:v>1080000</c:v>
                </c:pt>
                <c:pt idx="1285">
                  <c:v>503560</c:v>
                </c:pt>
                <c:pt idx="1286">
                  <c:v>638280</c:v>
                </c:pt>
                <c:pt idx="1287">
                  <c:v>551830</c:v>
                </c:pt>
                <c:pt idx="1288">
                  <c:v>648310</c:v>
                </c:pt>
                <c:pt idx="1289">
                  <c:v>590550</c:v>
                </c:pt>
                <c:pt idx="1290">
                  <c:v>316750</c:v>
                </c:pt>
                <c:pt idx="1291">
                  <c:v>228130</c:v>
                </c:pt>
                <c:pt idx="1292">
                  <c:v>235020</c:v>
                </c:pt>
                <c:pt idx="1293">
                  <c:v>265870</c:v>
                </c:pt>
                <c:pt idx="1294">
                  <c:v>287730</c:v>
                </c:pt>
                <c:pt idx="1295">
                  <c:v>328250</c:v>
                </c:pt>
                <c:pt idx="1296">
                  <c:v>417980</c:v>
                </c:pt>
                <c:pt idx="1297">
                  <c:v>491660</c:v>
                </c:pt>
                <c:pt idx="1298">
                  <c:v>414690</c:v>
                </c:pt>
                <c:pt idx="1299">
                  <c:v>316610</c:v>
                </c:pt>
                <c:pt idx="1300">
                  <c:v>324010</c:v>
                </c:pt>
                <c:pt idx="1301">
                  <c:v>384680</c:v>
                </c:pt>
                <c:pt idx="1302">
                  <c:v>603150</c:v>
                </c:pt>
                <c:pt idx="1303">
                  <c:v>286610</c:v>
                </c:pt>
                <c:pt idx="1304">
                  <c:v>562010</c:v>
                </c:pt>
                <c:pt idx="1305">
                  <c:v>365910</c:v>
                </c:pt>
                <c:pt idx="1306">
                  <c:v>224290</c:v>
                </c:pt>
                <c:pt idx="1307">
                  <c:v>261890</c:v>
                </c:pt>
                <c:pt idx="1308">
                  <c:v>519169.99999999988</c:v>
                </c:pt>
                <c:pt idx="1309">
                  <c:v>355200</c:v>
                </c:pt>
                <c:pt idx="1310">
                  <c:v>472300</c:v>
                </c:pt>
                <c:pt idx="1311">
                  <c:v>500530.00000000006</c:v>
                </c:pt>
                <c:pt idx="1312">
                  <c:v>542320</c:v>
                </c:pt>
                <c:pt idx="1313">
                  <c:v>734280</c:v>
                </c:pt>
                <c:pt idx="1314">
                  <c:v>564360</c:v>
                </c:pt>
                <c:pt idx="1315">
                  <c:v>551550</c:v>
                </c:pt>
                <c:pt idx="1316">
                  <c:v>459540</c:v>
                </c:pt>
                <c:pt idx="1317">
                  <c:v>582610</c:v>
                </c:pt>
                <c:pt idx="1318">
                  <c:v>503660</c:v>
                </c:pt>
                <c:pt idx="1319">
                  <c:v>457510</c:v>
                </c:pt>
                <c:pt idx="1320">
                  <c:v>403570</c:v>
                </c:pt>
                <c:pt idx="1321">
                  <c:v>309550</c:v>
                </c:pt>
                <c:pt idx="1322">
                  <c:v>509789.99999999994</c:v>
                </c:pt>
                <c:pt idx="1323">
                  <c:v>695560</c:v>
                </c:pt>
                <c:pt idx="1324">
                  <c:v>320470</c:v>
                </c:pt>
                <c:pt idx="1325">
                  <c:v>514700.00000000006</c:v>
                </c:pt>
                <c:pt idx="1326">
                  <c:v>349960</c:v>
                </c:pt>
                <c:pt idx="1327">
                  <c:v>609860</c:v>
                </c:pt>
                <c:pt idx="1328">
                  <c:v>412060</c:v>
                </c:pt>
                <c:pt idx="1329">
                  <c:v>327630</c:v>
                </c:pt>
                <c:pt idx="1330">
                  <c:v>416280</c:v>
                </c:pt>
                <c:pt idx="1331">
                  <c:v>315870</c:v>
                </c:pt>
                <c:pt idx="1332">
                  <c:v>1930000</c:v>
                </c:pt>
                <c:pt idx="1333">
                  <c:v>638330</c:v>
                </c:pt>
                <c:pt idx="1334">
                  <c:v>654070</c:v>
                </c:pt>
                <c:pt idx="1335">
                  <c:v>402780</c:v>
                </c:pt>
                <c:pt idx="1336">
                  <c:v>300890</c:v>
                </c:pt>
                <c:pt idx="1337">
                  <c:v>461740</c:v>
                </c:pt>
                <c:pt idx="1338">
                  <c:v>282290</c:v>
                </c:pt>
                <c:pt idx="1339">
                  <c:v>337100</c:v>
                </c:pt>
                <c:pt idx="1340">
                  <c:v>452770</c:v>
                </c:pt>
                <c:pt idx="1341">
                  <c:v>380070</c:v>
                </c:pt>
                <c:pt idx="1342">
                  <c:v>704800</c:v>
                </c:pt>
                <c:pt idx="1343">
                  <c:v>915800</c:v>
                </c:pt>
                <c:pt idx="1344">
                  <c:v>475700</c:v>
                </c:pt>
                <c:pt idx="1345">
                  <c:v>479570</c:v>
                </c:pt>
                <c:pt idx="1346">
                  <c:v>321910</c:v>
                </c:pt>
                <c:pt idx="1347">
                  <c:v>459910</c:v>
                </c:pt>
                <c:pt idx="1348">
                  <c:v>538090</c:v>
                </c:pt>
                <c:pt idx="1349">
                  <c:v>270950</c:v>
                </c:pt>
                <c:pt idx="1350">
                  <c:v>330660</c:v>
                </c:pt>
                <c:pt idx="1351">
                  <c:v>366790</c:v>
                </c:pt>
                <c:pt idx="1352">
                  <c:v>337220</c:v>
                </c:pt>
                <c:pt idx="1353">
                  <c:v>414670</c:v>
                </c:pt>
                <c:pt idx="1354">
                  <c:v>294930</c:v>
                </c:pt>
                <c:pt idx="1355">
                  <c:v>710730</c:v>
                </c:pt>
                <c:pt idx="1356">
                  <c:v>774670</c:v>
                </c:pt>
                <c:pt idx="1357">
                  <c:v>923400</c:v>
                </c:pt>
                <c:pt idx="1358">
                  <c:v>776880</c:v>
                </c:pt>
                <c:pt idx="1359">
                  <c:v>247520</c:v>
                </c:pt>
                <c:pt idx="1360">
                  <c:v>579370</c:v>
                </c:pt>
                <c:pt idx="1361">
                  <c:v>449220</c:v>
                </c:pt>
                <c:pt idx="1362">
                  <c:v>788150</c:v>
                </c:pt>
                <c:pt idx="1363">
                  <c:v>413720</c:v>
                </c:pt>
                <c:pt idx="1364">
                  <c:v>340050</c:v>
                </c:pt>
                <c:pt idx="1365">
                  <c:v>534030</c:v>
                </c:pt>
                <c:pt idx="1366">
                  <c:v>299930</c:v>
                </c:pt>
                <c:pt idx="1367">
                  <c:v>335540</c:v>
                </c:pt>
                <c:pt idx="1368">
                  <c:v>185010</c:v>
                </c:pt>
                <c:pt idx="1369">
                  <c:v>227080</c:v>
                </c:pt>
                <c:pt idx="1370">
                  <c:v>180630</c:v>
                </c:pt>
                <c:pt idx="1371">
                  <c:v>177980</c:v>
                </c:pt>
                <c:pt idx="1372">
                  <c:v>189070</c:v>
                </c:pt>
                <c:pt idx="1373">
                  <c:v>522929.99999999988</c:v>
                </c:pt>
                <c:pt idx="1374">
                  <c:v>503680</c:v>
                </c:pt>
                <c:pt idx="1375">
                  <c:v>715070</c:v>
                </c:pt>
                <c:pt idx="1376">
                  <c:v>226540</c:v>
                </c:pt>
                <c:pt idx="1377">
                  <c:v>391600</c:v>
                </c:pt>
                <c:pt idx="1378">
                  <c:v>254830</c:v>
                </c:pt>
                <c:pt idx="1379">
                  <c:v>190720</c:v>
                </c:pt>
                <c:pt idx="1380">
                  <c:v>517940.00000000006</c:v>
                </c:pt>
                <c:pt idx="1381">
                  <c:v>344240</c:v>
                </c:pt>
                <c:pt idx="1382">
                  <c:v>284450</c:v>
                </c:pt>
                <c:pt idx="1383">
                  <c:v>292880</c:v>
                </c:pt>
                <c:pt idx="1384">
                  <c:v>322290</c:v>
                </c:pt>
                <c:pt idx="1385">
                  <c:v>217260</c:v>
                </c:pt>
                <c:pt idx="1386">
                  <c:v>266220</c:v>
                </c:pt>
                <c:pt idx="1387">
                  <c:v>307020</c:v>
                </c:pt>
                <c:pt idx="1388">
                  <c:v>1410000</c:v>
                </c:pt>
                <c:pt idx="1389">
                  <c:v>505410</c:v>
                </c:pt>
                <c:pt idx="1390">
                  <c:v>458310</c:v>
                </c:pt>
                <c:pt idx="1391">
                  <c:v>202540</c:v>
                </c:pt>
                <c:pt idx="1392">
                  <c:v>266900</c:v>
                </c:pt>
                <c:pt idx="1393">
                  <c:v>373870</c:v>
                </c:pt>
                <c:pt idx="1394">
                  <c:v>475810</c:v>
                </c:pt>
                <c:pt idx="1395">
                  <c:v>429570</c:v>
                </c:pt>
                <c:pt idx="1396">
                  <c:v>427560</c:v>
                </c:pt>
                <c:pt idx="1397">
                  <c:v>415010</c:v>
                </c:pt>
                <c:pt idx="1398">
                  <c:v>1290000</c:v>
                </c:pt>
                <c:pt idx="1399">
                  <c:v>843620</c:v>
                </c:pt>
                <c:pt idx="1400">
                  <c:v>510630</c:v>
                </c:pt>
                <c:pt idx="1401">
                  <c:v>499090</c:v>
                </c:pt>
                <c:pt idx="1402">
                  <c:v>273420</c:v>
                </c:pt>
                <c:pt idx="1403">
                  <c:v>822940</c:v>
                </c:pt>
                <c:pt idx="1404">
                  <c:v>1470000</c:v>
                </c:pt>
                <c:pt idx="1405">
                  <c:v>719050</c:v>
                </c:pt>
                <c:pt idx="1406">
                  <c:v>496300</c:v>
                </c:pt>
                <c:pt idx="1407">
                  <c:v>698180</c:v>
                </c:pt>
                <c:pt idx="1408">
                  <c:v>701160</c:v>
                </c:pt>
                <c:pt idx="1409">
                  <c:v>536110</c:v>
                </c:pt>
                <c:pt idx="1410">
                  <c:v>1180000</c:v>
                </c:pt>
                <c:pt idx="1411">
                  <c:v>610720</c:v>
                </c:pt>
                <c:pt idx="1412">
                  <c:v>968120</c:v>
                </c:pt>
                <c:pt idx="1413">
                  <c:v>983280</c:v>
                </c:pt>
                <c:pt idx="1414">
                  <c:v>740610</c:v>
                </c:pt>
                <c:pt idx="1415">
                  <c:v>719580</c:v>
                </c:pt>
                <c:pt idx="1416">
                  <c:v>731800</c:v>
                </c:pt>
                <c:pt idx="1417">
                  <c:v>380690</c:v>
                </c:pt>
                <c:pt idx="1418">
                  <c:v>579280</c:v>
                </c:pt>
                <c:pt idx="1419">
                  <c:v>310530</c:v>
                </c:pt>
                <c:pt idx="1420">
                  <c:v>224360</c:v>
                </c:pt>
                <c:pt idx="1421">
                  <c:v>550550</c:v>
                </c:pt>
                <c:pt idx="1422">
                  <c:v>332790</c:v>
                </c:pt>
                <c:pt idx="1423">
                  <c:v>679060</c:v>
                </c:pt>
                <c:pt idx="1424">
                  <c:v>323000</c:v>
                </c:pt>
                <c:pt idx="1425">
                  <c:v>375860</c:v>
                </c:pt>
                <c:pt idx="1426">
                  <c:v>679360</c:v>
                </c:pt>
                <c:pt idx="1427">
                  <c:v>612980</c:v>
                </c:pt>
                <c:pt idx="1428">
                  <c:v>363930</c:v>
                </c:pt>
                <c:pt idx="1429">
                  <c:v>313730</c:v>
                </c:pt>
                <c:pt idx="1430">
                  <c:v>669740</c:v>
                </c:pt>
                <c:pt idx="1431">
                  <c:v>218200</c:v>
                </c:pt>
                <c:pt idx="1432">
                  <c:v>286590</c:v>
                </c:pt>
                <c:pt idx="1433">
                  <c:v>476290</c:v>
                </c:pt>
                <c:pt idx="1434">
                  <c:v>405890</c:v>
                </c:pt>
                <c:pt idx="1435">
                  <c:v>282880</c:v>
                </c:pt>
                <c:pt idx="1436">
                  <c:v>342990</c:v>
                </c:pt>
                <c:pt idx="1437">
                  <c:v>309420</c:v>
                </c:pt>
                <c:pt idx="1438">
                  <c:v>237370</c:v>
                </c:pt>
                <c:pt idx="1439">
                  <c:v>319050</c:v>
                </c:pt>
                <c:pt idx="1440">
                  <c:v>402010</c:v>
                </c:pt>
                <c:pt idx="1441">
                  <c:v>326180</c:v>
                </c:pt>
                <c:pt idx="1442">
                  <c:v>14380</c:v>
                </c:pt>
                <c:pt idx="1443">
                  <c:v>419750</c:v>
                </c:pt>
                <c:pt idx="1444">
                  <c:v>243740</c:v>
                </c:pt>
                <c:pt idx="1445">
                  <c:v>228140</c:v>
                </c:pt>
                <c:pt idx="1446">
                  <c:v>485230</c:v>
                </c:pt>
                <c:pt idx="1447">
                  <c:v>343500</c:v>
                </c:pt>
                <c:pt idx="1448">
                  <c:v>412180</c:v>
                </c:pt>
                <c:pt idx="1449">
                  <c:v>670790</c:v>
                </c:pt>
                <c:pt idx="1450">
                  <c:v>334960</c:v>
                </c:pt>
                <c:pt idx="1451">
                  <c:v>494330</c:v>
                </c:pt>
                <c:pt idx="1452">
                  <c:v>435650</c:v>
                </c:pt>
                <c:pt idx="1453">
                  <c:v>465150</c:v>
                </c:pt>
                <c:pt idx="1454">
                  <c:v>514370</c:v>
                </c:pt>
                <c:pt idx="1455">
                  <c:v>409680</c:v>
                </c:pt>
                <c:pt idx="1456">
                  <c:v>300610</c:v>
                </c:pt>
                <c:pt idx="1457">
                  <c:v>842030</c:v>
                </c:pt>
                <c:pt idx="1458">
                  <c:v>739160</c:v>
                </c:pt>
                <c:pt idx="1459">
                  <c:v>789640</c:v>
                </c:pt>
                <c:pt idx="1460">
                  <c:v>517130</c:v>
                </c:pt>
                <c:pt idx="1461">
                  <c:v>416170</c:v>
                </c:pt>
                <c:pt idx="1462">
                  <c:v>857230</c:v>
                </c:pt>
                <c:pt idx="1463">
                  <c:v>654160</c:v>
                </c:pt>
                <c:pt idx="1464">
                  <c:v>1230000</c:v>
                </c:pt>
                <c:pt idx="1465">
                  <c:v>521989.99999999994</c:v>
                </c:pt>
                <c:pt idx="1466">
                  <c:v>313550</c:v>
                </c:pt>
                <c:pt idx="1467">
                  <c:v>480100</c:v>
                </c:pt>
                <c:pt idx="1468">
                  <c:v>449710</c:v>
                </c:pt>
                <c:pt idx="1469">
                  <c:v>974710</c:v>
                </c:pt>
                <c:pt idx="1470">
                  <c:v>448170</c:v>
                </c:pt>
                <c:pt idx="1471">
                  <c:v>333670</c:v>
                </c:pt>
                <c:pt idx="1472">
                  <c:v>364670</c:v>
                </c:pt>
                <c:pt idx="1473">
                  <c:v>501040.00000000006</c:v>
                </c:pt>
                <c:pt idx="1474">
                  <c:v>273510</c:v>
                </c:pt>
                <c:pt idx="1475">
                  <c:v>436440</c:v>
                </c:pt>
                <c:pt idx="1476">
                  <c:v>626510</c:v>
                </c:pt>
                <c:pt idx="1477">
                  <c:v>502050</c:v>
                </c:pt>
                <c:pt idx="1478">
                  <c:v>324680</c:v>
                </c:pt>
                <c:pt idx="1479">
                  <c:v>391820</c:v>
                </c:pt>
                <c:pt idx="1480">
                  <c:v>505909.99999999994</c:v>
                </c:pt>
                <c:pt idx="1481">
                  <c:v>594260</c:v>
                </c:pt>
                <c:pt idx="1482">
                  <c:v>327760</c:v>
                </c:pt>
                <c:pt idx="1483">
                  <c:v>423440</c:v>
                </c:pt>
                <c:pt idx="1484">
                  <c:v>233970</c:v>
                </c:pt>
                <c:pt idx="1485">
                  <c:v>249190</c:v>
                </c:pt>
                <c:pt idx="1486">
                  <c:v>205300</c:v>
                </c:pt>
                <c:pt idx="1487">
                  <c:v>157710</c:v>
                </c:pt>
                <c:pt idx="1488">
                  <c:v>282570</c:v>
                </c:pt>
                <c:pt idx="1489">
                  <c:v>1980000</c:v>
                </c:pt>
                <c:pt idx="1490">
                  <c:v>357380</c:v>
                </c:pt>
                <c:pt idx="1491">
                  <c:v>155330</c:v>
                </c:pt>
                <c:pt idx="1492">
                  <c:v>227470</c:v>
                </c:pt>
                <c:pt idx="1493">
                  <c:v>426800</c:v>
                </c:pt>
                <c:pt idx="1494">
                  <c:v>396100</c:v>
                </c:pt>
                <c:pt idx="1495">
                  <c:v>380760</c:v>
                </c:pt>
                <c:pt idx="1496">
                  <c:v>459730</c:v>
                </c:pt>
                <c:pt idx="1497">
                  <c:v>474630</c:v>
                </c:pt>
                <c:pt idx="1498">
                  <c:v>315580</c:v>
                </c:pt>
                <c:pt idx="1499">
                  <c:v>262640</c:v>
                </c:pt>
                <c:pt idx="1500">
                  <c:v>426080</c:v>
                </c:pt>
                <c:pt idx="1501">
                  <c:v>441020</c:v>
                </c:pt>
                <c:pt idx="1502">
                  <c:v>211680</c:v>
                </c:pt>
                <c:pt idx="1503">
                  <c:v>302200</c:v>
                </c:pt>
                <c:pt idx="1504">
                  <c:v>480750</c:v>
                </c:pt>
                <c:pt idx="1505">
                  <c:v>366500</c:v>
                </c:pt>
                <c:pt idx="1506">
                  <c:v>366000</c:v>
                </c:pt>
                <c:pt idx="1507">
                  <c:v>498370</c:v>
                </c:pt>
                <c:pt idx="1508">
                  <c:v>856380</c:v>
                </c:pt>
                <c:pt idx="1509">
                  <c:v>632900</c:v>
                </c:pt>
                <c:pt idx="1510">
                  <c:v>454540</c:v>
                </c:pt>
                <c:pt idx="1511">
                  <c:v>297690</c:v>
                </c:pt>
                <c:pt idx="1512">
                  <c:v>490850</c:v>
                </c:pt>
                <c:pt idx="1513">
                  <c:v>689970</c:v>
                </c:pt>
                <c:pt idx="1514">
                  <c:v>260279.99999999994</c:v>
                </c:pt>
                <c:pt idx="1515">
                  <c:v>254210</c:v>
                </c:pt>
                <c:pt idx="1516">
                  <c:v>251800.00000000003</c:v>
                </c:pt>
                <c:pt idx="1517">
                  <c:v>314220</c:v>
                </c:pt>
                <c:pt idx="1518">
                  <c:v>467660</c:v>
                </c:pt>
                <c:pt idx="1519">
                  <c:v>2290000</c:v>
                </c:pt>
                <c:pt idx="1520">
                  <c:v>1110000</c:v>
                </c:pt>
                <c:pt idx="1521">
                  <c:v>967940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D3-42DC-87C0-D98DB0181423}"/>
            </c:ext>
          </c:extLst>
        </c:ser>
        <c:ser>
          <c:idx val="1"/>
          <c:order val="1"/>
          <c:tx>
            <c:strRef>
              <c:f>data!$U$1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data!$U$2:$U$1523</c:f>
              <c:numCache>
                <c:formatCode>m/d/yyyy</c:formatCode>
                <c:ptCount val="1522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43836</c:v>
                </c:pt>
                <c:pt idx="4">
                  <c:v>43837</c:v>
                </c:pt>
                <c:pt idx="5">
                  <c:v>43838</c:v>
                </c:pt>
                <c:pt idx="6">
                  <c:v>43839</c:v>
                </c:pt>
                <c:pt idx="7">
                  <c:v>43840</c:v>
                </c:pt>
                <c:pt idx="8">
                  <c:v>43843</c:v>
                </c:pt>
                <c:pt idx="9">
                  <c:v>43844</c:v>
                </c:pt>
                <c:pt idx="10">
                  <c:v>43845</c:v>
                </c:pt>
                <c:pt idx="11">
                  <c:v>43846</c:v>
                </c:pt>
                <c:pt idx="12">
                  <c:v>43847</c:v>
                </c:pt>
                <c:pt idx="13">
                  <c:v>43850</c:v>
                </c:pt>
                <c:pt idx="14">
                  <c:v>43851</c:v>
                </c:pt>
                <c:pt idx="15">
                  <c:v>43852</c:v>
                </c:pt>
                <c:pt idx="16">
                  <c:v>43853</c:v>
                </c:pt>
                <c:pt idx="17">
                  <c:v>43854</c:v>
                </c:pt>
                <c:pt idx="18">
                  <c:v>43857</c:v>
                </c:pt>
                <c:pt idx="19">
                  <c:v>43858</c:v>
                </c:pt>
                <c:pt idx="20">
                  <c:v>43859</c:v>
                </c:pt>
                <c:pt idx="21">
                  <c:v>43860</c:v>
                </c:pt>
                <c:pt idx="22">
                  <c:v>43861</c:v>
                </c:pt>
                <c:pt idx="23">
                  <c:v>43862</c:v>
                </c:pt>
                <c:pt idx="24">
                  <c:v>43864</c:v>
                </c:pt>
                <c:pt idx="25">
                  <c:v>43865</c:v>
                </c:pt>
                <c:pt idx="26">
                  <c:v>43866</c:v>
                </c:pt>
                <c:pt idx="27">
                  <c:v>43867</c:v>
                </c:pt>
                <c:pt idx="28">
                  <c:v>43868</c:v>
                </c:pt>
                <c:pt idx="29">
                  <c:v>43871</c:v>
                </c:pt>
                <c:pt idx="30">
                  <c:v>43872</c:v>
                </c:pt>
                <c:pt idx="31">
                  <c:v>43873</c:v>
                </c:pt>
                <c:pt idx="32">
                  <c:v>43874</c:v>
                </c:pt>
                <c:pt idx="33">
                  <c:v>43875</c:v>
                </c:pt>
                <c:pt idx="34">
                  <c:v>43878</c:v>
                </c:pt>
                <c:pt idx="35">
                  <c:v>43879</c:v>
                </c:pt>
                <c:pt idx="36">
                  <c:v>43880</c:v>
                </c:pt>
                <c:pt idx="37">
                  <c:v>43881</c:v>
                </c:pt>
                <c:pt idx="38">
                  <c:v>43885</c:v>
                </c:pt>
                <c:pt idx="39">
                  <c:v>43886</c:v>
                </c:pt>
                <c:pt idx="40">
                  <c:v>43887</c:v>
                </c:pt>
                <c:pt idx="41">
                  <c:v>43888</c:v>
                </c:pt>
                <c:pt idx="42">
                  <c:v>43889</c:v>
                </c:pt>
                <c:pt idx="43">
                  <c:v>43892</c:v>
                </c:pt>
                <c:pt idx="44">
                  <c:v>43893</c:v>
                </c:pt>
                <c:pt idx="45">
                  <c:v>43894</c:v>
                </c:pt>
                <c:pt idx="46">
                  <c:v>43895</c:v>
                </c:pt>
                <c:pt idx="47">
                  <c:v>43896</c:v>
                </c:pt>
                <c:pt idx="48">
                  <c:v>43899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43906</c:v>
                </c:pt>
                <c:pt idx="53">
                  <c:v>43907</c:v>
                </c:pt>
                <c:pt idx="54">
                  <c:v>43908</c:v>
                </c:pt>
                <c:pt idx="55">
                  <c:v>43909</c:v>
                </c:pt>
                <c:pt idx="56">
                  <c:v>43910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43920</c:v>
                </c:pt>
                <c:pt idx="63">
                  <c:v>43921</c:v>
                </c:pt>
                <c:pt idx="64">
                  <c:v>43922</c:v>
                </c:pt>
                <c:pt idx="65">
                  <c:v>43924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43936</c:v>
                </c:pt>
                <c:pt idx="71">
                  <c:v>43937</c:v>
                </c:pt>
                <c:pt idx="72">
                  <c:v>43938</c:v>
                </c:pt>
                <c:pt idx="73">
                  <c:v>43941</c:v>
                </c:pt>
                <c:pt idx="74">
                  <c:v>43942</c:v>
                </c:pt>
                <c:pt idx="75">
                  <c:v>43943</c:v>
                </c:pt>
                <c:pt idx="76">
                  <c:v>43944</c:v>
                </c:pt>
                <c:pt idx="77">
                  <c:v>43945</c:v>
                </c:pt>
                <c:pt idx="78">
                  <c:v>43948</c:v>
                </c:pt>
                <c:pt idx="79">
                  <c:v>43949</c:v>
                </c:pt>
                <c:pt idx="80">
                  <c:v>43950</c:v>
                </c:pt>
                <c:pt idx="81">
                  <c:v>43951</c:v>
                </c:pt>
                <c:pt idx="82">
                  <c:v>43955</c:v>
                </c:pt>
                <c:pt idx="83">
                  <c:v>43956</c:v>
                </c:pt>
                <c:pt idx="84">
                  <c:v>43957</c:v>
                </c:pt>
                <c:pt idx="85">
                  <c:v>43958</c:v>
                </c:pt>
                <c:pt idx="86">
                  <c:v>43959</c:v>
                </c:pt>
                <c:pt idx="87">
                  <c:v>43962</c:v>
                </c:pt>
                <c:pt idx="88">
                  <c:v>43963</c:v>
                </c:pt>
                <c:pt idx="89">
                  <c:v>43964</c:v>
                </c:pt>
                <c:pt idx="90">
                  <c:v>43965</c:v>
                </c:pt>
                <c:pt idx="91">
                  <c:v>43966</c:v>
                </c:pt>
                <c:pt idx="92">
                  <c:v>43969</c:v>
                </c:pt>
                <c:pt idx="93">
                  <c:v>43970</c:v>
                </c:pt>
                <c:pt idx="94">
                  <c:v>43971</c:v>
                </c:pt>
                <c:pt idx="95">
                  <c:v>43972</c:v>
                </c:pt>
                <c:pt idx="96">
                  <c:v>43973</c:v>
                </c:pt>
                <c:pt idx="97">
                  <c:v>43977</c:v>
                </c:pt>
                <c:pt idx="98">
                  <c:v>43978</c:v>
                </c:pt>
                <c:pt idx="99">
                  <c:v>43979</c:v>
                </c:pt>
                <c:pt idx="100">
                  <c:v>43980</c:v>
                </c:pt>
                <c:pt idx="101">
                  <c:v>43983</c:v>
                </c:pt>
                <c:pt idx="102">
                  <c:v>43984</c:v>
                </c:pt>
                <c:pt idx="103">
                  <c:v>43985</c:v>
                </c:pt>
                <c:pt idx="104">
                  <c:v>43986</c:v>
                </c:pt>
                <c:pt idx="105">
                  <c:v>43987</c:v>
                </c:pt>
                <c:pt idx="106">
                  <c:v>43990</c:v>
                </c:pt>
                <c:pt idx="107">
                  <c:v>43991</c:v>
                </c:pt>
                <c:pt idx="108">
                  <c:v>43992</c:v>
                </c:pt>
                <c:pt idx="109">
                  <c:v>43993</c:v>
                </c:pt>
                <c:pt idx="110">
                  <c:v>43994</c:v>
                </c:pt>
                <c:pt idx="111">
                  <c:v>43997</c:v>
                </c:pt>
                <c:pt idx="112">
                  <c:v>43998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44004</c:v>
                </c:pt>
                <c:pt idx="117">
                  <c:v>44005</c:v>
                </c:pt>
                <c:pt idx="118">
                  <c:v>44006</c:v>
                </c:pt>
                <c:pt idx="119">
                  <c:v>44007</c:v>
                </c:pt>
                <c:pt idx="120">
                  <c:v>44008</c:v>
                </c:pt>
                <c:pt idx="121">
                  <c:v>44011</c:v>
                </c:pt>
                <c:pt idx="122">
                  <c:v>44012</c:v>
                </c:pt>
                <c:pt idx="123">
                  <c:v>44013</c:v>
                </c:pt>
                <c:pt idx="124">
                  <c:v>44014</c:v>
                </c:pt>
                <c:pt idx="125">
                  <c:v>44015</c:v>
                </c:pt>
                <c:pt idx="126">
                  <c:v>44018</c:v>
                </c:pt>
                <c:pt idx="127">
                  <c:v>44019</c:v>
                </c:pt>
                <c:pt idx="128">
                  <c:v>44020</c:v>
                </c:pt>
                <c:pt idx="129">
                  <c:v>44021</c:v>
                </c:pt>
                <c:pt idx="130">
                  <c:v>44022</c:v>
                </c:pt>
                <c:pt idx="131">
                  <c:v>44025</c:v>
                </c:pt>
                <c:pt idx="132">
                  <c:v>44026</c:v>
                </c:pt>
                <c:pt idx="133">
                  <c:v>44027</c:v>
                </c:pt>
                <c:pt idx="134">
                  <c:v>44028</c:v>
                </c:pt>
                <c:pt idx="135">
                  <c:v>44029</c:v>
                </c:pt>
                <c:pt idx="136">
                  <c:v>44032</c:v>
                </c:pt>
                <c:pt idx="137">
                  <c:v>44033</c:v>
                </c:pt>
                <c:pt idx="138">
                  <c:v>44034</c:v>
                </c:pt>
                <c:pt idx="139">
                  <c:v>44035</c:v>
                </c:pt>
                <c:pt idx="140">
                  <c:v>44036</c:v>
                </c:pt>
                <c:pt idx="141">
                  <c:v>44039</c:v>
                </c:pt>
                <c:pt idx="142">
                  <c:v>44040</c:v>
                </c:pt>
                <c:pt idx="143">
                  <c:v>44041</c:v>
                </c:pt>
                <c:pt idx="144">
                  <c:v>44042</c:v>
                </c:pt>
                <c:pt idx="145">
                  <c:v>44043</c:v>
                </c:pt>
                <c:pt idx="146">
                  <c:v>44046</c:v>
                </c:pt>
                <c:pt idx="147">
                  <c:v>44047</c:v>
                </c:pt>
                <c:pt idx="148">
                  <c:v>44048</c:v>
                </c:pt>
                <c:pt idx="149">
                  <c:v>44049</c:v>
                </c:pt>
                <c:pt idx="150">
                  <c:v>44050</c:v>
                </c:pt>
                <c:pt idx="151">
                  <c:v>44053</c:v>
                </c:pt>
                <c:pt idx="152">
                  <c:v>44054</c:v>
                </c:pt>
                <c:pt idx="153">
                  <c:v>44055</c:v>
                </c:pt>
                <c:pt idx="154">
                  <c:v>44056</c:v>
                </c:pt>
                <c:pt idx="155">
                  <c:v>44057</c:v>
                </c:pt>
                <c:pt idx="156">
                  <c:v>44060</c:v>
                </c:pt>
                <c:pt idx="157">
                  <c:v>44061</c:v>
                </c:pt>
                <c:pt idx="158">
                  <c:v>44062</c:v>
                </c:pt>
                <c:pt idx="159">
                  <c:v>44063</c:v>
                </c:pt>
                <c:pt idx="160">
                  <c:v>44064</c:v>
                </c:pt>
                <c:pt idx="161">
                  <c:v>44067</c:v>
                </c:pt>
                <c:pt idx="162">
                  <c:v>44068</c:v>
                </c:pt>
                <c:pt idx="163">
                  <c:v>44069</c:v>
                </c:pt>
                <c:pt idx="164">
                  <c:v>44070</c:v>
                </c:pt>
                <c:pt idx="165">
                  <c:v>44071</c:v>
                </c:pt>
                <c:pt idx="166">
                  <c:v>44074</c:v>
                </c:pt>
                <c:pt idx="167">
                  <c:v>44075</c:v>
                </c:pt>
                <c:pt idx="168">
                  <c:v>44076</c:v>
                </c:pt>
                <c:pt idx="169">
                  <c:v>44077</c:v>
                </c:pt>
                <c:pt idx="170">
                  <c:v>44078</c:v>
                </c:pt>
                <c:pt idx="171">
                  <c:v>44081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44109</c:v>
                </c:pt>
                <c:pt idx="191">
                  <c:v>44110</c:v>
                </c:pt>
                <c:pt idx="192">
                  <c:v>44111</c:v>
                </c:pt>
                <c:pt idx="193">
                  <c:v>44112</c:v>
                </c:pt>
                <c:pt idx="194">
                  <c:v>44113</c:v>
                </c:pt>
                <c:pt idx="195">
                  <c:v>44116</c:v>
                </c:pt>
                <c:pt idx="196">
                  <c:v>44117</c:v>
                </c:pt>
                <c:pt idx="197">
                  <c:v>44118</c:v>
                </c:pt>
                <c:pt idx="198">
                  <c:v>44119</c:v>
                </c:pt>
                <c:pt idx="199">
                  <c:v>44120</c:v>
                </c:pt>
                <c:pt idx="200">
                  <c:v>44123</c:v>
                </c:pt>
                <c:pt idx="201">
                  <c:v>44124</c:v>
                </c:pt>
                <c:pt idx="202">
                  <c:v>44125</c:v>
                </c:pt>
                <c:pt idx="203">
                  <c:v>44126</c:v>
                </c:pt>
                <c:pt idx="204">
                  <c:v>44127</c:v>
                </c:pt>
                <c:pt idx="205">
                  <c:v>44130</c:v>
                </c:pt>
                <c:pt idx="206">
                  <c:v>44131</c:v>
                </c:pt>
                <c:pt idx="207">
                  <c:v>44132</c:v>
                </c:pt>
                <c:pt idx="208">
                  <c:v>44133</c:v>
                </c:pt>
                <c:pt idx="209">
                  <c:v>44134</c:v>
                </c:pt>
                <c:pt idx="210">
                  <c:v>44137</c:v>
                </c:pt>
                <c:pt idx="211">
                  <c:v>44138</c:v>
                </c:pt>
                <c:pt idx="212">
                  <c:v>44139</c:v>
                </c:pt>
                <c:pt idx="213">
                  <c:v>44140</c:v>
                </c:pt>
                <c:pt idx="214">
                  <c:v>44141</c:v>
                </c:pt>
                <c:pt idx="215">
                  <c:v>44144</c:v>
                </c:pt>
                <c:pt idx="216">
                  <c:v>44145</c:v>
                </c:pt>
                <c:pt idx="217">
                  <c:v>44146</c:v>
                </c:pt>
                <c:pt idx="218">
                  <c:v>44147</c:v>
                </c:pt>
                <c:pt idx="219">
                  <c:v>44148</c:v>
                </c:pt>
                <c:pt idx="220">
                  <c:v>44152</c:v>
                </c:pt>
                <c:pt idx="221">
                  <c:v>44153</c:v>
                </c:pt>
                <c:pt idx="222">
                  <c:v>44154</c:v>
                </c:pt>
                <c:pt idx="223">
                  <c:v>44155</c:v>
                </c:pt>
                <c:pt idx="224">
                  <c:v>44158</c:v>
                </c:pt>
                <c:pt idx="225">
                  <c:v>44159</c:v>
                </c:pt>
                <c:pt idx="226">
                  <c:v>44160</c:v>
                </c:pt>
                <c:pt idx="227">
                  <c:v>44161</c:v>
                </c:pt>
                <c:pt idx="228">
                  <c:v>44162</c:v>
                </c:pt>
                <c:pt idx="229">
                  <c:v>44166</c:v>
                </c:pt>
                <c:pt idx="230">
                  <c:v>44167</c:v>
                </c:pt>
                <c:pt idx="231">
                  <c:v>44168</c:v>
                </c:pt>
                <c:pt idx="232">
                  <c:v>44169</c:v>
                </c:pt>
                <c:pt idx="233">
                  <c:v>44172</c:v>
                </c:pt>
                <c:pt idx="234">
                  <c:v>44173</c:v>
                </c:pt>
                <c:pt idx="235">
                  <c:v>44174</c:v>
                </c:pt>
                <c:pt idx="236">
                  <c:v>44175</c:v>
                </c:pt>
                <c:pt idx="237">
                  <c:v>44176</c:v>
                </c:pt>
                <c:pt idx="238">
                  <c:v>44179</c:v>
                </c:pt>
                <c:pt idx="239">
                  <c:v>44180</c:v>
                </c:pt>
                <c:pt idx="240">
                  <c:v>44181</c:v>
                </c:pt>
                <c:pt idx="241">
                  <c:v>44182</c:v>
                </c:pt>
                <c:pt idx="242">
                  <c:v>44183</c:v>
                </c:pt>
                <c:pt idx="243">
                  <c:v>44186</c:v>
                </c:pt>
                <c:pt idx="244">
                  <c:v>44187</c:v>
                </c:pt>
                <c:pt idx="245">
                  <c:v>44188</c:v>
                </c:pt>
                <c:pt idx="246">
                  <c:v>44189</c:v>
                </c:pt>
                <c:pt idx="247">
                  <c:v>44193</c:v>
                </c:pt>
                <c:pt idx="248">
                  <c:v>44194</c:v>
                </c:pt>
                <c:pt idx="249">
                  <c:v>44195</c:v>
                </c:pt>
                <c:pt idx="250">
                  <c:v>44196</c:v>
                </c:pt>
                <c:pt idx="251">
                  <c:v>44197</c:v>
                </c:pt>
                <c:pt idx="252">
                  <c:v>44200</c:v>
                </c:pt>
                <c:pt idx="253">
                  <c:v>44201</c:v>
                </c:pt>
                <c:pt idx="254">
                  <c:v>44202</c:v>
                </c:pt>
                <c:pt idx="255">
                  <c:v>44203</c:v>
                </c:pt>
                <c:pt idx="256">
                  <c:v>44204</c:v>
                </c:pt>
                <c:pt idx="257">
                  <c:v>44207</c:v>
                </c:pt>
                <c:pt idx="258">
                  <c:v>44208</c:v>
                </c:pt>
                <c:pt idx="259">
                  <c:v>44209</c:v>
                </c:pt>
                <c:pt idx="260">
                  <c:v>44210</c:v>
                </c:pt>
                <c:pt idx="261">
                  <c:v>44211</c:v>
                </c:pt>
                <c:pt idx="262">
                  <c:v>44214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44223</c:v>
                </c:pt>
                <c:pt idx="269">
                  <c:v>44224</c:v>
                </c:pt>
                <c:pt idx="270">
                  <c:v>44225</c:v>
                </c:pt>
                <c:pt idx="271">
                  <c:v>44228</c:v>
                </c:pt>
                <c:pt idx="272">
                  <c:v>44229</c:v>
                </c:pt>
                <c:pt idx="273">
                  <c:v>44230</c:v>
                </c:pt>
                <c:pt idx="274">
                  <c:v>44231</c:v>
                </c:pt>
                <c:pt idx="275">
                  <c:v>44232</c:v>
                </c:pt>
                <c:pt idx="276">
                  <c:v>44235</c:v>
                </c:pt>
                <c:pt idx="277">
                  <c:v>44236</c:v>
                </c:pt>
                <c:pt idx="278">
                  <c:v>44237</c:v>
                </c:pt>
                <c:pt idx="279">
                  <c:v>44238</c:v>
                </c:pt>
                <c:pt idx="280">
                  <c:v>44239</c:v>
                </c:pt>
                <c:pt idx="281">
                  <c:v>44242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44267</c:v>
                </c:pt>
                <c:pt idx="300">
                  <c:v>44270</c:v>
                </c:pt>
                <c:pt idx="301">
                  <c:v>44271</c:v>
                </c:pt>
                <c:pt idx="302">
                  <c:v>44272</c:v>
                </c:pt>
                <c:pt idx="303">
                  <c:v>44273</c:v>
                </c:pt>
                <c:pt idx="304">
                  <c:v>44274</c:v>
                </c:pt>
                <c:pt idx="305">
                  <c:v>44277</c:v>
                </c:pt>
                <c:pt idx="306">
                  <c:v>44278</c:v>
                </c:pt>
                <c:pt idx="307">
                  <c:v>44279</c:v>
                </c:pt>
                <c:pt idx="308">
                  <c:v>44280</c:v>
                </c:pt>
                <c:pt idx="309">
                  <c:v>44281</c:v>
                </c:pt>
                <c:pt idx="310">
                  <c:v>44285</c:v>
                </c:pt>
                <c:pt idx="311">
                  <c:v>44286</c:v>
                </c:pt>
                <c:pt idx="312">
                  <c:v>44287</c:v>
                </c:pt>
                <c:pt idx="313">
                  <c:v>44291</c:v>
                </c:pt>
                <c:pt idx="314">
                  <c:v>44292</c:v>
                </c:pt>
                <c:pt idx="315">
                  <c:v>44293</c:v>
                </c:pt>
                <c:pt idx="316">
                  <c:v>44294</c:v>
                </c:pt>
                <c:pt idx="317">
                  <c:v>44295</c:v>
                </c:pt>
                <c:pt idx="318">
                  <c:v>44298</c:v>
                </c:pt>
                <c:pt idx="319">
                  <c:v>44299</c:v>
                </c:pt>
                <c:pt idx="320">
                  <c:v>44301</c:v>
                </c:pt>
                <c:pt idx="321">
                  <c:v>44302</c:v>
                </c:pt>
                <c:pt idx="322">
                  <c:v>44305</c:v>
                </c:pt>
                <c:pt idx="323">
                  <c:v>44306</c:v>
                </c:pt>
                <c:pt idx="324">
                  <c:v>44308</c:v>
                </c:pt>
                <c:pt idx="325">
                  <c:v>44309</c:v>
                </c:pt>
                <c:pt idx="326">
                  <c:v>44312</c:v>
                </c:pt>
                <c:pt idx="327">
                  <c:v>44313</c:v>
                </c:pt>
                <c:pt idx="328">
                  <c:v>44314</c:v>
                </c:pt>
                <c:pt idx="329">
                  <c:v>44315</c:v>
                </c:pt>
                <c:pt idx="330">
                  <c:v>44316</c:v>
                </c:pt>
                <c:pt idx="331">
                  <c:v>44319</c:v>
                </c:pt>
                <c:pt idx="332">
                  <c:v>44320</c:v>
                </c:pt>
                <c:pt idx="333">
                  <c:v>44321</c:v>
                </c:pt>
                <c:pt idx="334">
                  <c:v>44322</c:v>
                </c:pt>
                <c:pt idx="335">
                  <c:v>44323</c:v>
                </c:pt>
                <c:pt idx="336">
                  <c:v>44326</c:v>
                </c:pt>
                <c:pt idx="337">
                  <c:v>44327</c:v>
                </c:pt>
                <c:pt idx="338">
                  <c:v>44328</c:v>
                </c:pt>
                <c:pt idx="339">
                  <c:v>44330</c:v>
                </c:pt>
                <c:pt idx="340">
                  <c:v>44333</c:v>
                </c:pt>
                <c:pt idx="341">
                  <c:v>44334</c:v>
                </c:pt>
                <c:pt idx="342">
                  <c:v>44335</c:v>
                </c:pt>
                <c:pt idx="343">
                  <c:v>44336</c:v>
                </c:pt>
                <c:pt idx="344">
                  <c:v>44337</c:v>
                </c:pt>
                <c:pt idx="345">
                  <c:v>44340</c:v>
                </c:pt>
                <c:pt idx="346">
                  <c:v>44341</c:v>
                </c:pt>
                <c:pt idx="347">
                  <c:v>44342</c:v>
                </c:pt>
                <c:pt idx="348">
                  <c:v>44343</c:v>
                </c:pt>
                <c:pt idx="349">
                  <c:v>44344</c:v>
                </c:pt>
                <c:pt idx="350">
                  <c:v>44347</c:v>
                </c:pt>
                <c:pt idx="351">
                  <c:v>44348</c:v>
                </c:pt>
                <c:pt idx="352">
                  <c:v>44349</c:v>
                </c:pt>
                <c:pt idx="353">
                  <c:v>44350</c:v>
                </c:pt>
                <c:pt idx="354">
                  <c:v>44351</c:v>
                </c:pt>
                <c:pt idx="355">
                  <c:v>44354</c:v>
                </c:pt>
                <c:pt idx="356">
                  <c:v>44355</c:v>
                </c:pt>
                <c:pt idx="357">
                  <c:v>44356</c:v>
                </c:pt>
                <c:pt idx="358">
                  <c:v>44357</c:v>
                </c:pt>
                <c:pt idx="359">
                  <c:v>44358</c:v>
                </c:pt>
                <c:pt idx="360">
                  <c:v>44361</c:v>
                </c:pt>
                <c:pt idx="361">
                  <c:v>44362</c:v>
                </c:pt>
                <c:pt idx="362">
                  <c:v>44363</c:v>
                </c:pt>
                <c:pt idx="363">
                  <c:v>44364</c:v>
                </c:pt>
                <c:pt idx="364">
                  <c:v>44365</c:v>
                </c:pt>
                <c:pt idx="365">
                  <c:v>44368</c:v>
                </c:pt>
                <c:pt idx="366">
                  <c:v>44369</c:v>
                </c:pt>
                <c:pt idx="367">
                  <c:v>44370</c:v>
                </c:pt>
                <c:pt idx="368">
                  <c:v>44371</c:v>
                </c:pt>
                <c:pt idx="369">
                  <c:v>44372</c:v>
                </c:pt>
                <c:pt idx="370">
                  <c:v>44375</c:v>
                </c:pt>
                <c:pt idx="371">
                  <c:v>44376</c:v>
                </c:pt>
                <c:pt idx="372">
                  <c:v>44377</c:v>
                </c:pt>
                <c:pt idx="373">
                  <c:v>44378</c:v>
                </c:pt>
                <c:pt idx="374">
                  <c:v>44379</c:v>
                </c:pt>
                <c:pt idx="375">
                  <c:v>44382</c:v>
                </c:pt>
                <c:pt idx="376">
                  <c:v>44383</c:v>
                </c:pt>
                <c:pt idx="377">
                  <c:v>44384</c:v>
                </c:pt>
                <c:pt idx="378">
                  <c:v>44385</c:v>
                </c:pt>
                <c:pt idx="379">
                  <c:v>44386</c:v>
                </c:pt>
                <c:pt idx="380">
                  <c:v>44389</c:v>
                </c:pt>
                <c:pt idx="381">
                  <c:v>44390</c:v>
                </c:pt>
                <c:pt idx="382">
                  <c:v>44391</c:v>
                </c:pt>
                <c:pt idx="383">
                  <c:v>44392</c:v>
                </c:pt>
                <c:pt idx="384">
                  <c:v>44393</c:v>
                </c:pt>
                <c:pt idx="385">
                  <c:v>44396</c:v>
                </c:pt>
                <c:pt idx="386">
                  <c:v>44397</c:v>
                </c:pt>
                <c:pt idx="387">
                  <c:v>44399</c:v>
                </c:pt>
                <c:pt idx="388">
                  <c:v>44400</c:v>
                </c:pt>
                <c:pt idx="389">
                  <c:v>44403</c:v>
                </c:pt>
                <c:pt idx="390">
                  <c:v>44404</c:v>
                </c:pt>
                <c:pt idx="391">
                  <c:v>44405</c:v>
                </c:pt>
                <c:pt idx="392">
                  <c:v>44406</c:v>
                </c:pt>
                <c:pt idx="393">
                  <c:v>44407</c:v>
                </c:pt>
                <c:pt idx="394">
                  <c:v>44410</c:v>
                </c:pt>
                <c:pt idx="395">
                  <c:v>44411</c:v>
                </c:pt>
                <c:pt idx="396">
                  <c:v>44412</c:v>
                </c:pt>
                <c:pt idx="397">
                  <c:v>44413</c:v>
                </c:pt>
                <c:pt idx="398">
                  <c:v>44414</c:v>
                </c:pt>
                <c:pt idx="399">
                  <c:v>44417</c:v>
                </c:pt>
                <c:pt idx="400">
                  <c:v>44418</c:v>
                </c:pt>
                <c:pt idx="401">
                  <c:v>44419</c:v>
                </c:pt>
                <c:pt idx="402">
                  <c:v>44420</c:v>
                </c:pt>
                <c:pt idx="403">
                  <c:v>44421</c:v>
                </c:pt>
                <c:pt idx="404">
                  <c:v>44424</c:v>
                </c:pt>
                <c:pt idx="405">
                  <c:v>44425</c:v>
                </c:pt>
                <c:pt idx="406">
                  <c:v>44426</c:v>
                </c:pt>
                <c:pt idx="407">
                  <c:v>44428</c:v>
                </c:pt>
                <c:pt idx="408">
                  <c:v>44431</c:v>
                </c:pt>
                <c:pt idx="409">
                  <c:v>44432</c:v>
                </c:pt>
                <c:pt idx="410">
                  <c:v>44433</c:v>
                </c:pt>
                <c:pt idx="411">
                  <c:v>44434</c:v>
                </c:pt>
                <c:pt idx="412">
                  <c:v>44435</c:v>
                </c:pt>
                <c:pt idx="413">
                  <c:v>44438</c:v>
                </c:pt>
                <c:pt idx="414">
                  <c:v>44439</c:v>
                </c:pt>
                <c:pt idx="415">
                  <c:v>44440</c:v>
                </c:pt>
                <c:pt idx="416">
                  <c:v>44441</c:v>
                </c:pt>
                <c:pt idx="417">
                  <c:v>44442</c:v>
                </c:pt>
                <c:pt idx="418">
                  <c:v>44445</c:v>
                </c:pt>
                <c:pt idx="419">
                  <c:v>44446</c:v>
                </c:pt>
                <c:pt idx="420">
                  <c:v>44447</c:v>
                </c:pt>
                <c:pt idx="421">
                  <c:v>44448</c:v>
                </c:pt>
                <c:pt idx="422">
                  <c:v>44452</c:v>
                </c:pt>
                <c:pt idx="423">
                  <c:v>44453</c:v>
                </c:pt>
                <c:pt idx="424">
                  <c:v>44454</c:v>
                </c:pt>
                <c:pt idx="425">
                  <c:v>44455</c:v>
                </c:pt>
                <c:pt idx="426">
                  <c:v>44456</c:v>
                </c:pt>
                <c:pt idx="427">
                  <c:v>44459</c:v>
                </c:pt>
                <c:pt idx="428">
                  <c:v>44460</c:v>
                </c:pt>
                <c:pt idx="429">
                  <c:v>44461</c:v>
                </c:pt>
                <c:pt idx="430">
                  <c:v>44462</c:v>
                </c:pt>
                <c:pt idx="431">
                  <c:v>44463</c:v>
                </c:pt>
                <c:pt idx="432">
                  <c:v>44466</c:v>
                </c:pt>
                <c:pt idx="433">
                  <c:v>44467</c:v>
                </c:pt>
                <c:pt idx="434">
                  <c:v>44468</c:v>
                </c:pt>
                <c:pt idx="435">
                  <c:v>44469</c:v>
                </c:pt>
                <c:pt idx="436">
                  <c:v>44470</c:v>
                </c:pt>
                <c:pt idx="437">
                  <c:v>44473</c:v>
                </c:pt>
                <c:pt idx="438">
                  <c:v>44474</c:v>
                </c:pt>
                <c:pt idx="439">
                  <c:v>44475</c:v>
                </c:pt>
                <c:pt idx="440">
                  <c:v>44476</c:v>
                </c:pt>
                <c:pt idx="441">
                  <c:v>44477</c:v>
                </c:pt>
                <c:pt idx="442">
                  <c:v>44480</c:v>
                </c:pt>
                <c:pt idx="443">
                  <c:v>44481</c:v>
                </c:pt>
                <c:pt idx="444">
                  <c:v>44482</c:v>
                </c:pt>
                <c:pt idx="445">
                  <c:v>44483</c:v>
                </c:pt>
                <c:pt idx="446">
                  <c:v>44487</c:v>
                </c:pt>
                <c:pt idx="447">
                  <c:v>44488</c:v>
                </c:pt>
                <c:pt idx="448">
                  <c:v>44489</c:v>
                </c:pt>
                <c:pt idx="449">
                  <c:v>44490</c:v>
                </c:pt>
                <c:pt idx="450">
                  <c:v>44491</c:v>
                </c:pt>
                <c:pt idx="451">
                  <c:v>44494</c:v>
                </c:pt>
                <c:pt idx="452">
                  <c:v>44495</c:v>
                </c:pt>
                <c:pt idx="453">
                  <c:v>44496</c:v>
                </c:pt>
                <c:pt idx="454">
                  <c:v>44497</c:v>
                </c:pt>
                <c:pt idx="455">
                  <c:v>44498</c:v>
                </c:pt>
                <c:pt idx="456">
                  <c:v>44501</c:v>
                </c:pt>
                <c:pt idx="457">
                  <c:v>44502</c:v>
                </c:pt>
                <c:pt idx="458">
                  <c:v>44503</c:v>
                </c:pt>
                <c:pt idx="459">
                  <c:v>44504</c:v>
                </c:pt>
                <c:pt idx="460">
                  <c:v>44508</c:v>
                </c:pt>
                <c:pt idx="461">
                  <c:v>44509</c:v>
                </c:pt>
                <c:pt idx="462">
                  <c:v>44510</c:v>
                </c:pt>
                <c:pt idx="463">
                  <c:v>44511</c:v>
                </c:pt>
                <c:pt idx="464">
                  <c:v>44512</c:v>
                </c:pt>
                <c:pt idx="465">
                  <c:v>44515</c:v>
                </c:pt>
                <c:pt idx="466">
                  <c:v>44516</c:v>
                </c:pt>
                <c:pt idx="467">
                  <c:v>44517</c:v>
                </c:pt>
                <c:pt idx="468">
                  <c:v>44518</c:v>
                </c:pt>
                <c:pt idx="469">
                  <c:v>44522</c:v>
                </c:pt>
                <c:pt idx="470">
                  <c:v>44523</c:v>
                </c:pt>
                <c:pt idx="471">
                  <c:v>44524</c:v>
                </c:pt>
                <c:pt idx="472">
                  <c:v>44525</c:v>
                </c:pt>
                <c:pt idx="473">
                  <c:v>44526</c:v>
                </c:pt>
                <c:pt idx="474">
                  <c:v>44529</c:v>
                </c:pt>
                <c:pt idx="475">
                  <c:v>44530</c:v>
                </c:pt>
                <c:pt idx="476">
                  <c:v>44531</c:v>
                </c:pt>
                <c:pt idx="477">
                  <c:v>44532</c:v>
                </c:pt>
                <c:pt idx="478">
                  <c:v>44533</c:v>
                </c:pt>
                <c:pt idx="479">
                  <c:v>44536</c:v>
                </c:pt>
                <c:pt idx="480">
                  <c:v>44537</c:v>
                </c:pt>
                <c:pt idx="481">
                  <c:v>44538</c:v>
                </c:pt>
                <c:pt idx="482">
                  <c:v>44539</c:v>
                </c:pt>
                <c:pt idx="483">
                  <c:v>44540</c:v>
                </c:pt>
                <c:pt idx="484">
                  <c:v>44543</c:v>
                </c:pt>
                <c:pt idx="485">
                  <c:v>44544</c:v>
                </c:pt>
                <c:pt idx="486">
                  <c:v>44545</c:v>
                </c:pt>
                <c:pt idx="487">
                  <c:v>44546</c:v>
                </c:pt>
                <c:pt idx="488">
                  <c:v>44547</c:v>
                </c:pt>
                <c:pt idx="489">
                  <c:v>44550</c:v>
                </c:pt>
                <c:pt idx="490">
                  <c:v>44551</c:v>
                </c:pt>
                <c:pt idx="491">
                  <c:v>44552</c:v>
                </c:pt>
                <c:pt idx="492">
                  <c:v>44553</c:v>
                </c:pt>
                <c:pt idx="493">
                  <c:v>44554</c:v>
                </c:pt>
                <c:pt idx="494">
                  <c:v>44557</c:v>
                </c:pt>
                <c:pt idx="495">
                  <c:v>44558</c:v>
                </c:pt>
                <c:pt idx="496">
                  <c:v>44559</c:v>
                </c:pt>
                <c:pt idx="497">
                  <c:v>44560</c:v>
                </c:pt>
                <c:pt idx="498">
                  <c:v>44561</c:v>
                </c:pt>
                <c:pt idx="499">
                  <c:v>44564</c:v>
                </c:pt>
                <c:pt idx="500">
                  <c:v>44565</c:v>
                </c:pt>
                <c:pt idx="501">
                  <c:v>44566</c:v>
                </c:pt>
                <c:pt idx="502">
                  <c:v>44567</c:v>
                </c:pt>
                <c:pt idx="503">
                  <c:v>44568</c:v>
                </c:pt>
                <c:pt idx="504">
                  <c:v>44571</c:v>
                </c:pt>
                <c:pt idx="505">
                  <c:v>44572</c:v>
                </c:pt>
                <c:pt idx="506">
                  <c:v>44573</c:v>
                </c:pt>
                <c:pt idx="507">
                  <c:v>44574</c:v>
                </c:pt>
                <c:pt idx="508">
                  <c:v>44575</c:v>
                </c:pt>
                <c:pt idx="509">
                  <c:v>44578</c:v>
                </c:pt>
                <c:pt idx="510">
                  <c:v>44579</c:v>
                </c:pt>
                <c:pt idx="511">
                  <c:v>44580</c:v>
                </c:pt>
                <c:pt idx="512">
                  <c:v>44581</c:v>
                </c:pt>
                <c:pt idx="513">
                  <c:v>44582</c:v>
                </c:pt>
                <c:pt idx="514">
                  <c:v>44585</c:v>
                </c:pt>
                <c:pt idx="515">
                  <c:v>44586</c:v>
                </c:pt>
                <c:pt idx="516">
                  <c:v>44588</c:v>
                </c:pt>
                <c:pt idx="517">
                  <c:v>44589</c:v>
                </c:pt>
                <c:pt idx="518">
                  <c:v>44592</c:v>
                </c:pt>
                <c:pt idx="519">
                  <c:v>44593</c:v>
                </c:pt>
                <c:pt idx="520">
                  <c:v>44594</c:v>
                </c:pt>
                <c:pt idx="521">
                  <c:v>44595</c:v>
                </c:pt>
                <c:pt idx="522">
                  <c:v>44596</c:v>
                </c:pt>
                <c:pt idx="523">
                  <c:v>44599</c:v>
                </c:pt>
                <c:pt idx="524">
                  <c:v>44600</c:v>
                </c:pt>
                <c:pt idx="525">
                  <c:v>44601</c:v>
                </c:pt>
                <c:pt idx="526">
                  <c:v>44602</c:v>
                </c:pt>
                <c:pt idx="527">
                  <c:v>44603</c:v>
                </c:pt>
                <c:pt idx="528">
                  <c:v>44606</c:v>
                </c:pt>
                <c:pt idx="529">
                  <c:v>44607</c:v>
                </c:pt>
                <c:pt idx="530">
                  <c:v>44608</c:v>
                </c:pt>
                <c:pt idx="531">
                  <c:v>44609</c:v>
                </c:pt>
                <c:pt idx="532">
                  <c:v>44610</c:v>
                </c:pt>
                <c:pt idx="533">
                  <c:v>44613</c:v>
                </c:pt>
                <c:pt idx="534">
                  <c:v>44614</c:v>
                </c:pt>
                <c:pt idx="535">
                  <c:v>44615</c:v>
                </c:pt>
                <c:pt idx="536">
                  <c:v>44616</c:v>
                </c:pt>
                <c:pt idx="537">
                  <c:v>44617</c:v>
                </c:pt>
                <c:pt idx="538">
                  <c:v>44620</c:v>
                </c:pt>
                <c:pt idx="539">
                  <c:v>44622</c:v>
                </c:pt>
                <c:pt idx="540">
                  <c:v>44623</c:v>
                </c:pt>
                <c:pt idx="541">
                  <c:v>44624</c:v>
                </c:pt>
                <c:pt idx="542">
                  <c:v>44627</c:v>
                </c:pt>
                <c:pt idx="543">
                  <c:v>44628</c:v>
                </c:pt>
                <c:pt idx="544">
                  <c:v>44629</c:v>
                </c:pt>
                <c:pt idx="545">
                  <c:v>44630</c:v>
                </c:pt>
                <c:pt idx="546">
                  <c:v>44631</c:v>
                </c:pt>
                <c:pt idx="547">
                  <c:v>44634</c:v>
                </c:pt>
                <c:pt idx="548">
                  <c:v>44635</c:v>
                </c:pt>
                <c:pt idx="549">
                  <c:v>44636</c:v>
                </c:pt>
                <c:pt idx="550">
                  <c:v>44637</c:v>
                </c:pt>
                <c:pt idx="551">
                  <c:v>44641</c:v>
                </c:pt>
                <c:pt idx="552">
                  <c:v>44642</c:v>
                </c:pt>
                <c:pt idx="553">
                  <c:v>44643</c:v>
                </c:pt>
                <c:pt idx="554">
                  <c:v>44644</c:v>
                </c:pt>
                <c:pt idx="555">
                  <c:v>44645</c:v>
                </c:pt>
                <c:pt idx="556">
                  <c:v>44648</c:v>
                </c:pt>
                <c:pt idx="557">
                  <c:v>44649</c:v>
                </c:pt>
                <c:pt idx="558">
                  <c:v>44650</c:v>
                </c:pt>
                <c:pt idx="559">
                  <c:v>44651</c:v>
                </c:pt>
                <c:pt idx="560">
                  <c:v>44652</c:v>
                </c:pt>
                <c:pt idx="561">
                  <c:v>44655</c:v>
                </c:pt>
                <c:pt idx="562">
                  <c:v>44656</c:v>
                </c:pt>
                <c:pt idx="563">
                  <c:v>44657</c:v>
                </c:pt>
                <c:pt idx="564">
                  <c:v>44658</c:v>
                </c:pt>
                <c:pt idx="565">
                  <c:v>44659</c:v>
                </c:pt>
                <c:pt idx="566">
                  <c:v>44662</c:v>
                </c:pt>
                <c:pt idx="567">
                  <c:v>44663</c:v>
                </c:pt>
                <c:pt idx="568">
                  <c:v>44664</c:v>
                </c:pt>
                <c:pt idx="569">
                  <c:v>44669</c:v>
                </c:pt>
                <c:pt idx="570">
                  <c:v>44670</c:v>
                </c:pt>
                <c:pt idx="571">
                  <c:v>44671</c:v>
                </c:pt>
                <c:pt idx="572">
                  <c:v>44672</c:v>
                </c:pt>
                <c:pt idx="573">
                  <c:v>44673</c:v>
                </c:pt>
                <c:pt idx="574">
                  <c:v>44676</c:v>
                </c:pt>
                <c:pt idx="575">
                  <c:v>44677</c:v>
                </c:pt>
                <c:pt idx="576">
                  <c:v>44678</c:v>
                </c:pt>
                <c:pt idx="577">
                  <c:v>44679</c:v>
                </c:pt>
                <c:pt idx="578">
                  <c:v>44680</c:v>
                </c:pt>
                <c:pt idx="579">
                  <c:v>44683</c:v>
                </c:pt>
                <c:pt idx="580">
                  <c:v>44685</c:v>
                </c:pt>
                <c:pt idx="581">
                  <c:v>44686</c:v>
                </c:pt>
                <c:pt idx="582">
                  <c:v>44687</c:v>
                </c:pt>
                <c:pt idx="583">
                  <c:v>44690</c:v>
                </c:pt>
                <c:pt idx="584">
                  <c:v>44691</c:v>
                </c:pt>
                <c:pt idx="585">
                  <c:v>44692</c:v>
                </c:pt>
                <c:pt idx="586">
                  <c:v>44693</c:v>
                </c:pt>
                <c:pt idx="587">
                  <c:v>44694</c:v>
                </c:pt>
                <c:pt idx="588">
                  <c:v>44697</c:v>
                </c:pt>
                <c:pt idx="589">
                  <c:v>44698</c:v>
                </c:pt>
                <c:pt idx="590">
                  <c:v>44699</c:v>
                </c:pt>
                <c:pt idx="591">
                  <c:v>44700</c:v>
                </c:pt>
                <c:pt idx="592">
                  <c:v>44701</c:v>
                </c:pt>
                <c:pt idx="593">
                  <c:v>44704</c:v>
                </c:pt>
                <c:pt idx="594">
                  <c:v>44705</c:v>
                </c:pt>
                <c:pt idx="595">
                  <c:v>44706</c:v>
                </c:pt>
                <c:pt idx="596">
                  <c:v>44707</c:v>
                </c:pt>
                <c:pt idx="597">
                  <c:v>44708</c:v>
                </c:pt>
                <c:pt idx="598">
                  <c:v>44711</c:v>
                </c:pt>
                <c:pt idx="599">
                  <c:v>44712</c:v>
                </c:pt>
                <c:pt idx="600">
                  <c:v>44713</c:v>
                </c:pt>
                <c:pt idx="601">
                  <c:v>44714</c:v>
                </c:pt>
                <c:pt idx="602">
                  <c:v>44715</c:v>
                </c:pt>
                <c:pt idx="603">
                  <c:v>44718</c:v>
                </c:pt>
                <c:pt idx="604">
                  <c:v>44719</c:v>
                </c:pt>
                <c:pt idx="605">
                  <c:v>44720</c:v>
                </c:pt>
                <c:pt idx="606">
                  <c:v>44721</c:v>
                </c:pt>
                <c:pt idx="607">
                  <c:v>44722</c:v>
                </c:pt>
                <c:pt idx="608">
                  <c:v>44725</c:v>
                </c:pt>
                <c:pt idx="609">
                  <c:v>44726</c:v>
                </c:pt>
                <c:pt idx="610">
                  <c:v>44727</c:v>
                </c:pt>
                <c:pt idx="611">
                  <c:v>44728</c:v>
                </c:pt>
                <c:pt idx="612">
                  <c:v>44729</c:v>
                </c:pt>
                <c:pt idx="613">
                  <c:v>44732</c:v>
                </c:pt>
                <c:pt idx="614">
                  <c:v>44733</c:v>
                </c:pt>
                <c:pt idx="615">
                  <c:v>44734</c:v>
                </c:pt>
                <c:pt idx="616">
                  <c:v>44735</c:v>
                </c:pt>
                <c:pt idx="617">
                  <c:v>44736</c:v>
                </c:pt>
                <c:pt idx="618">
                  <c:v>44739</c:v>
                </c:pt>
                <c:pt idx="619">
                  <c:v>44740</c:v>
                </c:pt>
                <c:pt idx="620">
                  <c:v>44741</c:v>
                </c:pt>
                <c:pt idx="621">
                  <c:v>44742</c:v>
                </c:pt>
                <c:pt idx="622">
                  <c:v>44743</c:v>
                </c:pt>
                <c:pt idx="623">
                  <c:v>44746</c:v>
                </c:pt>
                <c:pt idx="624">
                  <c:v>44747</c:v>
                </c:pt>
                <c:pt idx="625">
                  <c:v>44748</c:v>
                </c:pt>
                <c:pt idx="626">
                  <c:v>44749</c:v>
                </c:pt>
                <c:pt idx="627">
                  <c:v>44750</c:v>
                </c:pt>
                <c:pt idx="628">
                  <c:v>44753</c:v>
                </c:pt>
                <c:pt idx="629">
                  <c:v>44754</c:v>
                </c:pt>
                <c:pt idx="630">
                  <c:v>44755</c:v>
                </c:pt>
                <c:pt idx="631">
                  <c:v>44756</c:v>
                </c:pt>
                <c:pt idx="632">
                  <c:v>44757</c:v>
                </c:pt>
                <c:pt idx="633">
                  <c:v>44760</c:v>
                </c:pt>
                <c:pt idx="634">
                  <c:v>44761</c:v>
                </c:pt>
                <c:pt idx="635">
                  <c:v>44762</c:v>
                </c:pt>
                <c:pt idx="636">
                  <c:v>44763</c:v>
                </c:pt>
                <c:pt idx="637">
                  <c:v>44764</c:v>
                </c:pt>
                <c:pt idx="638">
                  <c:v>44767</c:v>
                </c:pt>
                <c:pt idx="639">
                  <c:v>44768</c:v>
                </c:pt>
                <c:pt idx="640">
                  <c:v>44769</c:v>
                </c:pt>
                <c:pt idx="641">
                  <c:v>44770</c:v>
                </c:pt>
                <c:pt idx="642">
                  <c:v>44771</c:v>
                </c:pt>
                <c:pt idx="643">
                  <c:v>44774</c:v>
                </c:pt>
                <c:pt idx="644">
                  <c:v>44775</c:v>
                </c:pt>
                <c:pt idx="645">
                  <c:v>44776</c:v>
                </c:pt>
                <c:pt idx="646">
                  <c:v>44777</c:v>
                </c:pt>
                <c:pt idx="647">
                  <c:v>44778</c:v>
                </c:pt>
                <c:pt idx="648">
                  <c:v>44781</c:v>
                </c:pt>
                <c:pt idx="649">
                  <c:v>44783</c:v>
                </c:pt>
                <c:pt idx="650">
                  <c:v>44784</c:v>
                </c:pt>
                <c:pt idx="651">
                  <c:v>44785</c:v>
                </c:pt>
                <c:pt idx="652">
                  <c:v>44789</c:v>
                </c:pt>
                <c:pt idx="653">
                  <c:v>44790</c:v>
                </c:pt>
                <c:pt idx="654">
                  <c:v>44791</c:v>
                </c:pt>
                <c:pt idx="655">
                  <c:v>44792</c:v>
                </c:pt>
                <c:pt idx="656">
                  <c:v>44795</c:v>
                </c:pt>
                <c:pt idx="657">
                  <c:v>44796</c:v>
                </c:pt>
                <c:pt idx="658">
                  <c:v>44797</c:v>
                </c:pt>
                <c:pt idx="659">
                  <c:v>44798</c:v>
                </c:pt>
                <c:pt idx="660">
                  <c:v>44799</c:v>
                </c:pt>
                <c:pt idx="661">
                  <c:v>44802</c:v>
                </c:pt>
                <c:pt idx="662">
                  <c:v>44803</c:v>
                </c:pt>
                <c:pt idx="663">
                  <c:v>44805</c:v>
                </c:pt>
                <c:pt idx="664">
                  <c:v>44806</c:v>
                </c:pt>
                <c:pt idx="665">
                  <c:v>44809</c:v>
                </c:pt>
                <c:pt idx="666">
                  <c:v>44810</c:v>
                </c:pt>
                <c:pt idx="667">
                  <c:v>44811</c:v>
                </c:pt>
                <c:pt idx="668">
                  <c:v>44812</c:v>
                </c:pt>
                <c:pt idx="669">
                  <c:v>44813</c:v>
                </c:pt>
                <c:pt idx="670">
                  <c:v>44816</c:v>
                </c:pt>
                <c:pt idx="671">
                  <c:v>44817</c:v>
                </c:pt>
                <c:pt idx="672">
                  <c:v>44818</c:v>
                </c:pt>
                <c:pt idx="673">
                  <c:v>44819</c:v>
                </c:pt>
                <c:pt idx="674">
                  <c:v>44820</c:v>
                </c:pt>
                <c:pt idx="675">
                  <c:v>44823</c:v>
                </c:pt>
                <c:pt idx="676">
                  <c:v>44824</c:v>
                </c:pt>
                <c:pt idx="677">
                  <c:v>44825</c:v>
                </c:pt>
                <c:pt idx="678">
                  <c:v>44826</c:v>
                </c:pt>
                <c:pt idx="679">
                  <c:v>44827</c:v>
                </c:pt>
                <c:pt idx="680">
                  <c:v>44830</c:v>
                </c:pt>
                <c:pt idx="681">
                  <c:v>44831</c:v>
                </c:pt>
                <c:pt idx="682">
                  <c:v>44832</c:v>
                </c:pt>
                <c:pt idx="683">
                  <c:v>44833</c:v>
                </c:pt>
                <c:pt idx="684">
                  <c:v>44834</c:v>
                </c:pt>
                <c:pt idx="685">
                  <c:v>44837</c:v>
                </c:pt>
                <c:pt idx="686">
                  <c:v>44838</c:v>
                </c:pt>
                <c:pt idx="687">
                  <c:v>44840</c:v>
                </c:pt>
                <c:pt idx="688">
                  <c:v>44841</c:v>
                </c:pt>
                <c:pt idx="689">
                  <c:v>44844</c:v>
                </c:pt>
                <c:pt idx="690">
                  <c:v>44845</c:v>
                </c:pt>
                <c:pt idx="691">
                  <c:v>44846</c:v>
                </c:pt>
                <c:pt idx="692">
                  <c:v>44847</c:v>
                </c:pt>
                <c:pt idx="693">
                  <c:v>44848</c:v>
                </c:pt>
                <c:pt idx="694">
                  <c:v>44851</c:v>
                </c:pt>
                <c:pt idx="695">
                  <c:v>44852</c:v>
                </c:pt>
                <c:pt idx="696">
                  <c:v>44853</c:v>
                </c:pt>
                <c:pt idx="697">
                  <c:v>44854</c:v>
                </c:pt>
                <c:pt idx="698">
                  <c:v>44855</c:v>
                </c:pt>
                <c:pt idx="699">
                  <c:v>44858</c:v>
                </c:pt>
                <c:pt idx="700">
                  <c:v>44859</c:v>
                </c:pt>
                <c:pt idx="701">
                  <c:v>44861</c:v>
                </c:pt>
                <c:pt idx="702">
                  <c:v>44862</c:v>
                </c:pt>
                <c:pt idx="703">
                  <c:v>44865</c:v>
                </c:pt>
                <c:pt idx="704">
                  <c:v>44866</c:v>
                </c:pt>
                <c:pt idx="705">
                  <c:v>44867</c:v>
                </c:pt>
                <c:pt idx="706">
                  <c:v>44868</c:v>
                </c:pt>
                <c:pt idx="707">
                  <c:v>44869</c:v>
                </c:pt>
                <c:pt idx="708">
                  <c:v>44872</c:v>
                </c:pt>
                <c:pt idx="709">
                  <c:v>44874</c:v>
                </c:pt>
                <c:pt idx="710">
                  <c:v>44875</c:v>
                </c:pt>
                <c:pt idx="711">
                  <c:v>44876</c:v>
                </c:pt>
                <c:pt idx="712">
                  <c:v>44879</c:v>
                </c:pt>
                <c:pt idx="713">
                  <c:v>44880</c:v>
                </c:pt>
                <c:pt idx="714">
                  <c:v>44881</c:v>
                </c:pt>
                <c:pt idx="715">
                  <c:v>44882</c:v>
                </c:pt>
                <c:pt idx="716">
                  <c:v>44883</c:v>
                </c:pt>
                <c:pt idx="717">
                  <c:v>44886</c:v>
                </c:pt>
                <c:pt idx="718">
                  <c:v>44887</c:v>
                </c:pt>
                <c:pt idx="719">
                  <c:v>44888</c:v>
                </c:pt>
                <c:pt idx="720">
                  <c:v>44889</c:v>
                </c:pt>
                <c:pt idx="721">
                  <c:v>44890</c:v>
                </c:pt>
                <c:pt idx="722">
                  <c:v>44893</c:v>
                </c:pt>
                <c:pt idx="723">
                  <c:v>44894</c:v>
                </c:pt>
                <c:pt idx="724">
                  <c:v>44895</c:v>
                </c:pt>
                <c:pt idx="725">
                  <c:v>44896</c:v>
                </c:pt>
                <c:pt idx="726">
                  <c:v>44897</c:v>
                </c:pt>
                <c:pt idx="727">
                  <c:v>44900</c:v>
                </c:pt>
                <c:pt idx="728">
                  <c:v>44901</c:v>
                </c:pt>
                <c:pt idx="729">
                  <c:v>44902</c:v>
                </c:pt>
                <c:pt idx="730">
                  <c:v>44903</c:v>
                </c:pt>
                <c:pt idx="731">
                  <c:v>44904</c:v>
                </c:pt>
                <c:pt idx="732">
                  <c:v>44907</c:v>
                </c:pt>
                <c:pt idx="733">
                  <c:v>44908</c:v>
                </c:pt>
                <c:pt idx="734">
                  <c:v>44909</c:v>
                </c:pt>
                <c:pt idx="735">
                  <c:v>44910</c:v>
                </c:pt>
                <c:pt idx="736">
                  <c:v>44911</c:v>
                </c:pt>
                <c:pt idx="737">
                  <c:v>44914</c:v>
                </c:pt>
                <c:pt idx="738">
                  <c:v>44915</c:v>
                </c:pt>
                <c:pt idx="739">
                  <c:v>44916</c:v>
                </c:pt>
                <c:pt idx="740">
                  <c:v>44917</c:v>
                </c:pt>
                <c:pt idx="741">
                  <c:v>44918</c:v>
                </c:pt>
                <c:pt idx="742">
                  <c:v>44921</c:v>
                </c:pt>
                <c:pt idx="743">
                  <c:v>44922</c:v>
                </c:pt>
                <c:pt idx="744">
                  <c:v>44923</c:v>
                </c:pt>
                <c:pt idx="745">
                  <c:v>44924</c:v>
                </c:pt>
                <c:pt idx="746">
                  <c:v>44925</c:v>
                </c:pt>
                <c:pt idx="747">
                  <c:v>44928</c:v>
                </c:pt>
                <c:pt idx="748">
                  <c:v>44929</c:v>
                </c:pt>
                <c:pt idx="749">
                  <c:v>44930</c:v>
                </c:pt>
                <c:pt idx="750">
                  <c:v>44931</c:v>
                </c:pt>
                <c:pt idx="751">
                  <c:v>44932</c:v>
                </c:pt>
                <c:pt idx="752">
                  <c:v>44935</c:v>
                </c:pt>
                <c:pt idx="753">
                  <c:v>44936</c:v>
                </c:pt>
                <c:pt idx="754">
                  <c:v>44937</c:v>
                </c:pt>
                <c:pt idx="755">
                  <c:v>44938</c:v>
                </c:pt>
                <c:pt idx="756">
                  <c:v>44939</c:v>
                </c:pt>
                <c:pt idx="757">
                  <c:v>44942</c:v>
                </c:pt>
                <c:pt idx="758">
                  <c:v>44943</c:v>
                </c:pt>
                <c:pt idx="759">
                  <c:v>44944</c:v>
                </c:pt>
                <c:pt idx="760">
                  <c:v>44945</c:v>
                </c:pt>
                <c:pt idx="761">
                  <c:v>44946</c:v>
                </c:pt>
                <c:pt idx="762">
                  <c:v>44949</c:v>
                </c:pt>
                <c:pt idx="763">
                  <c:v>44950</c:v>
                </c:pt>
                <c:pt idx="764">
                  <c:v>44951</c:v>
                </c:pt>
                <c:pt idx="765">
                  <c:v>44953</c:v>
                </c:pt>
                <c:pt idx="766">
                  <c:v>44956</c:v>
                </c:pt>
                <c:pt idx="767">
                  <c:v>44957</c:v>
                </c:pt>
                <c:pt idx="768">
                  <c:v>44958</c:v>
                </c:pt>
                <c:pt idx="769">
                  <c:v>44959</c:v>
                </c:pt>
                <c:pt idx="770">
                  <c:v>44960</c:v>
                </c:pt>
                <c:pt idx="771">
                  <c:v>44963</c:v>
                </c:pt>
                <c:pt idx="772">
                  <c:v>44964</c:v>
                </c:pt>
                <c:pt idx="773">
                  <c:v>44965</c:v>
                </c:pt>
                <c:pt idx="774">
                  <c:v>44966</c:v>
                </c:pt>
                <c:pt idx="775">
                  <c:v>44967</c:v>
                </c:pt>
                <c:pt idx="776">
                  <c:v>44970</c:v>
                </c:pt>
                <c:pt idx="777">
                  <c:v>44971</c:v>
                </c:pt>
                <c:pt idx="778">
                  <c:v>44972</c:v>
                </c:pt>
                <c:pt idx="779">
                  <c:v>44973</c:v>
                </c:pt>
                <c:pt idx="780">
                  <c:v>44974</c:v>
                </c:pt>
                <c:pt idx="781">
                  <c:v>44977</c:v>
                </c:pt>
                <c:pt idx="782">
                  <c:v>44978</c:v>
                </c:pt>
                <c:pt idx="783">
                  <c:v>44979</c:v>
                </c:pt>
                <c:pt idx="784">
                  <c:v>44980</c:v>
                </c:pt>
                <c:pt idx="785">
                  <c:v>44981</c:v>
                </c:pt>
                <c:pt idx="786">
                  <c:v>44984</c:v>
                </c:pt>
                <c:pt idx="787">
                  <c:v>44985</c:v>
                </c:pt>
                <c:pt idx="788">
                  <c:v>44986</c:v>
                </c:pt>
                <c:pt idx="789">
                  <c:v>44987</c:v>
                </c:pt>
                <c:pt idx="790">
                  <c:v>44988</c:v>
                </c:pt>
                <c:pt idx="791">
                  <c:v>44991</c:v>
                </c:pt>
                <c:pt idx="792">
                  <c:v>44993</c:v>
                </c:pt>
                <c:pt idx="793">
                  <c:v>44994</c:v>
                </c:pt>
                <c:pt idx="794">
                  <c:v>44995</c:v>
                </c:pt>
                <c:pt idx="795">
                  <c:v>44998</c:v>
                </c:pt>
                <c:pt idx="796">
                  <c:v>44999</c:v>
                </c:pt>
                <c:pt idx="797">
                  <c:v>45000</c:v>
                </c:pt>
                <c:pt idx="798">
                  <c:v>45001</c:v>
                </c:pt>
                <c:pt idx="799">
                  <c:v>45002</c:v>
                </c:pt>
                <c:pt idx="800">
                  <c:v>45005</c:v>
                </c:pt>
                <c:pt idx="801">
                  <c:v>45006</c:v>
                </c:pt>
                <c:pt idx="802">
                  <c:v>45007</c:v>
                </c:pt>
                <c:pt idx="803">
                  <c:v>45008</c:v>
                </c:pt>
                <c:pt idx="804">
                  <c:v>45009</c:v>
                </c:pt>
                <c:pt idx="805">
                  <c:v>45012</c:v>
                </c:pt>
                <c:pt idx="806">
                  <c:v>45013</c:v>
                </c:pt>
                <c:pt idx="807">
                  <c:v>45014</c:v>
                </c:pt>
                <c:pt idx="808">
                  <c:v>45016</c:v>
                </c:pt>
                <c:pt idx="809">
                  <c:v>45019</c:v>
                </c:pt>
                <c:pt idx="810">
                  <c:v>45021</c:v>
                </c:pt>
                <c:pt idx="811">
                  <c:v>45022</c:v>
                </c:pt>
                <c:pt idx="812">
                  <c:v>45026</c:v>
                </c:pt>
                <c:pt idx="813">
                  <c:v>45027</c:v>
                </c:pt>
                <c:pt idx="814">
                  <c:v>45028</c:v>
                </c:pt>
                <c:pt idx="815">
                  <c:v>45029</c:v>
                </c:pt>
                <c:pt idx="816">
                  <c:v>45033</c:v>
                </c:pt>
                <c:pt idx="817">
                  <c:v>45034</c:v>
                </c:pt>
                <c:pt idx="818">
                  <c:v>45035</c:v>
                </c:pt>
                <c:pt idx="819">
                  <c:v>45036</c:v>
                </c:pt>
                <c:pt idx="820">
                  <c:v>45037</c:v>
                </c:pt>
                <c:pt idx="821">
                  <c:v>45040</c:v>
                </c:pt>
                <c:pt idx="822">
                  <c:v>45041</c:v>
                </c:pt>
                <c:pt idx="823">
                  <c:v>45042</c:v>
                </c:pt>
                <c:pt idx="824">
                  <c:v>45043</c:v>
                </c:pt>
                <c:pt idx="825">
                  <c:v>45044</c:v>
                </c:pt>
                <c:pt idx="826">
                  <c:v>45048</c:v>
                </c:pt>
                <c:pt idx="827">
                  <c:v>45049</c:v>
                </c:pt>
                <c:pt idx="828">
                  <c:v>45050</c:v>
                </c:pt>
                <c:pt idx="829">
                  <c:v>45051</c:v>
                </c:pt>
                <c:pt idx="830">
                  <c:v>45054</c:v>
                </c:pt>
                <c:pt idx="831">
                  <c:v>45055</c:v>
                </c:pt>
                <c:pt idx="832">
                  <c:v>45056</c:v>
                </c:pt>
                <c:pt idx="833">
                  <c:v>45057</c:v>
                </c:pt>
                <c:pt idx="834">
                  <c:v>45058</c:v>
                </c:pt>
                <c:pt idx="835">
                  <c:v>45061</c:v>
                </c:pt>
                <c:pt idx="836">
                  <c:v>45062</c:v>
                </c:pt>
                <c:pt idx="837">
                  <c:v>45063</c:v>
                </c:pt>
                <c:pt idx="838">
                  <c:v>45064</c:v>
                </c:pt>
                <c:pt idx="839">
                  <c:v>45065</c:v>
                </c:pt>
                <c:pt idx="840">
                  <c:v>45068</c:v>
                </c:pt>
                <c:pt idx="841">
                  <c:v>45069</c:v>
                </c:pt>
                <c:pt idx="842">
                  <c:v>45070</c:v>
                </c:pt>
                <c:pt idx="843">
                  <c:v>45071</c:v>
                </c:pt>
                <c:pt idx="844">
                  <c:v>45072</c:v>
                </c:pt>
                <c:pt idx="845">
                  <c:v>45075</c:v>
                </c:pt>
                <c:pt idx="846">
                  <c:v>45076</c:v>
                </c:pt>
                <c:pt idx="847">
                  <c:v>45077</c:v>
                </c:pt>
                <c:pt idx="848">
                  <c:v>45078</c:v>
                </c:pt>
                <c:pt idx="849">
                  <c:v>45079</c:v>
                </c:pt>
                <c:pt idx="850">
                  <c:v>45082</c:v>
                </c:pt>
                <c:pt idx="851">
                  <c:v>45083</c:v>
                </c:pt>
                <c:pt idx="852">
                  <c:v>45084</c:v>
                </c:pt>
                <c:pt idx="853">
                  <c:v>45085</c:v>
                </c:pt>
                <c:pt idx="854">
                  <c:v>45086</c:v>
                </c:pt>
                <c:pt idx="855">
                  <c:v>45089</c:v>
                </c:pt>
                <c:pt idx="856">
                  <c:v>45090</c:v>
                </c:pt>
                <c:pt idx="857">
                  <c:v>45091</c:v>
                </c:pt>
                <c:pt idx="858">
                  <c:v>45092</c:v>
                </c:pt>
                <c:pt idx="859">
                  <c:v>45093</c:v>
                </c:pt>
                <c:pt idx="860">
                  <c:v>45096</c:v>
                </c:pt>
                <c:pt idx="861">
                  <c:v>45097</c:v>
                </c:pt>
                <c:pt idx="862">
                  <c:v>45098</c:v>
                </c:pt>
                <c:pt idx="863">
                  <c:v>45099</c:v>
                </c:pt>
                <c:pt idx="864">
                  <c:v>45100</c:v>
                </c:pt>
                <c:pt idx="865">
                  <c:v>45103</c:v>
                </c:pt>
                <c:pt idx="866">
                  <c:v>45104</c:v>
                </c:pt>
                <c:pt idx="867">
                  <c:v>45105</c:v>
                </c:pt>
                <c:pt idx="868">
                  <c:v>45107</c:v>
                </c:pt>
                <c:pt idx="869">
                  <c:v>45110</c:v>
                </c:pt>
                <c:pt idx="870">
                  <c:v>45111</c:v>
                </c:pt>
                <c:pt idx="871">
                  <c:v>45112</c:v>
                </c:pt>
                <c:pt idx="872">
                  <c:v>45113</c:v>
                </c:pt>
                <c:pt idx="873">
                  <c:v>45114</c:v>
                </c:pt>
                <c:pt idx="874">
                  <c:v>45117</c:v>
                </c:pt>
                <c:pt idx="875">
                  <c:v>45118</c:v>
                </c:pt>
                <c:pt idx="876">
                  <c:v>45119</c:v>
                </c:pt>
                <c:pt idx="877">
                  <c:v>45120</c:v>
                </c:pt>
                <c:pt idx="878">
                  <c:v>45121</c:v>
                </c:pt>
                <c:pt idx="879">
                  <c:v>45124</c:v>
                </c:pt>
                <c:pt idx="880">
                  <c:v>45125</c:v>
                </c:pt>
                <c:pt idx="881">
                  <c:v>45126</c:v>
                </c:pt>
                <c:pt idx="882">
                  <c:v>45127</c:v>
                </c:pt>
                <c:pt idx="883">
                  <c:v>45128</c:v>
                </c:pt>
                <c:pt idx="884">
                  <c:v>45131</c:v>
                </c:pt>
                <c:pt idx="885">
                  <c:v>45132</c:v>
                </c:pt>
                <c:pt idx="886">
                  <c:v>45133</c:v>
                </c:pt>
                <c:pt idx="887">
                  <c:v>45134</c:v>
                </c:pt>
                <c:pt idx="888">
                  <c:v>45135</c:v>
                </c:pt>
                <c:pt idx="889">
                  <c:v>45138</c:v>
                </c:pt>
                <c:pt idx="890">
                  <c:v>45139</c:v>
                </c:pt>
                <c:pt idx="891">
                  <c:v>45140</c:v>
                </c:pt>
                <c:pt idx="892">
                  <c:v>45141</c:v>
                </c:pt>
                <c:pt idx="893">
                  <c:v>45142</c:v>
                </c:pt>
                <c:pt idx="894">
                  <c:v>45145</c:v>
                </c:pt>
                <c:pt idx="895">
                  <c:v>45146</c:v>
                </c:pt>
                <c:pt idx="896">
                  <c:v>45147</c:v>
                </c:pt>
                <c:pt idx="897">
                  <c:v>45148</c:v>
                </c:pt>
                <c:pt idx="898">
                  <c:v>45149</c:v>
                </c:pt>
                <c:pt idx="899">
                  <c:v>45152</c:v>
                </c:pt>
                <c:pt idx="900">
                  <c:v>45154</c:v>
                </c:pt>
                <c:pt idx="901">
                  <c:v>45155</c:v>
                </c:pt>
                <c:pt idx="902">
                  <c:v>45156</c:v>
                </c:pt>
                <c:pt idx="903">
                  <c:v>45159</c:v>
                </c:pt>
                <c:pt idx="904">
                  <c:v>45160</c:v>
                </c:pt>
                <c:pt idx="905">
                  <c:v>45161</c:v>
                </c:pt>
                <c:pt idx="906">
                  <c:v>45162</c:v>
                </c:pt>
                <c:pt idx="907">
                  <c:v>45163</c:v>
                </c:pt>
                <c:pt idx="908">
                  <c:v>45166</c:v>
                </c:pt>
                <c:pt idx="909">
                  <c:v>45167</c:v>
                </c:pt>
                <c:pt idx="910">
                  <c:v>45168</c:v>
                </c:pt>
                <c:pt idx="911">
                  <c:v>45169</c:v>
                </c:pt>
                <c:pt idx="912">
                  <c:v>45170</c:v>
                </c:pt>
                <c:pt idx="913">
                  <c:v>45173</c:v>
                </c:pt>
                <c:pt idx="914">
                  <c:v>45174</c:v>
                </c:pt>
                <c:pt idx="915">
                  <c:v>45175</c:v>
                </c:pt>
                <c:pt idx="916">
                  <c:v>45176</c:v>
                </c:pt>
                <c:pt idx="917">
                  <c:v>45177</c:v>
                </c:pt>
                <c:pt idx="918">
                  <c:v>45180</c:v>
                </c:pt>
                <c:pt idx="919">
                  <c:v>45181</c:v>
                </c:pt>
                <c:pt idx="920">
                  <c:v>45182</c:v>
                </c:pt>
                <c:pt idx="921">
                  <c:v>45183</c:v>
                </c:pt>
                <c:pt idx="922">
                  <c:v>45184</c:v>
                </c:pt>
                <c:pt idx="923">
                  <c:v>45187</c:v>
                </c:pt>
                <c:pt idx="924">
                  <c:v>45189</c:v>
                </c:pt>
                <c:pt idx="925">
                  <c:v>45190</c:v>
                </c:pt>
                <c:pt idx="926">
                  <c:v>45191</c:v>
                </c:pt>
                <c:pt idx="927">
                  <c:v>45194</c:v>
                </c:pt>
                <c:pt idx="928">
                  <c:v>45195</c:v>
                </c:pt>
                <c:pt idx="929">
                  <c:v>45196</c:v>
                </c:pt>
                <c:pt idx="930">
                  <c:v>45197</c:v>
                </c:pt>
                <c:pt idx="931">
                  <c:v>45198</c:v>
                </c:pt>
                <c:pt idx="932">
                  <c:v>45202</c:v>
                </c:pt>
                <c:pt idx="933">
                  <c:v>45203</c:v>
                </c:pt>
                <c:pt idx="934">
                  <c:v>45204</c:v>
                </c:pt>
                <c:pt idx="935">
                  <c:v>45205</c:v>
                </c:pt>
                <c:pt idx="936">
                  <c:v>45208</c:v>
                </c:pt>
                <c:pt idx="937">
                  <c:v>45209</c:v>
                </c:pt>
                <c:pt idx="938">
                  <c:v>45210</c:v>
                </c:pt>
                <c:pt idx="939">
                  <c:v>45211</c:v>
                </c:pt>
                <c:pt idx="940">
                  <c:v>45212</c:v>
                </c:pt>
                <c:pt idx="941">
                  <c:v>45215</c:v>
                </c:pt>
                <c:pt idx="942">
                  <c:v>45216</c:v>
                </c:pt>
                <c:pt idx="943">
                  <c:v>45217</c:v>
                </c:pt>
                <c:pt idx="944">
                  <c:v>45218</c:v>
                </c:pt>
                <c:pt idx="945">
                  <c:v>45219</c:v>
                </c:pt>
                <c:pt idx="946">
                  <c:v>45222</c:v>
                </c:pt>
                <c:pt idx="947">
                  <c:v>45224</c:v>
                </c:pt>
                <c:pt idx="948">
                  <c:v>45225</c:v>
                </c:pt>
                <c:pt idx="949">
                  <c:v>45226</c:v>
                </c:pt>
                <c:pt idx="950">
                  <c:v>45229</c:v>
                </c:pt>
                <c:pt idx="951">
                  <c:v>45230</c:v>
                </c:pt>
                <c:pt idx="952">
                  <c:v>45231</c:v>
                </c:pt>
                <c:pt idx="953">
                  <c:v>45232</c:v>
                </c:pt>
                <c:pt idx="954">
                  <c:v>45233</c:v>
                </c:pt>
                <c:pt idx="955">
                  <c:v>45236</c:v>
                </c:pt>
                <c:pt idx="956">
                  <c:v>45237</c:v>
                </c:pt>
                <c:pt idx="957">
                  <c:v>45238</c:v>
                </c:pt>
                <c:pt idx="958">
                  <c:v>45239</c:v>
                </c:pt>
                <c:pt idx="959">
                  <c:v>45240</c:v>
                </c:pt>
                <c:pt idx="960">
                  <c:v>45242</c:v>
                </c:pt>
                <c:pt idx="961">
                  <c:v>45243</c:v>
                </c:pt>
                <c:pt idx="962">
                  <c:v>45245</c:v>
                </c:pt>
                <c:pt idx="963">
                  <c:v>45246</c:v>
                </c:pt>
                <c:pt idx="964">
                  <c:v>45247</c:v>
                </c:pt>
                <c:pt idx="965">
                  <c:v>45250</c:v>
                </c:pt>
                <c:pt idx="966">
                  <c:v>45251</c:v>
                </c:pt>
                <c:pt idx="967">
                  <c:v>45252</c:v>
                </c:pt>
                <c:pt idx="968">
                  <c:v>45253</c:v>
                </c:pt>
                <c:pt idx="969">
                  <c:v>45254</c:v>
                </c:pt>
                <c:pt idx="970">
                  <c:v>45258</c:v>
                </c:pt>
                <c:pt idx="971">
                  <c:v>45259</c:v>
                </c:pt>
                <c:pt idx="972">
                  <c:v>45260</c:v>
                </c:pt>
                <c:pt idx="973">
                  <c:v>45261</c:v>
                </c:pt>
                <c:pt idx="974">
                  <c:v>45264</c:v>
                </c:pt>
                <c:pt idx="975">
                  <c:v>45265</c:v>
                </c:pt>
                <c:pt idx="976">
                  <c:v>45266</c:v>
                </c:pt>
                <c:pt idx="977">
                  <c:v>45267</c:v>
                </c:pt>
                <c:pt idx="978">
                  <c:v>45268</c:v>
                </c:pt>
                <c:pt idx="979">
                  <c:v>45271</c:v>
                </c:pt>
                <c:pt idx="980">
                  <c:v>45272</c:v>
                </c:pt>
                <c:pt idx="981">
                  <c:v>45273</c:v>
                </c:pt>
                <c:pt idx="982">
                  <c:v>45274</c:v>
                </c:pt>
                <c:pt idx="983">
                  <c:v>45275</c:v>
                </c:pt>
                <c:pt idx="984">
                  <c:v>45278</c:v>
                </c:pt>
                <c:pt idx="985">
                  <c:v>45279</c:v>
                </c:pt>
                <c:pt idx="986">
                  <c:v>45280</c:v>
                </c:pt>
                <c:pt idx="987">
                  <c:v>45281</c:v>
                </c:pt>
                <c:pt idx="988">
                  <c:v>45282</c:v>
                </c:pt>
                <c:pt idx="989">
                  <c:v>45286</c:v>
                </c:pt>
                <c:pt idx="990">
                  <c:v>45287</c:v>
                </c:pt>
                <c:pt idx="991">
                  <c:v>45288</c:v>
                </c:pt>
                <c:pt idx="992">
                  <c:v>45289</c:v>
                </c:pt>
                <c:pt idx="993">
                  <c:v>45292</c:v>
                </c:pt>
                <c:pt idx="994">
                  <c:v>45293</c:v>
                </c:pt>
                <c:pt idx="995">
                  <c:v>45294</c:v>
                </c:pt>
                <c:pt idx="996">
                  <c:v>45295</c:v>
                </c:pt>
                <c:pt idx="997">
                  <c:v>45296</c:v>
                </c:pt>
                <c:pt idx="998">
                  <c:v>45299</c:v>
                </c:pt>
                <c:pt idx="999">
                  <c:v>45300</c:v>
                </c:pt>
                <c:pt idx="1000">
                  <c:v>45301</c:v>
                </c:pt>
                <c:pt idx="1001">
                  <c:v>45302</c:v>
                </c:pt>
                <c:pt idx="1002">
                  <c:v>45303</c:v>
                </c:pt>
                <c:pt idx="1003">
                  <c:v>45306</c:v>
                </c:pt>
                <c:pt idx="1004">
                  <c:v>45307</c:v>
                </c:pt>
                <c:pt idx="1005">
                  <c:v>45308</c:v>
                </c:pt>
                <c:pt idx="1006">
                  <c:v>45309</c:v>
                </c:pt>
                <c:pt idx="1007">
                  <c:v>45310</c:v>
                </c:pt>
                <c:pt idx="1008">
                  <c:v>45311</c:v>
                </c:pt>
                <c:pt idx="1009">
                  <c:v>45314</c:v>
                </c:pt>
                <c:pt idx="1010">
                  <c:v>45315</c:v>
                </c:pt>
                <c:pt idx="1011">
                  <c:v>45316</c:v>
                </c:pt>
                <c:pt idx="1012">
                  <c:v>45320</c:v>
                </c:pt>
                <c:pt idx="1013">
                  <c:v>45321</c:v>
                </c:pt>
                <c:pt idx="1014">
                  <c:v>45322</c:v>
                </c:pt>
                <c:pt idx="1015">
                  <c:v>45323</c:v>
                </c:pt>
                <c:pt idx="1016">
                  <c:v>45324</c:v>
                </c:pt>
                <c:pt idx="1017">
                  <c:v>45327</c:v>
                </c:pt>
                <c:pt idx="1018">
                  <c:v>45328</c:v>
                </c:pt>
                <c:pt idx="1019">
                  <c:v>45329</c:v>
                </c:pt>
                <c:pt idx="1020">
                  <c:v>45330</c:v>
                </c:pt>
                <c:pt idx="1021">
                  <c:v>45331</c:v>
                </c:pt>
                <c:pt idx="1022">
                  <c:v>45334</c:v>
                </c:pt>
                <c:pt idx="1023">
                  <c:v>45335</c:v>
                </c:pt>
                <c:pt idx="1024">
                  <c:v>45336</c:v>
                </c:pt>
                <c:pt idx="1025">
                  <c:v>45337</c:v>
                </c:pt>
                <c:pt idx="1026">
                  <c:v>45338</c:v>
                </c:pt>
                <c:pt idx="1027">
                  <c:v>45341</c:v>
                </c:pt>
                <c:pt idx="1028">
                  <c:v>45342</c:v>
                </c:pt>
                <c:pt idx="1029">
                  <c:v>45343</c:v>
                </c:pt>
                <c:pt idx="1030">
                  <c:v>45344</c:v>
                </c:pt>
                <c:pt idx="1031">
                  <c:v>45345</c:v>
                </c:pt>
                <c:pt idx="1032">
                  <c:v>45348</c:v>
                </c:pt>
                <c:pt idx="1033">
                  <c:v>45349</c:v>
                </c:pt>
                <c:pt idx="1034">
                  <c:v>45350</c:v>
                </c:pt>
                <c:pt idx="1035">
                  <c:v>45351</c:v>
                </c:pt>
                <c:pt idx="1036">
                  <c:v>45352</c:v>
                </c:pt>
                <c:pt idx="1037">
                  <c:v>45353</c:v>
                </c:pt>
                <c:pt idx="1038">
                  <c:v>45355</c:v>
                </c:pt>
                <c:pt idx="1039">
                  <c:v>45356</c:v>
                </c:pt>
                <c:pt idx="1040">
                  <c:v>45357</c:v>
                </c:pt>
                <c:pt idx="1041">
                  <c:v>45358</c:v>
                </c:pt>
                <c:pt idx="1042">
                  <c:v>45362</c:v>
                </c:pt>
                <c:pt idx="1043">
                  <c:v>45363</c:v>
                </c:pt>
                <c:pt idx="1044">
                  <c:v>45364</c:v>
                </c:pt>
                <c:pt idx="1045">
                  <c:v>45365</c:v>
                </c:pt>
                <c:pt idx="1046">
                  <c:v>45366</c:v>
                </c:pt>
                <c:pt idx="1047">
                  <c:v>45369</c:v>
                </c:pt>
                <c:pt idx="1048">
                  <c:v>45370</c:v>
                </c:pt>
                <c:pt idx="1049">
                  <c:v>45371</c:v>
                </c:pt>
                <c:pt idx="1050">
                  <c:v>45372</c:v>
                </c:pt>
                <c:pt idx="1051">
                  <c:v>45373</c:v>
                </c:pt>
                <c:pt idx="1052">
                  <c:v>45377</c:v>
                </c:pt>
                <c:pt idx="1053">
                  <c:v>45378</c:v>
                </c:pt>
                <c:pt idx="1054">
                  <c:v>45379</c:v>
                </c:pt>
                <c:pt idx="1055">
                  <c:v>45383</c:v>
                </c:pt>
                <c:pt idx="1056">
                  <c:v>45384</c:v>
                </c:pt>
                <c:pt idx="1057">
                  <c:v>45385</c:v>
                </c:pt>
                <c:pt idx="1058">
                  <c:v>45386</c:v>
                </c:pt>
                <c:pt idx="1059">
                  <c:v>45387</c:v>
                </c:pt>
                <c:pt idx="1060">
                  <c:v>45390</c:v>
                </c:pt>
                <c:pt idx="1061">
                  <c:v>45391</c:v>
                </c:pt>
                <c:pt idx="1062">
                  <c:v>45392</c:v>
                </c:pt>
                <c:pt idx="1063">
                  <c:v>45394</c:v>
                </c:pt>
                <c:pt idx="1064">
                  <c:v>45397</c:v>
                </c:pt>
                <c:pt idx="1065">
                  <c:v>45398</c:v>
                </c:pt>
                <c:pt idx="1066">
                  <c:v>45400</c:v>
                </c:pt>
                <c:pt idx="1067">
                  <c:v>45401</c:v>
                </c:pt>
                <c:pt idx="1068">
                  <c:v>45404</c:v>
                </c:pt>
                <c:pt idx="1069">
                  <c:v>45405</c:v>
                </c:pt>
                <c:pt idx="1070">
                  <c:v>45406</c:v>
                </c:pt>
                <c:pt idx="1071">
                  <c:v>45407</c:v>
                </c:pt>
                <c:pt idx="1072">
                  <c:v>45408</c:v>
                </c:pt>
                <c:pt idx="1073">
                  <c:v>45411</c:v>
                </c:pt>
                <c:pt idx="1074">
                  <c:v>45412</c:v>
                </c:pt>
                <c:pt idx="1075">
                  <c:v>45414</c:v>
                </c:pt>
                <c:pt idx="1076">
                  <c:v>45415</c:v>
                </c:pt>
                <c:pt idx="1077">
                  <c:v>45418</c:v>
                </c:pt>
                <c:pt idx="1078">
                  <c:v>45419</c:v>
                </c:pt>
                <c:pt idx="1079">
                  <c:v>45420</c:v>
                </c:pt>
                <c:pt idx="1080">
                  <c:v>45421</c:v>
                </c:pt>
                <c:pt idx="1081">
                  <c:v>45422</c:v>
                </c:pt>
                <c:pt idx="1082">
                  <c:v>45425</c:v>
                </c:pt>
                <c:pt idx="1083">
                  <c:v>45426</c:v>
                </c:pt>
                <c:pt idx="1084">
                  <c:v>45427</c:v>
                </c:pt>
                <c:pt idx="1085">
                  <c:v>45428</c:v>
                </c:pt>
                <c:pt idx="1086">
                  <c:v>45429</c:v>
                </c:pt>
                <c:pt idx="1087">
                  <c:v>45430</c:v>
                </c:pt>
                <c:pt idx="1088">
                  <c:v>45433</c:v>
                </c:pt>
                <c:pt idx="1089">
                  <c:v>45434</c:v>
                </c:pt>
                <c:pt idx="1090">
                  <c:v>45435</c:v>
                </c:pt>
                <c:pt idx="1091">
                  <c:v>45436</c:v>
                </c:pt>
                <c:pt idx="1092">
                  <c:v>45439</c:v>
                </c:pt>
                <c:pt idx="1093">
                  <c:v>45440</c:v>
                </c:pt>
                <c:pt idx="1094">
                  <c:v>45441</c:v>
                </c:pt>
                <c:pt idx="1095">
                  <c:v>45442</c:v>
                </c:pt>
                <c:pt idx="1096">
                  <c:v>45443</c:v>
                </c:pt>
                <c:pt idx="1097">
                  <c:v>45446</c:v>
                </c:pt>
                <c:pt idx="1098">
                  <c:v>45447</c:v>
                </c:pt>
                <c:pt idx="1099">
                  <c:v>45448</c:v>
                </c:pt>
                <c:pt idx="1100">
                  <c:v>45449</c:v>
                </c:pt>
                <c:pt idx="1101">
                  <c:v>45450</c:v>
                </c:pt>
                <c:pt idx="1102">
                  <c:v>45453</c:v>
                </c:pt>
                <c:pt idx="1103">
                  <c:v>45454</c:v>
                </c:pt>
                <c:pt idx="1104">
                  <c:v>45455</c:v>
                </c:pt>
                <c:pt idx="1105">
                  <c:v>45456</c:v>
                </c:pt>
                <c:pt idx="1106">
                  <c:v>45457</c:v>
                </c:pt>
                <c:pt idx="1107">
                  <c:v>45461</c:v>
                </c:pt>
                <c:pt idx="1108">
                  <c:v>45462</c:v>
                </c:pt>
                <c:pt idx="1109">
                  <c:v>45463</c:v>
                </c:pt>
                <c:pt idx="1110">
                  <c:v>45464</c:v>
                </c:pt>
                <c:pt idx="1111">
                  <c:v>45467</c:v>
                </c:pt>
                <c:pt idx="1112">
                  <c:v>45468</c:v>
                </c:pt>
                <c:pt idx="1113">
                  <c:v>45469</c:v>
                </c:pt>
                <c:pt idx="1114">
                  <c:v>45470</c:v>
                </c:pt>
                <c:pt idx="1115">
                  <c:v>45471</c:v>
                </c:pt>
                <c:pt idx="1116">
                  <c:v>45474</c:v>
                </c:pt>
                <c:pt idx="1117">
                  <c:v>45475</c:v>
                </c:pt>
                <c:pt idx="1118">
                  <c:v>45476</c:v>
                </c:pt>
                <c:pt idx="1119">
                  <c:v>45477</c:v>
                </c:pt>
                <c:pt idx="1120">
                  <c:v>45478</c:v>
                </c:pt>
                <c:pt idx="1121">
                  <c:v>45481</c:v>
                </c:pt>
                <c:pt idx="1122">
                  <c:v>45482</c:v>
                </c:pt>
                <c:pt idx="1123">
                  <c:v>45483</c:v>
                </c:pt>
                <c:pt idx="1124">
                  <c:v>45484</c:v>
                </c:pt>
                <c:pt idx="1125">
                  <c:v>45485</c:v>
                </c:pt>
                <c:pt idx="1126">
                  <c:v>45488</c:v>
                </c:pt>
                <c:pt idx="1127">
                  <c:v>45489</c:v>
                </c:pt>
                <c:pt idx="1128">
                  <c:v>45491</c:v>
                </c:pt>
                <c:pt idx="1129">
                  <c:v>45492</c:v>
                </c:pt>
                <c:pt idx="1130">
                  <c:v>45495</c:v>
                </c:pt>
                <c:pt idx="1131">
                  <c:v>45496</c:v>
                </c:pt>
                <c:pt idx="1132">
                  <c:v>45497</c:v>
                </c:pt>
                <c:pt idx="1133">
                  <c:v>45498</c:v>
                </c:pt>
                <c:pt idx="1134">
                  <c:v>45499</c:v>
                </c:pt>
                <c:pt idx="1135">
                  <c:v>45502</c:v>
                </c:pt>
                <c:pt idx="1136">
                  <c:v>45503</c:v>
                </c:pt>
                <c:pt idx="1137">
                  <c:v>45504</c:v>
                </c:pt>
                <c:pt idx="1138">
                  <c:v>45505</c:v>
                </c:pt>
                <c:pt idx="1139">
                  <c:v>45506</c:v>
                </c:pt>
                <c:pt idx="1140">
                  <c:v>45509</c:v>
                </c:pt>
                <c:pt idx="1141">
                  <c:v>45510</c:v>
                </c:pt>
                <c:pt idx="1142">
                  <c:v>45511</c:v>
                </c:pt>
                <c:pt idx="1143">
                  <c:v>45512</c:v>
                </c:pt>
                <c:pt idx="1144">
                  <c:v>45513</c:v>
                </c:pt>
                <c:pt idx="1145">
                  <c:v>45516</c:v>
                </c:pt>
                <c:pt idx="1146">
                  <c:v>45517</c:v>
                </c:pt>
                <c:pt idx="1147">
                  <c:v>45518</c:v>
                </c:pt>
                <c:pt idx="1148">
                  <c:v>45520</c:v>
                </c:pt>
                <c:pt idx="1149">
                  <c:v>45523</c:v>
                </c:pt>
                <c:pt idx="1150">
                  <c:v>45524</c:v>
                </c:pt>
                <c:pt idx="1151">
                  <c:v>45525</c:v>
                </c:pt>
                <c:pt idx="1152">
                  <c:v>45526</c:v>
                </c:pt>
                <c:pt idx="1153">
                  <c:v>45527</c:v>
                </c:pt>
                <c:pt idx="1154">
                  <c:v>45530</c:v>
                </c:pt>
                <c:pt idx="1155">
                  <c:v>45531</c:v>
                </c:pt>
                <c:pt idx="1156">
                  <c:v>45532</c:v>
                </c:pt>
                <c:pt idx="1157">
                  <c:v>45533</c:v>
                </c:pt>
                <c:pt idx="1158">
                  <c:v>45534</c:v>
                </c:pt>
                <c:pt idx="1159">
                  <c:v>45537</c:v>
                </c:pt>
                <c:pt idx="1160">
                  <c:v>45538</c:v>
                </c:pt>
                <c:pt idx="1161">
                  <c:v>45539</c:v>
                </c:pt>
                <c:pt idx="1162">
                  <c:v>45540</c:v>
                </c:pt>
                <c:pt idx="1163">
                  <c:v>45541</c:v>
                </c:pt>
                <c:pt idx="1164">
                  <c:v>45544</c:v>
                </c:pt>
                <c:pt idx="1165">
                  <c:v>45545</c:v>
                </c:pt>
                <c:pt idx="1166">
                  <c:v>45546</c:v>
                </c:pt>
                <c:pt idx="1167">
                  <c:v>45547</c:v>
                </c:pt>
                <c:pt idx="1168">
                  <c:v>45548</c:v>
                </c:pt>
                <c:pt idx="1169">
                  <c:v>45551</c:v>
                </c:pt>
                <c:pt idx="1170">
                  <c:v>45552</c:v>
                </c:pt>
                <c:pt idx="1171">
                  <c:v>45553</c:v>
                </c:pt>
                <c:pt idx="1172">
                  <c:v>45554</c:v>
                </c:pt>
                <c:pt idx="1173">
                  <c:v>45555</c:v>
                </c:pt>
                <c:pt idx="1174">
                  <c:v>45558</c:v>
                </c:pt>
                <c:pt idx="1175">
                  <c:v>45559</c:v>
                </c:pt>
                <c:pt idx="1176">
                  <c:v>45560</c:v>
                </c:pt>
                <c:pt idx="1177">
                  <c:v>45561</c:v>
                </c:pt>
                <c:pt idx="1178">
                  <c:v>45562</c:v>
                </c:pt>
                <c:pt idx="1179">
                  <c:v>45565</c:v>
                </c:pt>
                <c:pt idx="1180">
                  <c:v>45566</c:v>
                </c:pt>
                <c:pt idx="1181">
                  <c:v>45568</c:v>
                </c:pt>
                <c:pt idx="1182">
                  <c:v>45569</c:v>
                </c:pt>
                <c:pt idx="1183">
                  <c:v>45572</c:v>
                </c:pt>
                <c:pt idx="1184">
                  <c:v>45573</c:v>
                </c:pt>
                <c:pt idx="1185">
                  <c:v>45574</c:v>
                </c:pt>
                <c:pt idx="1186">
                  <c:v>45575</c:v>
                </c:pt>
                <c:pt idx="1187">
                  <c:v>45576</c:v>
                </c:pt>
                <c:pt idx="1188">
                  <c:v>45579</c:v>
                </c:pt>
                <c:pt idx="1189">
                  <c:v>45580</c:v>
                </c:pt>
                <c:pt idx="1190">
                  <c:v>45581</c:v>
                </c:pt>
                <c:pt idx="1191">
                  <c:v>45582</c:v>
                </c:pt>
                <c:pt idx="1192">
                  <c:v>45583</c:v>
                </c:pt>
                <c:pt idx="1193">
                  <c:v>45586</c:v>
                </c:pt>
                <c:pt idx="1194">
                  <c:v>45587</c:v>
                </c:pt>
                <c:pt idx="1195">
                  <c:v>45588</c:v>
                </c:pt>
                <c:pt idx="1196">
                  <c:v>45589</c:v>
                </c:pt>
                <c:pt idx="1197">
                  <c:v>45590</c:v>
                </c:pt>
                <c:pt idx="1198">
                  <c:v>45593</c:v>
                </c:pt>
                <c:pt idx="1199">
                  <c:v>45594</c:v>
                </c:pt>
                <c:pt idx="1200">
                  <c:v>45595</c:v>
                </c:pt>
                <c:pt idx="1201">
                  <c:v>45596</c:v>
                </c:pt>
                <c:pt idx="1202">
                  <c:v>45597</c:v>
                </c:pt>
                <c:pt idx="1203">
                  <c:v>45600</c:v>
                </c:pt>
                <c:pt idx="1204">
                  <c:v>45601</c:v>
                </c:pt>
                <c:pt idx="1205">
                  <c:v>45602</c:v>
                </c:pt>
                <c:pt idx="1206">
                  <c:v>45603</c:v>
                </c:pt>
                <c:pt idx="1207">
                  <c:v>45604</c:v>
                </c:pt>
                <c:pt idx="1208">
                  <c:v>45607</c:v>
                </c:pt>
                <c:pt idx="1209">
                  <c:v>45608</c:v>
                </c:pt>
                <c:pt idx="1210">
                  <c:v>45609</c:v>
                </c:pt>
                <c:pt idx="1211">
                  <c:v>45610</c:v>
                </c:pt>
                <c:pt idx="1212">
                  <c:v>45614</c:v>
                </c:pt>
                <c:pt idx="1213">
                  <c:v>45615</c:v>
                </c:pt>
                <c:pt idx="1214">
                  <c:v>45617</c:v>
                </c:pt>
                <c:pt idx="1215">
                  <c:v>45618</c:v>
                </c:pt>
                <c:pt idx="1216">
                  <c:v>45621</c:v>
                </c:pt>
                <c:pt idx="1217">
                  <c:v>45622</c:v>
                </c:pt>
                <c:pt idx="1218">
                  <c:v>45623</c:v>
                </c:pt>
                <c:pt idx="1219">
                  <c:v>45624</c:v>
                </c:pt>
                <c:pt idx="1220">
                  <c:v>45625</c:v>
                </c:pt>
                <c:pt idx="1221">
                  <c:v>45628</c:v>
                </c:pt>
                <c:pt idx="1222">
                  <c:v>45629</c:v>
                </c:pt>
                <c:pt idx="1223">
                  <c:v>45630</c:v>
                </c:pt>
                <c:pt idx="1224">
                  <c:v>45631</c:v>
                </c:pt>
                <c:pt idx="1225">
                  <c:v>45632</c:v>
                </c:pt>
                <c:pt idx="1226">
                  <c:v>45635</c:v>
                </c:pt>
                <c:pt idx="1227">
                  <c:v>45636</c:v>
                </c:pt>
                <c:pt idx="1228">
                  <c:v>45637</c:v>
                </c:pt>
                <c:pt idx="1229">
                  <c:v>45638</c:v>
                </c:pt>
                <c:pt idx="1230">
                  <c:v>45639</c:v>
                </c:pt>
                <c:pt idx="1231">
                  <c:v>45642</c:v>
                </c:pt>
                <c:pt idx="1232">
                  <c:v>45643</c:v>
                </c:pt>
                <c:pt idx="1233">
                  <c:v>45644</c:v>
                </c:pt>
                <c:pt idx="1234">
                  <c:v>45645</c:v>
                </c:pt>
                <c:pt idx="1235">
                  <c:v>45646</c:v>
                </c:pt>
                <c:pt idx="1236">
                  <c:v>45649</c:v>
                </c:pt>
                <c:pt idx="1237">
                  <c:v>45650</c:v>
                </c:pt>
                <c:pt idx="1238">
                  <c:v>45652</c:v>
                </c:pt>
                <c:pt idx="1239">
                  <c:v>45653</c:v>
                </c:pt>
                <c:pt idx="1240">
                  <c:v>45656</c:v>
                </c:pt>
                <c:pt idx="1241">
                  <c:v>45657</c:v>
                </c:pt>
                <c:pt idx="1242">
                  <c:v>45658</c:v>
                </c:pt>
                <c:pt idx="1243">
                  <c:v>45659</c:v>
                </c:pt>
                <c:pt idx="1244">
                  <c:v>45660</c:v>
                </c:pt>
                <c:pt idx="1245">
                  <c:v>45663</c:v>
                </c:pt>
                <c:pt idx="1246">
                  <c:v>45664</c:v>
                </c:pt>
                <c:pt idx="1247">
                  <c:v>45665</c:v>
                </c:pt>
                <c:pt idx="1248">
                  <c:v>45666</c:v>
                </c:pt>
                <c:pt idx="1249">
                  <c:v>45667</c:v>
                </c:pt>
                <c:pt idx="1250">
                  <c:v>45670</c:v>
                </c:pt>
                <c:pt idx="1251">
                  <c:v>45671</c:v>
                </c:pt>
                <c:pt idx="1252">
                  <c:v>45672</c:v>
                </c:pt>
                <c:pt idx="1253">
                  <c:v>45673</c:v>
                </c:pt>
                <c:pt idx="1254">
                  <c:v>45674</c:v>
                </c:pt>
                <c:pt idx="1255">
                  <c:v>45677</c:v>
                </c:pt>
                <c:pt idx="1256">
                  <c:v>45678</c:v>
                </c:pt>
                <c:pt idx="1257">
                  <c:v>45679</c:v>
                </c:pt>
                <c:pt idx="1258">
                  <c:v>45680</c:v>
                </c:pt>
                <c:pt idx="1259">
                  <c:v>45681</c:v>
                </c:pt>
                <c:pt idx="1260">
                  <c:v>45684</c:v>
                </c:pt>
                <c:pt idx="1261">
                  <c:v>45685</c:v>
                </c:pt>
                <c:pt idx="1262">
                  <c:v>45686</c:v>
                </c:pt>
                <c:pt idx="1263">
                  <c:v>45687</c:v>
                </c:pt>
                <c:pt idx="1264">
                  <c:v>45688</c:v>
                </c:pt>
                <c:pt idx="1265">
                  <c:v>45689</c:v>
                </c:pt>
                <c:pt idx="1266">
                  <c:v>45691</c:v>
                </c:pt>
                <c:pt idx="1267">
                  <c:v>45692</c:v>
                </c:pt>
                <c:pt idx="1268">
                  <c:v>45693</c:v>
                </c:pt>
                <c:pt idx="1269">
                  <c:v>45694</c:v>
                </c:pt>
                <c:pt idx="1270">
                  <c:v>45695</c:v>
                </c:pt>
                <c:pt idx="1271">
                  <c:v>45698</c:v>
                </c:pt>
                <c:pt idx="1272">
                  <c:v>45699</c:v>
                </c:pt>
                <c:pt idx="1273">
                  <c:v>45700</c:v>
                </c:pt>
                <c:pt idx="1274">
                  <c:v>45701</c:v>
                </c:pt>
                <c:pt idx="1275">
                  <c:v>45702</c:v>
                </c:pt>
                <c:pt idx="1276">
                  <c:v>45705</c:v>
                </c:pt>
                <c:pt idx="1277">
                  <c:v>45706</c:v>
                </c:pt>
                <c:pt idx="1278">
                  <c:v>45707</c:v>
                </c:pt>
                <c:pt idx="1279">
                  <c:v>45708</c:v>
                </c:pt>
                <c:pt idx="1280">
                  <c:v>45709</c:v>
                </c:pt>
                <c:pt idx="1281">
                  <c:v>45712</c:v>
                </c:pt>
                <c:pt idx="1282">
                  <c:v>45713</c:v>
                </c:pt>
                <c:pt idx="1283">
                  <c:v>45715</c:v>
                </c:pt>
                <c:pt idx="1284">
                  <c:v>45716</c:v>
                </c:pt>
                <c:pt idx="1285">
                  <c:v>45719</c:v>
                </c:pt>
                <c:pt idx="1286">
                  <c:v>45720</c:v>
                </c:pt>
                <c:pt idx="1287">
                  <c:v>45721</c:v>
                </c:pt>
                <c:pt idx="1288">
                  <c:v>45722</c:v>
                </c:pt>
                <c:pt idx="1289">
                  <c:v>45723</c:v>
                </c:pt>
                <c:pt idx="1290">
                  <c:v>45726</c:v>
                </c:pt>
                <c:pt idx="1291">
                  <c:v>45727</c:v>
                </c:pt>
                <c:pt idx="1292">
                  <c:v>45728</c:v>
                </c:pt>
                <c:pt idx="1293">
                  <c:v>45729</c:v>
                </c:pt>
                <c:pt idx="1294">
                  <c:v>45733</c:v>
                </c:pt>
                <c:pt idx="1295">
                  <c:v>45734</c:v>
                </c:pt>
                <c:pt idx="1296">
                  <c:v>45735</c:v>
                </c:pt>
                <c:pt idx="1297">
                  <c:v>45736</c:v>
                </c:pt>
                <c:pt idx="1298">
                  <c:v>45737</c:v>
                </c:pt>
                <c:pt idx="1299">
                  <c:v>45740</c:v>
                </c:pt>
                <c:pt idx="1300">
                  <c:v>45741</c:v>
                </c:pt>
                <c:pt idx="1301">
                  <c:v>45742</c:v>
                </c:pt>
                <c:pt idx="1302">
                  <c:v>45743</c:v>
                </c:pt>
                <c:pt idx="1303">
                  <c:v>45744</c:v>
                </c:pt>
                <c:pt idx="1304">
                  <c:v>45748</c:v>
                </c:pt>
                <c:pt idx="1305">
                  <c:v>45749</c:v>
                </c:pt>
                <c:pt idx="1306">
                  <c:v>45750</c:v>
                </c:pt>
                <c:pt idx="1307">
                  <c:v>45751</c:v>
                </c:pt>
                <c:pt idx="1308">
                  <c:v>45754</c:v>
                </c:pt>
                <c:pt idx="1309">
                  <c:v>45755</c:v>
                </c:pt>
                <c:pt idx="1310">
                  <c:v>45756</c:v>
                </c:pt>
                <c:pt idx="1311">
                  <c:v>45758</c:v>
                </c:pt>
                <c:pt idx="1312">
                  <c:v>45762</c:v>
                </c:pt>
                <c:pt idx="1313">
                  <c:v>45763</c:v>
                </c:pt>
                <c:pt idx="1314">
                  <c:v>45764</c:v>
                </c:pt>
                <c:pt idx="1315">
                  <c:v>45768</c:v>
                </c:pt>
                <c:pt idx="1316">
                  <c:v>45769</c:v>
                </c:pt>
                <c:pt idx="1317">
                  <c:v>45770</c:v>
                </c:pt>
                <c:pt idx="1318">
                  <c:v>45771</c:v>
                </c:pt>
                <c:pt idx="1319">
                  <c:v>45772</c:v>
                </c:pt>
                <c:pt idx="1320">
                  <c:v>45775</c:v>
                </c:pt>
                <c:pt idx="1321">
                  <c:v>45776</c:v>
                </c:pt>
                <c:pt idx="1322">
                  <c:v>45777</c:v>
                </c:pt>
                <c:pt idx="1323">
                  <c:v>45779</c:v>
                </c:pt>
                <c:pt idx="1324">
                  <c:v>45782</c:v>
                </c:pt>
                <c:pt idx="1325">
                  <c:v>45783</c:v>
                </c:pt>
                <c:pt idx="1326">
                  <c:v>45784</c:v>
                </c:pt>
                <c:pt idx="1327">
                  <c:v>45785</c:v>
                </c:pt>
                <c:pt idx="1328">
                  <c:v>45786</c:v>
                </c:pt>
                <c:pt idx="1329">
                  <c:v>45789</c:v>
                </c:pt>
                <c:pt idx="1330">
                  <c:v>45790</c:v>
                </c:pt>
                <c:pt idx="1331">
                  <c:v>45791</c:v>
                </c:pt>
                <c:pt idx="1332">
                  <c:v>45792</c:v>
                </c:pt>
                <c:pt idx="1333">
                  <c:v>45793</c:v>
                </c:pt>
                <c:pt idx="1334">
                  <c:v>45796</c:v>
                </c:pt>
                <c:pt idx="1335">
                  <c:v>45797</c:v>
                </c:pt>
                <c:pt idx="1336">
                  <c:v>45798</c:v>
                </c:pt>
                <c:pt idx="1337">
                  <c:v>45799</c:v>
                </c:pt>
                <c:pt idx="1338">
                  <c:v>45800</c:v>
                </c:pt>
                <c:pt idx="1339">
                  <c:v>45803</c:v>
                </c:pt>
                <c:pt idx="1340">
                  <c:v>45804</c:v>
                </c:pt>
                <c:pt idx="1341">
                  <c:v>45805</c:v>
                </c:pt>
                <c:pt idx="1342">
                  <c:v>45806</c:v>
                </c:pt>
                <c:pt idx="1343">
                  <c:v>45807</c:v>
                </c:pt>
                <c:pt idx="1344">
                  <c:v>45810</c:v>
                </c:pt>
                <c:pt idx="1345">
                  <c:v>45811</c:v>
                </c:pt>
                <c:pt idx="1346">
                  <c:v>45812</c:v>
                </c:pt>
                <c:pt idx="1347">
                  <c:v>45813</c:v>
                </c:pt>
                <c:pt idx="1348">
                  <c:v>45814</c:v>
                </c:pt>
                <c:pt idx="1349">
                  <c:v>45817</c:v>
                </c:pt>
                <c:pt idx="1350">
                  <c:v>45818</c:v>
                </c:pt>
                <c:pt idx="1351">
                  <c:v>45819</c:v>
                </c:pt>
                <c:pt idx="1352">
                  <c:v>45820</c:v>
                </c:pt>
                <c:pt idx="1353">
                  <c:v>45821</c:v>
                </c:pt>
                <c:pt idx="1354">
                  <c:v>45824</c:v>
                </c:pt>
                <c:pt idx="1355">
                  <c:v>45825</c:v>
                </c:pt>
                <c:pt idx="1356">
                  <c:v>45826</c:v>
                </c:pt>
                <c:pt idx="1357">
                  <c:v>45827</c:v>
                </c:pt>
                <c:pt idx="1358">
                  <c:v>45828</c:v>
                </c:pt>
                <c:pt idx="1359">
                  <c:v>45831</c:v>
                </c:pt>
                <c:pt idx="1360">
                  <c:v>45832</c:v>
                </c:pt>
                <c:pt idx="1361">
                  <c:v>45833</c:v>
                </c:pt>
                <c:pt idx="1362">
                  <c:v>45834</c:v>
                </c:pt>
                <c:pt idx="1363">
                  <c:v>45835</c:v>
                </c:pt>
                <c:pt idx="1364">
                  <c:v>45838</c:v>
                </c:pt>
                <c:pt idx="1365">
                  <c:v>45839</c:v>
                </c:pt>
                <c:pt idx="1366">
                  <c:v>45840</c:v>
                </c:pt>
                <c:pt idx="1367">
                  <c:v>45841</c:v>
                </c:pt>
                <c:pt idx="1368">
                  <c:v>45842</c:v>
                </c:pt>
                <c:pt idx="1369">
                  <c:v>45845</c:v>
                </c:pt>
                <c:pt idx="1370">
                  <c:v>45846</c:v>
                </c:pt>
                <c:pt idx="1371">
                  <c:v>45847</c:v>
                </c:pt>
                <c:pt idx="1372">
                  <c:v>45848</c:v>
                </c:pt>
                <c:pt idx="1373">
                  <c:v>45849</c:v>
                </c:pt>
                <c:pt idx="1374">
                  <c:v>45852</c:v>
                </c:pt>
                <c:pt idx="1375">
                  <c:v>45853</c:v>
                </c:pt>
                <c:pt idx="1376">
                  <c:v>45854</c:v>
                </c:pt>
                <c:pt idx="1377">
                  <c:v>45855</c:v>
                </c:pt>
                <c:pt idx="1378">
                  <c:v>45856</c:v>
                </c:pt>
                <c:pt idx="1379">
                  <c:v>45859</c:v>
                </c:pt>
                <c:pt idx="1380">
                  <c:v>45860</c:v>
                </c:pt>
                <c:pt idx="1381">
                  <c:v>45861</c:v>
                </c:pt>
                <c:pt idx="1382">
                  <c:v>45862</c:v>
                </c:pt>
                <c:pt idx="1383">
                  <c:v>45863</c:v>
                </c:pt>
                <c:pt idx="1384">
                  <c:v>45866</c:v>
                </c:pt>
                <c:pt idx="1385">
                  <c:v>45867</c:v>
                </c:pt>
                <c:pt idx="1386">
                  <c:v>45868</c:v>
                </c:pt>
                <c:pt idx="1387">
                  <c:v>45869</c:v>
                </c:pt>
                <c:pt idx="1388">
                  <c:v>45870</c:v>
                </c:pt>
                <c:pt idx="1389">
                  <c:v>45873</c:v>
                </c:pt>
                <c:pt idx="1390">
                  <c:v>45874</c:v>
                </c:pt>
                <c:pt idx="1391">
                  <c:v>45875</c:v>
                </c:pt>
                <c:pt idx="1392">
                  <c:v>45876</c:v>
                </c:pt>
                <c:pt idx="1393">
                  <c:v>45877</c:v>
                </c:pt>
                <c:pt idx="1394">
                  <c:v>45880</c:v>
                </c:pt>
                <c:pt idx="1395">
                  <c:v>45881</c:v>
                </c:pt>
                <c:pt idx="1396">
                  <c:v>45882</c:v>
                </c:pt>
                <c:pt idx="1397">
                  <c:v>45883</c:v>
                </c:pt>
                <c:pt idx="1398">
                  <c:v>45887</c:v>
                </c:pt>
                <c:pt idx="1399">
                  <c:v>45888</c:v>
                </c:pt>
                <c:pt idx="1400">
                  <c:v>45889</c:v>
                </c:pt>
                <c:pt idx="1401">
                  <c:v>45890</c:v>
                </c:pt>
                <c:pt idx="1402">
                  <c:v>45891</c:v>
                </c:pt>
                <c:pt idx="1403">
                  <c:v>45894</c:v>
                </c:pt>
                <c:pt idx="1404">
                  <c:v>45895</c:v>
                </c:pt>
                <c:pt idx="1405">
                  <c:v>45897</c:v>
                </c:pt>
                <c:pt idx="1406">
                  <c:v>45898</c:v>
                </c:pt>
                <c:pt idx="1407">
                  <c:v>45901</c:v>
                </c:pt>
                <c:pt idx="1408">
                  <c:v>45902</c:v>
                </c:pt>
                <c:pt idx="1409">
                  <c:v>45903</c:v>
                </c:pt>
                <c:pt idx="1410">
                  <c:v>45904</c:v>
                </c:pt>
                <c:pt idx="1411">
                  <c:v>45905</c:v>
                </c:pt>
                <c:pt idx="1412">
                  <c:v>45908</c:v>
                </c:pt>
                <c:pt idx="1413">
                  <c:v>45909</c:v>
                </c:pt>
                <c:pt idx="1414">
                  <c:v>45910</c:v>
                </c:pt>
                <c:pt idx="1415">
                  <c:v>45911</c:v>
                </c:pt>
                <c:pt idx="1416">
                  <c:v>45912</c:v>
                </c:pt>
                <c:pt idx="1417">
                  <c:v>45915</c:v>
                </c:pt>
                <c:pt idx="1418">
                  <c:v>45916</c:v>
                </c:pt>
                <c:pt idx="1419">
                  <c:v>45917</c:v>
                </c:pt>
                <c:pt idx="1420">
                  <c:v>45918</c:v>
                </c:pt>
                <c:pt idx="1421">
                  <c:v>45919</c:v>
                </c:pt>
                <c:pt idx="1422">
                  <c:v>45922</c:v>
                </c:pt>
                <c:pt idx="1423">
                  <c:v>45923</c:v>
                </c:pt>
                <c:pt idx="1424">
                  <c:v>45924</c:v>
                </c:pt>
                <c:pt idx="1425">
                  <c:v>45925</c:v>
                </c:pt>
                <c:pt idx="1426">
                  <c:v>45926</c:v>
                </c:pt>
                <c:pt idx="1427">
                  <c:v>45929</c:v>
                </c:pt>
                <c:pt idx="1428">
                  <c:v>45930</c:v>
                </c:pt>
                <c:pt idx="1429">
                  <c:v>45931</c:v>
                </c:pt>
                <c:pt idx="1430">
                  <c:v>45933</c:v>
                </c:pt>
                <c:pt idx="1431">
                  <c:v>45936</c:v>
                </c:pt>
                <c:pt idx="1432">
                  <c:v>45937</c:v>
                </c:pt>
                <c:pt idx="1433">
                  <c:v>45938</c:v>
                </c:pt>
                <c:pt idx="1434">
                  <c:v>45939</c:v>
                </c:pt>
                <c:pt idx="1435">
                  <c:v>45940</c:v>
                </c:pt>
                <c:pt idx="1436">
                  <c:v>45943</c:v>
                </c:pt>
                <c:pt idx="1437">
                  <c:v>45944</c:v>
                </c:pt>
                <c:pt idx="1438">
                  <c:v>45945</c:v>
                </c:pt>
                <c:pt idx="1439">
                  <c:v>45946</c:v>
                </c:pt>
                <c:pt idx="1440">
                  <c:v>45947</c:v>
                </c:pt>
                <c:pt idx="1441">
                  <c:v>45950</c:v>
                </c:pt>
                <c:pt idx="1442">
                  <c:v>45951</c:v>
                </c:pt>
                <c:pt idx="1443">
                  <c:v>45953</c:v>
                </c:pt>
                <c:pt idx="1444">
                  <c:v>45954</c:v>
                </c:pt>
                <c:pt idx="1445">
                  <c:v>45957</c:v>
                </c:pt>
                <c:pt idx="1446">
                  <c:v>45958</c:v>
                </c:pt>
                <c:pt idx="1447">
                  <c:v>45959</c:v>
                </c:pt>
                <c:pt idx="1448">
                  <c:v>45960</c:v>
                </c:pt>
                <c:pt idx="1449">
                  <c:v>45961</c:v>
                </c:pt>
                <c:pt idx="1450">
                  <c:v>45964</c:v>
                </c:pt>
                <c:pt idx="1451">
                  <c:v>45965</c:v>
                </c:pt>
                <c:pt idx="1452">
                  <c:v>45967</c:v>
                </c:pt>
                <c:pt idx="1453">
                  <c:v>45968</c:v>
                </c:pt>
                <c:pt idx="1454">
                  <c:v>45971</c:v>
                </c:pt>
                <c:pt idx="1455">
                  <c:v>45972</c:v>
                </c:pt>
                <c:pt idx="1456">
                  <c:v>45973</c:v>
                </c:pt>
                <c:pt idx="1457">
                  <c:v>45974</c:v>
                </c:pt>
                <c:pt idx="1458">
                  <c:v>45975</c:v>
                </c:pt>
                <c:pt idx="1459">
                  <c:v>45978</c:v>
                </c:pt>
                <c:pt idx="1460">
                  <c:v>45979</c:v>
                </c:pt>
                <c:pt idx="1461">
                  <c:v>45980</c:v>
                </c:pt>
                <c:pt idx="1462">
                  <c:v>45981</c:v>
                </c:pt>
                <c:pt idx="1463">
                  <c:v>45982</c:v>
                </c:pt>
                <c:pt idx="1464">
                  <c:v>45985</c:v>
                </c:pt>
                <c:pt idx="1465">
                  <c:v>45986</c:v>
                </c:pt>
                <c:pt idx="1466">
                  <c:v>45987</c:v>
                </c:pt>
                <c:pt idx="1467">
                  <c:v>45988</c:v>
                </c:pt>
                <c:pt idx="1468">
                  <c:v>45989</c:v>
                </c:pt>
                <c:pt idx="1469">
                  <c:v>45992</c:v>
                </c:pt>
                <c:pt idx="1470">
                  <c:v>45993</c:v>
                </c:pt>
                <c:pt idx="1471">
                  <c:v>45994</c:v>
                </c:pt>
                <c:pt idx="1472">
                  <c:v>45995</c:v>
                </c:pt>
                <c:pt idx="1473">
                  <c:v>45996</c:v>
                </c:pt>
                <c:pt idx="1474">
                  <c:v>45999</c:v>
                </c:pt>
                <c:pt idx="1475">
                  <c:v>46000</c:v>
                </c:pt>
                <c:pt idx="1476">
                  <c:v>46001</c:v>
                </c:pt>
                <c:pt idx="1477">
                  <c:v>46002</c:v>
                </c:pt>
                <c:pt idx="1478">
                  <c:v>46003</c:v>
                </c:pt>
                <c:pt idx="1479">
                  <c:v>46006</c:v>
                </c:pt>
                <c:pt idx="1480">
                  <c:v>46007</c:v>
                </c:pt>
                <c:pt idx="1481">
                  <c:v>46008</c:v>
                </c:pt>
                <c:pt idx="1482">
                  <c:v>46009</c:v>
                </c:pt>
                <c:pt idx="1483">
                  <c:v>46010</c:v>
                </c:pt>
                <c:pt idx="1484">
                  <c:v>46013</c:v>
                </c:pt>
                <c:pt idx="1485">
                  <c:v>46014</c:v>
                </c:pt>
                <c:pt idx="1486">
                  <c:v>46015</c:v>
                </c:pt>
                <c:pt idx="1487">
                  <c:v>46017</c:v>
                </c:pt>
                <c:pt idx="1488">
                  <c:v>46020</c:v>
                </c:pt>
                <c:pt idx="1489">
                  <c:v>46021</c:v>
                </c:pt>
                <c:pt idx="1490">
                  <c:v>46022</c:v>
                </c:pt>
                <c:pt idx="1491">
                  <c:v>46023</c:v>
                </c:pt>
                <c:pt idx="1492">
                  <c:v>46024</c:v>
                </c:pt>
                <c:pt idx="1493">
                  <c:v>46027</c:v>
                </c:pt>
                <c:pt idx="1494">
                  <c:v>46028</c:v>
                </c:pt>
                <c:pt idx="1495">
                  <c:v>46029</c:v>
                </c:pt>
                <c:pt idx="1496">
                  <c:v>46030</c:v>
                </c:pt>
                <c:pt idx="1497">
                  <c:v>46031</c:v>
                </c:pt>
                <c:pt idx="1498">
                  <c:v>46034</c:v>
                </c:pt>
                <c:pt idx="1499">
                  <c:v>46035</c:v>
                </c:pt>
                <c:pt idx="1500">
                  <c:v>46036</c:v>
                </c:pt>
                <c:pt idx="1501">
                  <c:v>46038</c:v>
                </c:pt>
                <c:pt idx="1502">
                  <c:v>46041</c:v>
                </c:pt>
                <c:pt idx="1503">
                  <c:v>46042</c:v>
                </c:pt>
                <c:pt idx="1504">
                  <c:v>46043</c:v>
                </c:pt>
                <c:pt idx="1505">
                  <c:v>46044</c:v>
                </c:pt>
                <c:pt idx="1506">
                  <c:v>46045</c:v>
                </c:pt>
                <c:pt idx="1507">
                  <c:v>46049</c:v>
                </c:pt>
                <c:pt idx="1508">
                  <c:v>46050</c:v>
                </c:pt>
                <c:pt idx="1509">
                  <c:v>46051</c:v>
                </c:pt>
                <c:pt idx="1510">
                  <c:v>46052</c:v>
                </c:pt>
                <c:pt idx="1511">
                  <c:v>46054</c:v>
                </c:pt>
                <c:pt idx="1512">
                  <c:v>46055</c:v>
                </c:pt>
                <c:pt idx="1513">
                  <c:v>46056</c:v>
                </c:pt>
                <c:pt idx="1514">
                  <c:v>46057</c:v>
                </c:pt>
                <c:pt idx="1515">
                  <c:v>46058</c:v>
                </c:pt>
                <c:pt idx="1516">
                  <c:v>46059</c:v>
                </c:pt>
                <c:pt idx="1517">
                  <c:v>46062</c:v>
                </c:pt>
                <c:pt idx="1518">
                  <c:v>46063</c:v>
                </c:pt>
                <c:pt idx="1519">
                  <c:v>46064</c:v>
                </c:pt>
                <c:pt idx="1520">
                  <c:v>46065</c:v>
                </c:pt>
                <c:pt idx="1521">
                  <c:v>46066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D3-42DC-87C0-D98DB0181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79312"/>
        <c:axId val="152572112"/>
      </c:lineChart>
      <c:catAx>
        <c:axId val="152579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2112"/>
        <c:crosses val="autoZero"/>
        <c:auto val="1"/>
        <c:lblAlgn val="ctr"/>
        <c:lblOffset val="100"/>
        <c:noMultiLvlLbl val="0"/>
      </c:catAx>
      <c:valAx>
        <c:axId val="1525721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25793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17527831584432"/>
          <c:y val="0"/>
          <c:w val="0.72670089448830144"/>
          <c:h val="0.8203636255346886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data!$I$40:$I$44</c:f>
              <c:strCache>
                <c:ptCount val="5"/>
                <c:pt idx="0">
                  <c:v>Promoters</c:v>
                </c:pt>
                <c:pt idx="1">
                  <c:v>FIIs</c:v>
                </c:pt>
                <c:pt idx="2">
                  <c:v>DIIs</c:v>
                </c:pt>
                <c:pt idx="3">
                  <c:v>Public</c:v>
                </c:pt>
                <c:pt idx="4">
                  <c:v>Government</c:v>
                </c:pt>
              </c:strCache>
            </c:strRef>
          </c:cat>
          <c:val>
            <c:numRef>
              <c:f>data!$J$40:$J$44</c:f>
              <c:numCache>
                <c:formatCode>0.00%</c:formatCode>
                <c:ptCount val="5"/>
                <c:pt idx="0">
                  <c:v>0.49059999999999998</c:v>
                </c:pt>
                <c:pt idx="1">
                  <c:v>0.27010000000000001</c:v>
                </c:pt>
                <c:pt idx="2">
                  <c:v>0.1464</c:v>
                </c:pt>
                <c:pt idx="3">
                  <c:v>9.1899999999999996E-2</c:v>
                </c:pt>
                <c:pt idx="4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4-4235-93BF-60C9FC8EB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9193999"/>
        <c:axId val="1809195439"/>
      </c:barChart>
      <c:catAx>
        <c:axId val="1809193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195439"/>
        <c:crosses val="autoZero"/>
        <c:auto val="1"/>
        <c:lblAlgn val="ctr"/>
        <c:lblOffset val="100"/>
        <c:noMultiLvlLbl val="0"/>
      </c:catAx>
      <c:valAx>
        <c:axId val="1809195439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19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65696108523539E-3"/>
          <c:y val="2.6217277732884823E-2"/>
          <c:w val="0.97026165761257144"/>
          <c:h val="0.82086252979845398"/>
        </c:manualLayout>
      </c:layout>
      <c:lineChart>
        <c:grouping val="standard"/>
        <c:varyColors val="0"/>
        <c:ser>
          <c:idx val="0"/>
          <c:order val="0"/>
          <c:tx>
            <c:strRef>
              <c:f>data!$T$1</c:f>
              <c:strCache>
                <c:ptCount val="1"/>
                <c:pt idx="0">
                  <c:v>Valoume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523"/>
            <c:bubble3D val="0"/>
            <c:extLst>
              <c:ext xmlns:c16="http://schemas.microsoft.com/office/drawing/2014/chart" uri="{C3380CC4-5D6E-409C-BE32-E72D297353CC}">
                <c16:uniqueId val="{00000003-162E-442E-87F5-FD765D311D91}"/>
              </c:ext>
            </c:extLst>
          </c:dPt>
          <c:dPt>
            <c:idx val="1203"/>
            <c:bubble3D val="0"/>
            <c:extLst>
              <c:ext xmlns:c16="http://schemas.microsoft.com/office/drawing/2014/chart" uri="{C3380CC4-5D6E-409C-BE32-E72D297353CC}">
                <c16:uniqueId val="{00000004-162E-442E-87F5-FD765D311D91}"/>
              </c:ext>
            </c:extLst>
          </c:dPt>
          <c:val>
            <c:numRef>
              <c:f>data!$T$2:$T$1523</c:f>
              <c:numCache>
                <c:formatCode>General</c:formatCode>
                <c:ptCount val="1522"/>
                <c:pt idx="0">
                  <c:v>1090000</c:v>
                </c:pt>
                <c:pt idx="1">
                  <c:v>2290000</c:v>
                </c:pt>
                <c:pt idx="2">
                  <c:v>1570000</c:v>
                </c:pt>
                <c:pt idx="3">
                  <c:v>1260000</c:v>
                </c:pt>
                <c:pt idx="4">
                  <c:v>1370000</c:v>
                </c:pt>
                <c:pt idx="5">
                  <c:v>2890000</c:v>
                </c:pt>
                <c:pt idx="6">
                  <c:v>2590000</c:v>
                </c:pt>
                <c:pt idx="7">
                  <c:v>2170000</c:v>
                </c:pt>
                <c:pt idx="8">
                  <c:v>1320000</c:v>
                </c:pt>
                <c:pt idx="9">
                  <c:v>1160000</c:v>
                </c:pt>
                <c:pt idx="10">
                  <c:v>1080000</c:v>
                </c:pt>
                <c:pt idx="11">
                  <c:v>2920000</c:v>
                </c:pt>
                <c:pt idx="12">
                  <c:v>1830000</c:v>
                </c:pt>
                <c:pt idx="13">
                  <c:v>1010000</c:v>
                </c:pt>
                <c:pt idx="14">
                  <c:v>1030000</c:v>
                </c:pt>
                <c:pt idx="15">
                  <c:v>786810</c:v>
                </c:pt>
                <c:pt idx="16">
                  <c:v>1060000</c:v>
                </c:pt>
                <c:pt idx="17">
                  <c:v>770750</c:v>
                </c:pt>
                <c:pt idx="18">
                  <c:v>971080</c:v>
                </c:pt>
                <c:pt idx="19">
                  <c:v>972770</c:v>
                </c:pt>
                <c:pt idx="20">
                  <c:v>2870000</c:v>
                </c:pt>
                <c:pt idx="21">
                  <c:v>1390000</c:v>
                </c:pt>
                <c:pt idx="22">
                  <c:v>1020000</c:v>
                </c:pt>
                <c:pt idx="23">
                  <c:v>1010000</c:v>
                </c:pt>
                <c:pt idx="24">
                  <c:v>1490000</c:v>
                </c:pt>
                <c:pt idx="25">
                  <c:v>1500000</c:v>
                </c:pt>
                <c:pt idx="26">
                  <c:v>1280000</c:v>
                </c:pt>
                <c:pt idx="27">
                  <c:v>3950000</c:v>
                </c:pt>
                <c:pt idx="28">
                  <c:v>2220000</c:v>
                </c:pt>
                <c:pt idx="29">
                  <c:v>2440000</c:v>
                </c:pt>
                <c:pt idx="30">
                  <c:v>1300000</c:v>
                </c:pt>
                <c:pt idx="31">
                  <c:v>1530000</c:v>
                </c:pt>
                <c:pt idx="32">
                  <c:v>919630</c:v>
                </c:pt>
                <c:pt idx="33">
                  <c:v>2320000</c:v>
                </c:pt>
                <c:pt idx="34">
                  <c:v>1290000</c:v>
                </c:pt>
                <c:pt idx="35">
                  <c:v>1810000</c:v>
                </c:pt>
                <c:pt idx="36">
                  <c:v>1320000</c:v>
                </c:pt>
                <c:pt idx="37">
                  <c:v>1250000</c:v>
                </c:pt>
                <c:pt idx="38">
                  <c:v>1930000</c:v>
                </c:pt>
                <c:pt idx="39">
                  <c:v>2570000</c:v>
                </c:pt>
                <c:pt idx="40">
                  <c:v>2150000</c:v>
                </c:pt>
                <c:pt idx="41">
                  <c:v>2550000</c:v>
                </c:pt>
                <c:pt idx="42">
                  <c:v>3260000</c:v>
                </c:pt>
                <c:pt idx="43">
                  <c:v>3480000</c:v>
                </c:pt>
                <c:pt idx="44">
                  <c:v>2750000</c:v>
                </c:pt>
                <c:pt idx="45">
                  <c:v>4190000.0000000005</c:v>
                </c:pt>
                <c:pt idx="46">
                  <c:v>2310000</c:v>
                </c:pt>
                <c:pt idx="47">
                  <c:v>1710000</c:v>
                </c:pt>
                <c:pt idx="48">
                  <c:v>1930000</c:v>
                </c:pt>
                <c:pt idx="49">
                  <c:v>2220000</c:v>
                </c:pt>
                <c:pt idx="50">
                  <c:v>3640000</c:v>
                </c:pt>
                <c:pt idx="51">
                  <c:v>2790000</c:v>
                </c:pt>
                <c:pt idx="52">
                  <c:v>1920000</c:v>
                </c:pt>
                <c:pt idx="53">
                  <c:v>1680000</c:v>
                </c:pt>
                <c:pt idx="54">
                  <c:v>1590000</c:v>
                </c:pt>
                <c:pt idx="55">
                  <c:v>1610000</c:v>
                </c:pt>
                <c:pt idx="56">
                  <c:v>2110000</c:v>
                </c:pt>
                <c:pt idx="57">
                  <c:v>1440000</c:v>
                </c:pt>
                <c:pt idx="58">
                  <c:v>1130000</c:v>
                </c:pt>
                <c:pt idx="59">
                  <c:v>761180</c:v>
                </c:pt>
                <c:pt idx="60">
                  <c:v>2049999.9999999998</c:v>
                </c:pt>
                <c:pt idx="61">
                  <c:v>1110000</c:v>
                </c:pt>
                <c:pt idx="62">
                  <c:v>2260000</c:v>
                </c:pt>
                <c:pt idx="63">
                  <c:v>1670000</c:v>
                </c:pt>
                <c:pt idx="64">
                  <c:v>1390000</c:v>
                </c:pt>
                <c:pt idx="65">
                  <c:v>1810000</c:v>
                </c:pt>
                <c:pt idx="66">
                  <c:v>2410000</c:v>
                </c:pt>
                <c:pt idx="67">
                  <c:v>2800000</c:v>
                </c:pt>
                <c:pt idx="68">
                  <c:v>3620000</c:v>
                </c:pt>
                <c:pt idx="69">
                  <c:v>1270000</c:v>
                </c:pt>
                <c:pt idx="70">
                  <c:v>2760000</c:v>
                </c:pt>
                <c:pt idx="71">
                  <c:v>2500000</c:v>
                </c:pt>
                <c:pt idx="72">
                  <c:v>5660000</c:v>
                </c:pt>
                <c:pt idx="73">
                  <c:v>3000000</c:v>
                </c:pt>
                <c:pt idx="74">
                  <c:v>1660000</c:v>
                </c:pt>
                <c:pt idx="75">
                  <c:v>2770000</c:v>
                </c:pt>
                <c:pt idx="76">
                  <c:v>2069999.9999999998</c:v>
                </c:pt>
                <c:pt idx="77">
                  <c:v>1800000</c:v>
                </c:pt>
                <c:pt idx="78">
                  <c:v>1840000</c:v>
                </c:pt>
                <c:pt idx="79">
                  <c:v>1850000</c:v>
                </c:pt>
                <c:pt idx="80">
                  <c:v>1480000</c:v>
                </c:pt>
                <c:pt idx="81">
                  <c:v>3470000</c:v>
                </c:pt>
                <c:pt idx="82">
                  <c:v>1920000</c:v>
                </c:pt>
                <c:pt idx="83">
                  <c:v>1520000</c:v>
                </c:pt>
                <c:pt idx="84">
                  <c:v>1870000</c:v>
                </c:pt>
                <c:pt idx="85">
                  <c:v>1270000</c:v>
                </c:pt>
                <c:pt idx="86">
                  <c:v>1640000</c:v>
                </c:pt>
                <c:pt idx="87">
                  <c:v>1960000</c:v>
                </c:pt>
                <c:pt idx="88">
                  <c:v>1480000</c:v>
                </c:pt>
                <c:pt idx="89">
                  <c:v>2530000</c:v>
                </c:pt>
                <c:pt idx="90">
                  <c:v>1480000</c:v>
                </c:pt>
                <c:pt idx="91">
                  <c:v>2350000</c:v>
                </c:pt>
                <c:pt idx="92">
                  <c:v>2750000</c:v>
                </c:pt>
                <c:pt idx="93">
                  <c:v>2510000</c:v>
                </c:pt>
                <c:pt idx="94">
                  <c:v>2670000</c:v>
                </c:pt>
                <c:pt idx="95">
                  <c:v>3220000</c:v>
                </c:pt>
                <c:pt idx="96">
                  <c:v>1840000</c:v>
                </c:pt>
                <c:pt idx="97">
                  <c:v>3190000</c:v>
                </c:pt>
                <c:pt idx="98">
                  <c:v>3020000</c:v>
                </c:pt>
                <c:pt idx="99">
                  <c:v>8150000</c:v>
                </c:pt>
                <c:pt idx="100">
                  <c:v>8500000</c:v>
                </c:pt>
                <c:pt idx="101">
                  <c:v>4640000</c:v>
                </c:pt>
                <c:pt idx="102">
                  <c:v>3970000</c:v>
                </c:pt>
                <c:pt idx="103">
                  <c:v>2850000</c:v>
                </c:pt>
                <c:pt idx="104">
                  <c:v>3040000</c:v>
                </c:pt>
                <c:pt idx="105">
                  <c:v>1950000</c:v>
                </c:pt>
                <c:pt idx="106">
                  <c:v>2740000</c:v>
                </c:pt>
                <c:pt idx="107">
                  <c:v>3250000</c:v>
                </c:pt>
                <c:pt idx="108">
                  <c:v>1630000</c:v>
                </c:pt>
                <c:pt idx="109">
                  <c:v>2190000</c:v>
                </c:pt>
                <c:pt idx="110">
                  <c:v>3800000</c:v>
                </c:pt>
                <c:pt idx="111">
                  <c:v>5370000</c:v>
                </c:pt>
                <c:pt idx="112">
                  <c:v>3580000</c:v>
                </c:pt>
                <c:pt idx="113">
                  <c:v>2520000</c:v>
                </c:pt>
                <c:pt idx="114">
                  <c:v>2089999.9999999998</c:v>
                </c:pt>
                <c:pt idx="115">
                  <c:v>3120000</c:v>
                </c:pt>
                <c:pt idx="116">
                  <c:v>2340000</c:v>
                </c:pt>
                <c:pt idx="117">
                  <c:v>2060000</c:v>
                </c:pt>
                <c:pt idx="118">
                  <c:v>3380000</c:v>
                </c:pt>
                <c:pt idx="119">
                  <c:v>2770000</c:v>
                </c:pt>
                <c:pt idx="120">
                  <c:v>2250000</c:v>
                </c:pt>
                <c:pt idx="121">
                  <c:v>1950000</c:v>
                </c:pt>
                <c:pt idx="122">
                  <c:v>2009999.9999999998</c:v>
                </c:pt>
                <c:pt idx="123">
                  <c:v>2330000</c:v>
                </c:pt>
                <c:pt idx="124">
                  <c:v>2770000</c:v>
                </c:pt>
                <c:pt idx="125">
                  <c:v>2510000</c:v>
                </c:pt>
                <c:pt idx="126">
                  <c:v>2830000</c:v>
                </c:pt>
                <c:pt idx="127">
                  <c:v>2870000</c:v>
                </c:pt>
                <c:pt idx="128">
                  <c:v>3570000</c:v>
                </c:pt>
                <c:pt idx="129">
                  <c:v>2740000</c:v>
                </c:pt>
                <c:pt idx="130">
                  <c:v>2040000</c:v>
                </c:pt>
                <c:pt idx="131">
                  <c:v>1330000</c:v>
                </c:pt>
                <c:pt idx="132">
                  <c:v>2480000</c:v>
                </c:pt>
                <c:pt idx="133">
                  <c:v>2820000</c:v>
                </c:pt>
                <c:pt idx="134">
                  <c:v>2650000</c:v>
                </c:pt>
                <c:pt idx="135">
                  <c:v>1670000</c:v>
                </c:pt>
                <c:pt idx="136">
                  <c:v>1600000</c:v>
                </c:pt>
                <c:pt idx="137">
                  <c:v>3690000</c:v>
                </c:pt>
                <c:pt idx="138">
                  <c:v>3360000</c:v>
                </c:pt>
                <c:pt idx="139">
                  <c:v>4460000</c:v>
                </c:pt>
                <c:pt idx="140">
                  <c:v>3950000</c:v>
                </c:pt>
                <c:pt idx="141">
                  <c:v>1920000</c:v>
                </c:pt>
                <c:pt idx="142">
                  <c:v>2620000</c:v>
                </c:pt>
                <c:pt idx="143">
                  <c:v>2260000</c:v>
                </c:pt>
                <c:pt idx="144">
                  <c:v>2460000</c:v>
                </c:pt>
                <c:pt idx="145">
                  <c:v>2190000</c:v>
                </c:pt>
                <c:pt idx="146">
                  <c:v>2020000</c:v>
                </c:pt>
                <c:pt idx="147">
                  <c:v>1560000</c:v>
                </c:pt>
                <c:pt idx="148">
                  <c:v>2380000</c:v>
                </c:pt>
                <c:pt idx="149">
                  <c:v>2040000</c:v>
                </c:pt>
                <c:pt idx="150">
                  <c:v>1950000</c:v>
                </c:pt>
                <c:pt idx="151">
                  <c:v>1680000</c:v>
                </c:pt>
                <c:pt idx="152">
                  <c:v>1620000</c:v>
                </c:pt>
                <c:pt idx="153">
                  <c:v>2990000</c:v>
                </c:pt>
                <c:pt idx="154">
                  <c:v>2200000</c:v>
                </c:pt>
                <c:pt idx="155">
                  <c:v>5920000</c:v>
                </c:pt>
                <c:pt idx="156">
                  <c:v>6530000</c:v>
                </c:pt>
                <c:pt idx="157">
                  <c:v>3400000</c:v>
                </c:pt>
                <c:pt idx="158">
                  <c:v>2850000</c:v>
                </c:pt>
                <c:pt idx="159">
                  <c:v>2240000</c:v>
                </c:pt>
                <c:pt idx="160">
                  <c:v>2610000</c:v>
                </c:pt>
                <c:pt idx="161">
                  <c:v>11490000</c:v>
                </c:pt>
                <c:pt idx="162">
                  <c:v>4760000</c:v>
                </c:pt>
                <c:pt idx="163">
                  <c:v>2440000</c:v>
                </c:pt>
                <c:pt idx="164">
                  <c:v>1370000</c:v>
                </c:pt>
                <c:pt idx="165">
                  <c:v>1470000</c:v>
                </c:pt>
                <c:pt idx="166">
                  <c:v>3090000</c:v>
                </c:pt>
                <c:pt idx="167">
                  <c:v>2260000</c:v>
                </c:pt>
                <c:pt idx="168">
                  <c:v>1970000</c:v>
                </c:pt>
                <c:pt idx="169">
                  <c:v>2580000</c:v>
                </c:pt>
                <c:pt idx="170">
                  <c:v>1520000</c:v>
                </c:pt>
                <c:pt idx="171">
                  <c:v>1350000</c:v>
                </c:pt>
                <c:pt idx="172">
                  <c:v>1180000</c:v>
                </c:pt>
                <c:pt idx="173">
                  <c:v>1360000</c:v>
                </c:pt>
                <c:pt idx="174">
                  <c:v>948270</c:v>
                </c:pt>
                <c:pt idx="175">
                  <c:v>1140000</c:v>
                </c:pt>
                <c:pt idx="176">
                  <c:v>1180000</c:v>
                </c:pt>
                <c:pt idx="177">
                  <c:v>1260000</c:v>
                </c:pt>
                <c:pt idx="178">
                  <c:v>1030000</c:v>
                </c:pt>
                <c:pt idx="179">
                  <c:v>768950</c:v>
                </c:pt>
                <c:pt idx="180">
                  <c:v>1310000</c:v>
                </c:pt>
                <c:pt idx="181">
                  <c:v>1940000</c:v>
                </c:pt>
                <c:pt idx="182">
                  <c:v>1520000</c:v>
                </c:pt>
                <c:pt idx="183">
                  <c:v>1350000</c:v>
                </c:pt>
                <c:pt idx="184">
                  <c:v>1350000</c:v>
                </c:pt>
                <c:pt idx="185">
                  <c:v>1530000</c:v>
                </c:pt>
                <c:pt idx="186">
                  <c:v>1140000</c:v>
                </c:pt>
                <c:pt idx="187">
                  <c:v>1340000</c:v>
                </c:pt>
                <c:pt idx="188">
                  <c:v>925940</c:v>
                </c:pt>
                <c:pt idx="189">
                  <c:v>999890</c:v>
                </c:pt>
                <c:pt idx="190">
                  <c:v>930510</c:v>
                </c:pt>
                <c:pt idx="191">
                  <c:v>2750000</c:v>
                </c:pt>
                <c:pt idx="192">
                  <c:v>1520000</c:v>
                </c:pt>
                <c:pt idx="193">
                  <c:v>1520000</c:v>
                </c:pt>
                <c:pt idx="194">
                  <c:v>1210000</c:v>
                </c:pt>
                <c:pt idx="195">
                  <c:v>1100000</c:v>
                </c:pt>
                <c:pt idx="196">
                  <c:v>1590000</c:v>
                </c:pt>
                <c:pt idx="197">
                  <c:v>1360000</c:v>
                </c:pt>
                <c:pt idx="198">
                  <c:v>1900000</c:v>
                </c:pt>
                <c:pt idx="199">
                  <c:v>816000</c:v>
                </c:pt>
                <c:pt idx="200">
                  <c:v>1260000</c:v>
                </c:pt>
                <c:pt idx="201">
                  <c:v>976230</c:v>
                </c:pt>
                <c:pt idx="202">
                  <c:v>1310000</c:v>
                </c:pt>
                <c:pt idx="203">
                  <c:v>1020000</c:v>
                </c:pt>
                <c:pt idx="204">
                  <c:v>1150000</c:v>
                </c:pt>
                <c:pt idx="205">
                  <c:v>1550000</c:v>
                </c:pt>
                <c:pt idx="206">
                  <c:v>1020000</c:v>
                </c:pt>
                <c:pt idx="207">
                  <c:v>1040000</c:v>
                </c:pt>
                <c:pt idx="208">
                  <c:v>834130</c:v>
                </c:pt>
                <c:pt idx="209">
                  <c:v>1010000</c:v>
                </c:pt>
                <c:pt idx="210">
                  <c:v>1130000</c:v>
                </c:pt>
                <c:pt idx="211">
                  <c:v>1940000</c:v>
                </c:pt>
                <c:pt idx="212">
                  <c:v>1110000</c:v>
                </c:pt>
                <c:pt idx="213">
                  <c:v>828400</c:v>
                </c:pt>
                <c:pt idx="214">
                  <c:v>996380</c:v>
                </c:pt>
                <c:pt idx="215">
                  <c:v>1130000</c:v>
                </c:pt>
                <c:pt idx="216">
                  <c:v>986760</c:v>
                </c:pt>
                <c:pt idx="217">
                  <c:v>2130000</c:v>
                </c:pt>
                <c:pt idx="218">
                  <c:v>1910000</c:v>
                </c:pt>
                <c:pt idx="219">
                  <c:v>9480000</c:v>
                </c:pt>
                <c:pt idx="220">
                  <c:v>2110000</c:v>
                </c:pt>
                <c:pt idx="221">
                  <c:v>1880000</c:v>
                </c:pt>
                <c:pt idx="222">
                  <c:v>2430000</c:v>
                </c:pt>
                <c:pt idx="223">
                  <c:v>1390000</c:v>
                </c:pt>
                <c:pt idx="224">
                  <c:v>823240</c:v>
                </c:pt>
                <c:pt idx="225">
                  <c:v>2420000</c:v>
                </c:pt>
                <c:pt idx="226">
                  <c:v>1760000</c:v>
                </c:pt>
                <c:pt idx="227">
                  <c:v>2080000</c:v>
                </c:pt>
                <c:pt idx="228">
                  <c:v>2600000</c:v>
                </c:pt>
                <c:pt idx="229">
                  <c:v>1230000</c:v>
                </c:pt>
                <c:pt idx="230">
                  <c:v>1290000</c:v>
                </c:pt>
                <c:pt idx="231">
                  <c:v>1070000</c:v>
                </c:pt>
                <c:pt idx="232">
                  <c:v>1140000</c:v>
                </c:pt>
                <c:pt idx="233">
                  <c:v>723080</c:v>
                </c:pt>
                <c:pt idx="234">
                  <c:v>1300000</c:v>
                </c:pt>
                <c:pt idx="235">
                  <c:v>954150</c:v>
                </c:pt>
                <c:pt idx="236">
                  <c:v>1110000</c:v>
                </c:pt>
                <c:pt idx="237">
                  <c:v>1490000</c:v>
                </c:pt>
                <c:pt idx="238">
                  <c:v>2480000</c:v>
                </c:pt>
                <c:pt idx="239">
                  <c:v>2910000</c:v>
                </c:pt>
                <c:pt idx="240">
                  <c:v>1460000</c:v>
                </c:pt>
                <c:pt idx="241">
                  <c:v>1060000</c:v>
                </c:pt>
                <c:pt idx="242">
                  <c:v>849960</c:v>
                </c:pt>
                <c:pt idx="243">
                  <c:v>1190000</c:v>
                </c:pt>
                <c:pt idx="244">
                  <c:v>1200000</c:v>
                </c:pt>
                <c:pt idx="245">
                  <c:v>954700</c:v>
                </c:pt>
                <c:pt idx="246">
                  <c:v>599390</c:v>
                </c:pt>
                <c:pt idx="247">
                  <c:v>711670</c:v>
                </c:pt>
                <c:pt idx="248">
                  <c:v>1960000</c:v>
                </c:pt>
                <c:pt idx="249">
                  <c:v>2430000</c:v>
                </c:pt>
                <c:pt idx="250">
                  <c:v>1760000</c:v>
                </c:pt>
                <c:pt idx="251">
                  <c:v>914820</c:v>
                </c:pt>
                <c:pt idx="252">
                  <c:v>3290000</c:v>
                </c:pt>
                <c:pt idx="253">
                  <c:v>1490000</c:v>
                </c:pt>
                <c:pt idx="254">
                  <c:v>949390</c:v>
                </c:pt>
                <c:pt idx="255">
                  <c:v>1250000</c:v>
                </c:pt>
                <c:pt idx="256">
                  <c:v>2590000</c:v>
                </c:pt>
                <c:pt idx="257">
                  <c:v>1620000</c:v>
                </c:pt>
                <c:pt idx="258">
                  <c:v>4830000</c:v>
                </c:pt>
                <c:pt idx="259">
                  <c:v>1880000</c:v>
                </c:pt>
                <c:pt idx="260">
                  <c:v>1160000</c:v>
                </c:pt>
                <c:pt idx="261">
                  <c:v>882690</c:v>
                </c:pt>
                <c:pt idx="262">
                  <c:v>2069999.9999999998</c:v>
                </c:pt>
                <c:pt idx="263">
                  <c:v>1450000</c:v>
                </c:pt>
                <c:pt idx="264">
                  <c:v>1760000</c:v>
                </c:pt>
                <c:pt idx="265">
                  <c:v>1450000</c:v>
                </c:pt>
                <c:pt idx="266">
                  <c:v>3090000</c:v>
                </c:pt>
                <c:pt idx="267">
                  <c:v>2020000</c:v>
                </c:pt>
                <c:pt idx="268">
                  <c:v>2570000</c:v>
                </c:pt>
                <c:pt idx="269">
                  <c:v>1430000</c:v>
                </c:pt>
                <c:pt idx="270">
                  <c:v>2069999.9999999998</c:v>
                </c:pt>
                <c:pt idx="271">
                  <c:v>1850000</c:v>
                </c:pt>
                <c:pt idx="272">
                  <c:v>2130000</c:v>
                </c:pt>
                <c:pt idx="273">
                  <c:v>1350000</c:v>
                </c:pt>
                <c:pt idx="274">
                  <c:v>1260000</c:v>
                </c:pt>
                <c:pt idx="275">
                  <c:v>915840</c:v>
                </c:pt>
                <c:pt idx="276">
                  <c:v>654480</c:v>
                </c:pt>
                <c:pt idx="277">
                  <c:v>1130000</c:v>
                </c:pt>
                <c:pt idx="278">
                  <c:v>2160000</c:v>
                </c:pt>
                <c:pt idx="279">
                  <c:v>4480000</c:v>
                </c:pt>
                <c:pt idx="280">
                  <c:v>1910000</c:v>
                </c:pt>
                <c:pt idx="281">
                  <c:v>930510</c:v>
                </c:pt>
                <c:pt idx="282">
                  <c:v>1530000</c:v>
                </c:pt>
                <c:pt idx="283">
                  <c:v>1490000</c:v>
                </c:pt>
                <c:pt idx="284">
                  <c:v>1920000</c:v>
                </c:pt>
                <c:pt idx="285">
                  <c:v>1590000</c:v>
                </c:pt>
                <c:pt idx="286">
                  <c:v>2190000</c:v>
                </c:pt>
                <c:pt idx="287">
                  <c:v>1820000</c:v>
                </c:pt>
                <c:pt idx="288">
                  <c:v>807590</c:v>
                </c:pt>
                <c:pt idx="289">
                  <c:v>1350000</c:v>
                </c:pt>
                <c:pt idx="290">
                  <c:v>1700000</c:v>
                </c:pt>
                <c:pt idx="291">
                  <c:v>1280000</c:v>
                </c:pt>
                <c:pt idx="292">
                  <c:v>1490000</c:v>
                </c:pt>
                <c:pt idx="293">
                  <c:v>1290000</c:v>
                </c:pt>
                <c:pt idx="294">
                  <c:v>1350000</c:v>
                </c:pt>
                <c:pt idx="295">
                  <c:v>1150000</c:v>
                </c:pt>
                <c:pt idx="296">
                  <c:v>950810</c:v>
                </c:pt>
                <c:pt idx="297">
                  <c:v>677920</c:v>
                </c:pt>
                <c:pt idx="298">
                  <c:v>1980000</c:v>
                </c:pt>
                <c:pt idx="299">
                  <c:v>1110000</c:v>
                </c:pt>
                <c:pt idx="300">
                  <c:v>839740</c:v>
                </c:pt>
                <c:pt idx="301">
                  <c:v>654830</c:v>
                </c:pt>
                <c:pt idx="302">
                  <c:v>634980</c:v>
                </c:pt>
                <c:pt idx="303">
                  <c:v>1070000</c:v>
                </c:pt>
                <c:pt idx="304">
                  <c:v>906720</c:v>
                </c:pt>
                <c:pt idx="305">
                  <c:v>694230</c:v>
                </c:pt>
                <c:pt idx="306">
                  <c:v>1130000</c:v>
                </c:pt>
                <c:pt idx="307">
                  <c:v>1150000</c:v>
                </c:pt>
                <c:pt idx="308">
                  <c:v>1120000</c:v>
                </c:pt>
                <c:pt idx="309">
                  <c:v>676280</c:v>
                </c:pt>
                <c:pt idx="310">
                  <c:v>980340</c:v>
                </c:pt>
                <c:pt idx="311">
                  <c:v>829500</c:v>
                </c:pt>
                <c:pt idx="312">
                  <c:v>744420</c:v>
                </c:pt>
                <c:pt idx="313">
                  <c:v>1210000</c:v>
                </c:pt>
                <c:pt idx="314">
                  <c:v>916830</c:v>
                </c:pt>
                <c:pt idx="315">
                  <c:v>684430</c:v>
                </c:pt>
                <c:pt idx="316">
                  <c:v>760850</c:v>
                </c:pt>
                <c:pt idx="317">
                  <c:v>719040</c:v>
                </c:pt>
                <c:pt idx="318">
                  <c:v>1050000</c:v>
                </c:pt>
                <c:pt idx="319">
                  <c:v>720900</c:v>
                </c:pt>
                <c:pt idx="320">
                  <c:v>1980000</c:v>
                </c:pt>
                <c:pt idx="321">
                  <c:v>789680</c:v>
                </c:pt>
                <c:pt idx="322">
                  <c:v>882320</c:v>
                </c:pt>
                <c:pt idx="323">
                  <c:v>1040000</c:v>
                </c:pt>
                <c:pt idx="324">
                  <c:v>834720</c:v>
                </c:pt>
                <c:pt idx="325">
                  <c:v>962270</c:v>
                </c:pt>
                <c:pt idx="326">
                  <c:v>1330000</c:v>
                </c:pt>
                <c:pt idx="327">
                  <c:v>523799.99999999994</c:v>
                </c:pt>
                <c:pt idx="328">
                  <c:v>1680000</c:v>
                </c:pt>
                <c:pt idx="329">
                  <c:v>1170000</c:v>
                </c:pt>
                <c:pt idx="330">
                  <c:v>646260</c:v>
                </c:pt>
                <c:pt idx="331">
                  <c:v>461090</c:v>
                </c:pt>
                <c:pt idx="332">
                  <c:v>623480</c:v>
                </c:pt>
                <c:pt idx="333">
                  <c:v>382620</c:v>
                </c:pt>
                <c:pt idx="334">
                  <c:v>628780</c:v>
                </c:pt>
                <c:pt idx="335">
                  <c:v>464240</c:v>
                </c:pt>
                <c:pt idx="336">
                  <c:v>350560</c:v>
                </c:pt>
                <c:pt idx="337">
                  <c:v>500449.99999999994</c:v>
                </c:pt>
                <c:pt idx="338">
                  <c:v>334230</c:v>
                </c:pt>
                <c:pt idx="339">
                  <c:v>429170</c:v>
                </c:pt>
                <c:pt idx="340">
                  <c:v>577280</c:v>
                </c:pt>
                <c:pt idx="341">
                  <c:v>1020000</c:v>
                </c:pt>
                <c:pt idx="342">
                  <c:v>1090000</c:v>
                </c:pt>
                <c:pt idx="343">
                  <c:v>509270</c:v>
                </c:pt>
                <c:pt idx="344">
                  <c:v>743110</c:v>
                </c:pt>
                <c:pt idx="345">
                  <c:v>850200</c:v>
                </c:pt>
                <c:pt idx="346">
                  <c:v>1020000</c:v>
                </c:pt>
                <c:pt idx="347">
                  <c:v>1030000</c:v>
                </c:pt>
                <c:pt idx="348">
                  <c:v>1510000</c:v>
                </c:pt>
                <c:pt idx="349">
                  <c:v>2280000</c:v>
                </c:pt>
                <c:pt idx="350">
                  <c:v>838680</c:v>
                </c:pt>
                <c:pt idx="351">
                  <c:v>1130000</c:v>
                </c:pt>
                <c:pt idx="352">
                  <c:v>659430</c:v>
                </c:pt>
                <c:pt idx="353">
                  <c:v>1270000</c:v>
                </c:pt>
                <c:pt idx="354">
                  <c:v>621360</c:v>
                </c:pt>
                <c:pt idx="355">
                  <c:v>602330</c:v>
                </c:pt>
                <c:pt idx="356">
                  <c:v>441930</c:v>
                </c:pt>
                <c:pt idx="357">
                  <c:v>471760</c:v>
                </c:pt>
                <c:pt idx="358">
                  <c:v>571290</c:v>
                </c:pt>
                <c:pt idx="359">
                  <c:v>596670</c:v>
                </c:pt>
                <c:pt idx="360">
                  <c:v>525550</c:v>
                </c:pt>
                <c:pt idx="361">
                  <c:v>646740</c:v>
                </c:pt>
                <c:pt idx="362">
                  <c:v>312870</c:v>
                </c:pt>
                <c:pt idx="363">
                  <c:v>701970</c:v>
                </c:pt>
                <c:pt idx="364">
                  <c:v>649500</c:v>
                </c:pt>
                <c:pt idx="365">
                  <c:v>528920</c:v>
                </c:pt>
                <c:pt idx="366">
                  <c:v>477520</c:v>
                </c:pt>
                <c:pt idx="367">
                  <c:v>432920</c:v>
                </c:pt>
                <c:pt idx="368">
                  <c:v>402740</c:v>
                </c:pt>
                <c:pt idx="369">
                  <c:v>455800</c:v>
                </c:pt>
                <c:pt idx="370">
                  <c:v>243080</c:v>
                </c:pt>
                <c:pt idx="371">
                  <c:v>290140</c:v>
                </c:pt>
                <c:pt idx="372">
                  <c:v>391740</c:v>
                </c:pt>
                <c:pt idx="373">
                  <c:v>463030</c:v>
                </c:pt>
                <c:pt idx="374">
                  <c:v>621220</c:v>
                </c:pt>
                <c:pt idx="375">
                  <c:v>489160</c:v>
                </c:pt>
                <c:pt idx="376">
                  <c:v>331770</c:v>
                </c:pt>
                <c:pt idx="377">
                  <c:v>517130</c:v>
                </c:pt>
                <c:pt idx="378">
                  <c:v>509970.00000000006</c:v>
                </c:pt>
                <c:pt idx="379">
                  <c:v>971880</c:v>
                </c:pt>
                <c:pt idx="380">
                  <c:v>273840</c:v>
                </c:pt>
                <c:pt idx="381">
                  <c:v>488410</c:v>
                </c:pt>
                <c:pt idx="382">
                  <c:v>830880</c:v>
                </c:pt>
                <c:pt idx="383">
                  <c:v>730940</c:v>
                </c:pt>
                <c:pt idx="384">
                  <c:v>1040000</c:v>
                </c:pt>
                <c:pt idx="385">
                  <c:v>561170</c:v>
                </c:pt>
                <c:pt idx="386">
                  <c:v>890120</c:v>
                </c:pt>
                <c:pt idx="387">
                  <c:v>1320000</c:v>
                </c:pt>
                <c:pt idx="388">
                  <c:v>379800</c:v>
                </c:pt>
                <c:pt idx="389">
                  <c:v>309300</c:v>
                </c:pt>
                <c:pt idx="390">
                  <c:v>492850</c:v>
                </c:pt>
                <c:pt idx="391">
                  <c:v>383900</c:v>
                </c:pt>
                <c:pt idx="392">
                  <c:v>341350</c:v>
                </c:pt>
                <c:pt idx="393">
                  <c:v>606230</c:v>
                </c:pt>
                <c:pt idx="394">
                  <c:v>691440</c:v>
                </c:pt>
                <c:pt idx="395">
                  <c:v>678470</c:v>
                </c:pt>
                <c:pt idx="396">
                  <c:v>548190</c:v>
                </c:pt>
                <c:pt idx="397">
                  <c:v>2170000</c:v>
                </c:pt>
                <c:pt idx="398">
                  <c:v>799080</c:v>
                </c:pt>
                <c:pt idx="399">
                  <c:v>516619.99999999994</c:v>
                </c:pt>
                <c:pt idx="400">
                  <c:v>733890</c:v>
                </c:pt>
                <c:pt idx="401">
                  <c:v>361520</c:v>
                </c:pt>
                <c:pt idx="402">
                  <c:v>2250000</c:v>
                </c:pt>
                <c:pt idx="403">
                  <c:v>4130000</c:v>
                </c:pt>
                <c:pt idx="404">
                  <c:v>1020000</c:v>
                </c:pt>
                <c:pt idx="405">
                  <c:v>1300000</c:v>
                </c:pt>
                <c:pt idx="406">
                  <c:v>1900000</c:v>
                </c:pt>
                <c:pt idx="407">
                  <c:v>2190000</c:v>
                </c:pt>
                <c:pt idx="408">
                  <c:v>1270000</c:v>
                </c:pt>
                <c:pt idx="409">
                  <c:v>1280000</c:v>
                </c:pt>
                <c:pt idx="410">
                  <c:v>721580</c:v>
                </c:pt>
                <c:pt idx="411">
                  <c:v>440540</c:v>
                </c:pt>
                <c:pt idx="412">
                  <c:v>541880</c:v>
                </c:pt>
                <c:pt idx="413">
                  <c:v>926190</c:v>
                </c:pt>
                <c:pt idx="414">
                  <c:v>2380000</c:v>
                </c:pt>
                <c:pt idx="415">
                  <c:v>2000000</c:v>
                </c:pt>
                <c:pt idx="416">
                  <c:v>898430</c:v>
                </c:pt>
                <c:pt idx="417">
                  <c:v>2310000</c:v>
                </c:pt>
                <c:pt idx="418">
                  <c:v>1200000</c:v>
                </c:pt>
                <c:pt idx="419">
                  <c:v>545230</c:v>
                </c:pt>
                <c:pt idx="420">
                  <c:v>616050</c:v>
                </c:pt>
                <c:pt idx="421">
                  <c:v>456150</c:v>
                </c:pt>
                <c:pt idx="422">
                  <c:v>287430</c:v>
                </c:pt>
                <c:pt idx="423">
                  <c:v>672700</c:v>
                </c:pt>
                <c:pt idx="424">
                  <c:v>412750</c:v>
                </c:pt>
                <c:pt idx="425">
                  <c:v>570870</c:v>
                </c:pt>
                <c:pt idx="426">
                  <c:v>1380000</c:v>
                </c:pt>
                <c:pt idx="427">
                  <c:v>1190000</c:v>
                </c:pt>
                <c:pt idx="428">
                  <c:v>595120</c:v>
                </c:pt>
                <c:pt idx="429">
                  <c:v>424340</c:v>
                </c:pt>
                <c:pt idx="430">
                  <c:v>452680</c:v>
                </c:pt>
                <c:pt idx="431">
                  <c:v>806910</c:v>
                </c:pt>
                <c:pt idx="432">
                  <c:v>1330000</c:v>
                </c:pt>
                <c:pt idx="433">
                  <c:v>838120</c:v>
                </c:pt>
                <c:pt idx="434">
                  <c:v>386610</c:v>
                </c:pt>
                <c:pt idx="435">
                  <c:v>861340</c:v>
                </c:pt>
                <c:pt idx="436">
                  <c:v>411010</c:v>
                </c:pt>
                <c:pt idx="437">
                  <c:v>874870</c:v>
                </c:pt>
                <c:pt idx="438">
                  <c:v>452280</c:v>
                </c:pt>
                <c:pt idx="439">
                  <c:v>589260</c:v>
                </c:pt>
                <c:pt idx="440">
                  <c:v>897520</c:v>
                </c:pt>
                <c:pt idx="441">
                  <c:v>572890</c:v>
                </c:pt>
                <c:pt idx="442">
                  <c:v>622400</c:v>
                </c:pt>
                <c:pt idx="443">
                  <c:v>786360</c:v>
                </c:pt>
                <c:pt idx="444">
                  <c:v>687450</c:v>
                </c:pt>
                <c:pt idx="445">
                  <c:v>497010</c:v>
                </c:pt>
                <c:pt idx="446">
                  <c:v>360160</c:v>
                </c:pt>
                <c:pt idx="447">
                  <c:v>999100</c:v>
                </c:pt>
                <c:pt idx="448">
                  <c:v>1160000</c:v>
                </c:pt>
                <c:pt idx="449">
                  <c:v>816200</c:v>
                </c:pt>
                <c:pt idx="450">
                  <c:v>519030</c:v>
                </c:pt>
                <c:pt idx="451">
                  <c:v>457700</c:v>
                </c:pt>
                <c:pt idx="452">
                  <c:v>677510</c:v>
                </c:pt>
                <c:pt idx="453">
                  <c:v>430370</c:v>
                </c:pt>
                <c:pt idx="454">
                  <c:v>1330000</c:v>
                </c:pt>
                <c:pt idx="455">
                  <c:v>1630000</c:v>
                </c:pt>
                <c:pt idx="456">
                  <c:v>1070000</c:v>
                </c:pt>
                <c:pt idx="457">
                  <c:v>657520</c:v>
                </c:pt>
                <c:pt idx="458">
                  <c:v>930850</c:v>
                </c:pt>
                <c:pt idx="459">
                  <c:v>1390000</c:v>
                </c:pt>
                <c:pt idx="460">
                  <c:v>3080000</c:v>
                </c:pt>
                <c:pt idx="461">
                  <c:v>726390</c:v>
                </c:pt>
                <c:pt idx="462">
                  <c:v>861640</c:v>
                </c:pt>
                <c:pt idx="463">
                  <c:v>533140</c:v>
                </c:pt>
                <c:pt idx="464">
                  <c:v>879210</c:v>
                </c:pt>
                <c:pt idx="465">
                  <c:v>686530</c:v>
                </c:pt>
                <c:pt idx="466">
                  <c:v>1230000</c:v>
                </c:pt>
                <c:pt idx="467">
                  <c:v>848880</c:v>
                </c:pt>
                <c:pt idx="468">
                  <c:v>823300</c:v>
                </c:pt>
                <c:pt idx="469">
                  <c:v>1010000</c:v>
                </c:pt>
                <c:pt idx="470">
                  <c:v>611140</c:v>
                </c:pt>
                <c:pt idx="471">
                  <c:v>455220</c:v>
                </c:pt>
                <c:pt idx="472">
                  <c:v>525540</c:v>
                </c:pt>
                <c:pt idx="473">
                  <c:v>554630</c:v>
                </c:pt>
                <c:pt idx="474">
                  <c:v>342550</c:v>
                </c:pt>
                <c:pt idx="475">
                  <c:v>1100000</c:v>
                </c:pt>
                <c:pt idx="476">
                  <c:v>1690000</c:v>
                </c:pt>
                <c:pt idx="477">
                  <c:v>363180</c:v>
                </c:pt>
                <c:pt idx="478">
                  <c:v>659150</c:v>
                </c:pt>
                <c:pt idx="479">
                  <c:v>537940</c:v>
                </c:pt>
                <c:pt idx="480">
                  <c:v>262330</c:v>
                </c:pt>
                <c:pt idx="481">
                  <c:v>404130</c:v>
                </c:pt>
                <c:pt idx="482">
                  <c:v>831120</c:v>
                </c:pt>
                <c:pt idx="483">
                  <c:v>325670</c:v>
                </c:pt>
                <c:pt idx="484">
                  <c:v>403780</c:v>
                </c:pt>
                <c:pt idx="485">
                  <c:v>395360</c:v>
                </c:pt>
                <c:pt idx="486">
                  <c:v>314820</c:v>
                </c:pt>
                <c:pt idx="487">
                  <c:v>680390</c:v>
                </c:pt>
                <c:pt idx="488">
                  <c:v>670900</c:v>
                </c:pt>
                <c:pt idx="489">
                  <c:v>475320</c:v>
                </c:pt>
                <c:pt idx="490">
                  <c:v>333860</c:v>
                </c:pt>
                <c:pt idx="491">
                  <c:v>625660</c:v>
                </c:pt>
                <c:pt idx="492">
                  <c:v>326500</c:v>
                </c:pt>
                <c:pt idx="493">
                  <c:v>265890</c:v>
                </c:pt>
                <c:pt idx="494">
                  <c:v>345110</c:v>
                </c:pt>
                <c:pt idx="495">
                  <c:v>632950</c:v>
                </c:pt>
                <c:pt idx="496">
                  <c:v>693260</c:v>
                </c:pt>
                <c:pt idx="497">
                  <c:v>797280</c:v>
                </c:pt>
                <c:pt idx="498">
                  <c:v>406760</c:v>
                </c:pt>
                <c:pt idx="499">
                  <c:v>2460000</c:v>
                </c:pt>
                <c:pt idx="500">
                  <c:v>736620</c:v>
                </c:pt>
                <c:pt idx="501">
                  <c:v>1040000</c:v>
                </c:pt>
                <c:pt idx="502">
                  <c:v>1060000</c:v>
                </c:pt>
                <c:pt idx="503">
                  <c:v>572040</c:v>
                </c:pt>
                <c:pt idx="504">
                  <c:v>493240</c:v>
                </c:pt>
                <c:pt idx="505">
                  <c:v>334700</c:v>
                </c:pt>
                <c:pt idx="506">
                  <c:v>441000</c:v>
                </c:pt>
                <c:pt idx="507">
                  <c:v>266120</c:v>
                </c:pt>
                <c:pt idx="508">
                  <c:v>324010</c:v>
                </c:pt>
                <c:pt idx="509">
                  <c:v>680220</c:v>
                </c:pt>
                <c:pt idx="510">
                  <c:v>1220000</c:v>
                </c:pt>
                <c:pt idx="511">
                  <c:v>769880</c:v>
                </c:pt>
                <c:pt idx="512">
                  <c:v>521730</c:v>
                </c:pt>
                <c:pt idx="513">
                  <c:v>459190</c:v>
                </c:pt>
                <c:pt idx="514">
                  <c:v>465910</c:v>
                </c:pt>
                <c:pt idx="515">
                  <c:v>687090</c:v>
                </c:pt>
                <c:pt idx="516">
                  <c:v>985830</c:v>
                </c:pt>
                <c:pt idx="517">
                  <c:v>871640</c:v>
                </c:pt>
                <c:pt idx="518">
                  <c:v>416450</c:v>
                </c:pt>
                <c:pt idx="519">
                  <c:v>671850</c:v>
                </c:pt>
                <c:pt idx="520">
                  <c:v>1040000</c:v>
                </c:pt>
                <c:pt idx="521">
                  <c:v>664630</c:v>
                </c:pt>
                <c:pt idx="522">
                  <c:v>380540</c:v>
                </c:pt>
                <c:pt idx="523">
                  <c:v>448640</c:v>
                </c:pt>
                <c:pt idx="524">
                  <c:v>386390</c:v>
                </c:pt>
                <c:pt idx="525">
                  <c:v>677550</c:v>
                </c:pt>
                <c:pt idx="526">
                  <c:v>558180</c:v>
                </c:pt>
                <c:pt idx="527">
                  <c:v>731370</c:v>
                </c:pt>
                <c:pt idx="528">
                  <c:v>675130</c:v>
                </c:pt>
                <c:pt idx="529">
                  <c:v>2220000</c:v>
                </c:pt>
                <c:pt idx="530">
                  <c:v>804880</c:v>
                </c:pt>
                <c:pt idx="531">
                  <c:v>572430</c:v>
                </c:pt>
                <c:pt idx="532">
                  <c:v>311300</c:v>
                </c:pt>
                <c:pt idx="533">
                  <c:v>273280</c:v>
                </c:pt>
                <c:pt idx="534">
                  <c:v>575200</c:v>
                </c:pt>
                <c:pt idx="535">
                  <c:v>479280</c:v>
                </c:pt>
                <c:pt idx="536">
                  <c:v>775970</c:v>
                </c:pt>
                <c:pt idx="537">
                  <c:v>515030</c:v>
                </c:pt>
                <c:pt idx="538">
                  <c:v>815190</c:v>
                </c:pt>
                <c:pt idx="539">
                  <c:v>630240</c:v>
                </c:pt>
                <c:pt idx="540">
                  <c:v>558690</c:v>
                </c:pt>
                <c:pt idx="541">
                  <c:v>862530</c:v>
                </c:pt>
                <c:pt idx="542">
                  <c:v>1510000</c:v>
                </c:pt>
                <c:pt idx="543">
                  <c:v>1530000</c:v>
                </c:pt>
                <c:pt idx="544">
                  <c:v>1580000</c:v>
                </c:pt>
                <c:pt idx="545">
                  <c:v>1020000</c:v>
                </c:pt>
                <c:pt idx="546">
                  <c:v>621070</c:v>
                </c:pt>
                <c:pt idx="547">
                  <c:v>681810</c:v>
                </c:pt>
                <c:pt idx="548">
                  <c:v>611030</c:v>
                </c:pt>
                <c:pt idx="549">
                  <c:v>758340</c:v>
                </c:pt>
                <c:pt idx="550">
                  <c:v>1230000</c:v>
                </c:pt>
                <c:pt idx="551">
                  <c:v>480120</c:v>
                </c:pt>
                <c:pt idx="552">
                  <c:v>661120</c:v>
                </c:pt>
                <c:pt idx="553">
                  <c:v>439290</c:v>
                </c:pt>
                <c:pt idx="554">
                  <c:v>568610</c:v>
                </c:pt>
                <c:pt idx="555">
                  <c:v>446420</c:v>
                </c:pt>
                <c:pt idx="556">
                  <c:v>690960</c:v>
                </c:pt>
                <c:pt idx="557">
                  <c:v>1320000</c:v>
                </c:pt>
                <c:pt idx="558">
                  <c:v>1200000</c:v>
                </c:pt>
                <c:pt idx="559">
                  <c:v>840570</c:v>
                </c:pt>
                <c:pt idx="560">
                  <c:v>745770</c:v>
                </c:pt>
                <c:pt idx="561">
                  <c:v>660190</c:v>
                </c:pt>
                <c:pt idx="562">
                  <c:v>1240000</c:v>
                </c:pt>
                <c:pt idx="563">
                  <c:v>469840</c:v>
                </c:pt>
                <c:pt idx="564">
                  <c:v>451070</c:v>
                </c:pt>
                <c:pt idx="565">
                  <c:v>800710</c:v>
                </c:pt>
                <c:pt idx="566">
                  <c:v>332110</c:v>
                </c:pt>
                <c:pt idx="567">
                  <c:v>359810</c:v>
                </c:pt>
                <c:pt idx="568">
                  <c:v>383940</c:v>
                </c:pt>
                <c:pt idx="569">
                  <c:v>322930</c:v>
                </c:pt>
                <c:pt idx="570">
                  <c:v>636520</c:v>
                </c:pt>
                <c:pt idx="571">
                  <c:v>1190000</c:v>
                </c:pt>
                <c:pt idx="572">
                  <c:v>1090000</c:v>
                </c:pt>
                <c:pt idx="573">
                  <c:v>829580</c:v>
                </c:pt>
                <c:pt idx="574">
                  <c:v>630800</c:v>
                </c:pt>
                <c:pt idx="575">
                  <c:v>616250</c:v>
                </c:pt>
                <c:pt idx="576">
                  <c:v>499340</c:v>
                </c:pt>
                <c:pt idx="577">
                  <c:v>739030</c:v>
                </c:pt>
                <c:pt idx="578">
                  <c:v>479790</c:v>
                </c:pt>
                <c:pt idx="579">
                  <c:v>497150</c:v>
                </c:pt>
                <c:pt idx="580">
                  <c:v>515080.00000000012</c:v>
                </c:pt>
                <c:pt idx="581">
                  <c:v>477760</c:v>
                </c:pt>
                <c:pt idx="582">
                  <c:v>407390</c:v>
                </c:pt>
                <c:pt idx="583">
                  <c:v>403220</c:v>
                </c:pt>
                <c:pt idx="584">
                  <c:v>841470</c:v>
                </c:pt>
                <c:pt idx="585">
                  <c:v>459260</c:v>
                </c:pt>
                <c:pt idx="586">
                  <c:v>419480</c:v>
                </c:pt>
                <c:pt idx="587">
                  <c:v>650620</c:v>
                </c:pt>
                <c:pt idx="588">
                  <c:v>2800000</c:v>
                </c:pt>
                <c:pt idx="589">
                  <c:v>1460000</c:v>
                </c:pt>
                <c:pt idx="590">
                  <c:v>1170000</c:v>
                </c:pt>
                <c:pt idx="591">
                  <c:v>1590000</c:v>
                </c:pt>
                <c:pt idx="592">
                  <c:v>687010</c:v>
                </c:pt>
                <c:pt idx="593">
                  <c:v>892540</c:v>
                </c:pt>
                <c:pt idx="594">
                  <c:v>481730</c:v>
                </c:pt>
                <c:pt idx="595">
                  <c:v>556610</c:v>
                </c:pt>
                <c:pt idx="596">
                  <c:v>854410</c:v>
                </c:pt>
                <c:pt idx="597">
                  <c:v>404880</c:v>
                </c:pt>
                <c:pt idx="598">
                  <c:v>589420</c:v>
                </c:pt>
                <c:pt idx="599">
                  <c:v>1770000</c:v>
                </c:pt>
                <c:pt idx="600">
                  <c:v>358920</c:v>
                </c:pt>
                <c:pt idx="601">
                  <c:v>558030</c:v>
                </c:pt>
                <c:pt idx="602">
                  <c:v>808870</c:v>
                </c:pt>
                <c:pt idx="603">
                  <c:v>906880</c:v>
                </c:pt>
                <c:pt idx="604">
                  <c:v>453940</c:v>
                </c:pt>
                <c:pt idx="605">
                  <c:v>260629.99999999997</c:v>
                </c:pt>
                <c:pt idx="606">
                  <c:v>531560</c:v>
                </c:pt>
                <c:pt idx="607">
                  <c:v>666110</c:v>
                </c:pt>
                <c:pt idx="608">
                  <c:v>556910</c:v>
                </c:pt>
                <c:pt idx="609">
                  <c:v>739830</c:v>
                </c:pt>
                <c:pt idx="610">
                  <c:v>339710</c:v>
                </c:pt>
                <c:pt idx="611">
                  <c:v>542480</c:v>
                </c:pt>
                <c:pt idx="612">
                  <c:v>836170</c:v>
                </c:pt>
                <c:pt idx="613">
                  <c:v>717660</c:v>
                </c:pt>
                <c:pt idx="614">
                  <c:v>1180000</c:v>
                </c:pt>
                <c:pt idx="615">
                  <c:v>273510</c:v>
                </c:pt>
                <c:pt idx="616">
                  <c:v>1340000</c:v>
                </c:pt>
                <c:pt idx="617">
                  <c:v>1080000</c:v>
                </c:pt>
                <c:pt idx="618">
                  <c:v>532400</c:v>
                </c:pt>
                <c:pt idx="619">
                  <c:v>770780</c:v>
                </c:pt>
                <c:pt idx="620">
                  <c:v>856260</c:v>
                </c:pt>
                <c:pt idx="621">
                  <c:v>928850</c:v>
                </c:pt>
                <c:pt idx="622">
                  <c:v>367510</c:v>
                </c:pt>
                <c:pt idx="623">
                  <c:v>443840</c:v>
                </c:pt>
                <c:pt idx="624">
                  <c:v>616330</c:v>
                </c:pt>
                <c:pt idx="625">
                  <c:v>1060000</c:v>
                </c:pt>
                <c:pt idx="626">
                  <c:v>650310</c:v>
                </c:pt>
                <c:pt idx="627">
                  <c:v>617740</c:v>
                </c:pt>
                <c:pt idx="628">
                  <c:v>1350000</c:v>
                </c:pt>
                <c:pt idx="629">
                  <c:v>1070000</c:v>
                </c:pt>
                <c:pt idx="630">
                  <c:v>768270</c:v>
                </c:pt>
                <c:pt idx="631">
                  <c:v>901980</c:v>
                </c:pt>
                <c:pt idx="632">
                  <c:v>536540</c:v>
                </c:pt>
                <c:pt idx="633">
                  <c:v>568160</c:v>
                </c:pt>
                <c:pt idx="634">
                  <c:v>728000</c:v>
                </c:pt>
                <c:pt idx="635">
                  <c:v>432910</c:v>
                </c:pt>
                <c:pt idx="636">
                  <c:v>469150</c:v>
                </c:pt>
                <c:pt idx="637">
                  <c:v>1460000</c:v>
                </c:pt>
                <c:pt idx="638">
                  <c:v>623590</c:v>
                </c:pt>
                <c:pt idx="639">
                  <c:v>676810</c:v>
                </c:pt>
                <c:pt idx="640">
                  <c:v>527220</c:v>
                </c:pt>
                <c:pt idx="641">
                  <c:v>486390</c:v>
                </c:pt>
                <c:pt idx="642">
                  <c:v>570560</c:v>
                </c:pt>
                <c:pt idx="643">
                  <c:v>891880</c:v>
                </c:pt>
                <c:pt idx="644">
                  <c:v>1840000</c:v>
                </c:pt>
                <c:pt idx="645">
                  <c:v>1220000</c:v>
                </c:pt>
                <c:pt idx="646">
                  <c:v>928110</c:v>
                </c:pt>
                <c:pt idx="647">
                  <c:v>518289.99999999994</c:v>
                </c:pt>
                <c:pt idx="648">
                  <c:v>595710</c:v>
                </c:pt>
                <c:pt idx="649">
                  <c:v>814820</c:v>
                </c:pt>
                <c:pt idx="650">
                  <c:v>2190000</c:v>
                </c:pt>
                <c:pt idx="651">
                  <c:v>1330000</c:v>
                </c:pt>
                <c:pt idx="652">
                  <c:v>1700000</c:v>
                </c:pt>
                <c:pt idx="653">
                  <c:v>1650000</c:v>
                </c:pt>
                <c:pt idx="654">
                  <c:v>591900</c:v>
                </c:pt>
                <c:pt idx="655">
                  <c:v>1150000</c:v>
                </c:pt>
                <c:pt idx="656">
                  <c:v>928070</c:v>
                </c:pt>
                <c:pt idx="657">
                  <c:v>1600000</c:v>
                </c:pt>
                <c:pt idx="658">
                  <c:v>856680</c:v>
                </c:pt>
                <c:pt idx="659">
                  <c:v>1240000</c:v>
                </c:pt>
                <c:pt idx="660">
                  <c:v>1740000</c:v>
                </c:pt>
                <c:pt idx="661">
                  <c:v>1440000</c:v>
                </c:pt>
                <c:pt idx="662">
                  <c:v>1240000</c:v>
                </c:pt>
                <c:pt idx="663">
                  <c:v>1590000</c:v>
                </c:pt>
                <c:pt idx="664">
                  <c:v>1040000</c:v>
                </c:pt>
                <c:pt idx="665">
                  <c:v>561310</c:v>
                </c:pt>
                <c:pt idx="666">
                  <c:v>355150</c:v>
                </c:pt>
                <c:pt idx="667">
                  <c:v>662830</c:v>
                </c:pt>
                <c:pt idx="668">
                  <c:v>640520</c:v>
                </c:pt>
                <c:pt idx="669">
                  <c:v>567370</c:v>
                </c:pt>
                <c:pt idx="670">
                  <c:v>761570</c:v>
                </c:pt>
                <c:pt idx="671">
                  <c:v>528700</c:v>
                </c:pt>
                <c:pt idx="672">
                  <c:v>508970.00000000006</c:v>
                </c:pt>
                <c:pt idx="673">
                  <c:v>1630000</c:v>
                </c:pt>
                <c:pt idx="674">
                  <c:v>957390</c:v>
                </c:pt>
                <c:pt idx="675">
                  <c:v>517409.99999999994</c:v>
                </c:pt>
                <c:pt idx="676">
                  <c:v>854400</c:v>
                </c:pt>
                <c:pt idx="677">
                  <c:v>883100</c:v>
                </c:pt>
                <c:pt idx="678">
                  <c:v>659830</c:v>
                </c:pt>
                <c:pt idx="679">
                  <c:v>436540</c:v>
                </c:pt>
                <c:pt idx="680">
                  <c:v>979890</c:v>
                </c:pt>
                <c:pt idx="681">
                  <c:v>651920</c:v>
                </c:pt>
                <c:pt idx="682">
                  <c:v>670810</c:v>
                </c:pt>
                <c:pt idx="683">
                  <c:v>578780</c:v>
                </c:pt>
                <c:pt idx="684">
                  <c:v>517860</c:v>
                </c:pt>
                <c:pt idx="685">
                  <c:v>2180000</c:v>
                </c:pt>
                <c:pt idx="686">
                  <c:v>961130</c:v>
                </c:pt>
                <c:pt idx="687">
                  <c:v>530680</c:v>
                </c:pt>
                <c:pt idx="688">
                  <c:v>458830</c:v>
                </c:pt>
                <c:pt idx="689">
                  <c:v>412740</c:v>
                </c:pt>
                <c:pt idx="690">
                  <c:v>661790</c:v>
                </c:pt>
                <c:pt idx="691">
                  <c:v>660960</c:v>
                </c:pt>
                <c:pt idx="692">
                  <c:v>753970</c:v>
                </c:pt>
                <c:pt idx="693">
                  <c:v>387250</c:v>
                </c:pt>
                <c:pt idx="694">
                  <c:v>492110</c:v>
                </c:pt>
                <c:pt idx="695">
                  <c:v>522360.00000000006</c:v>
                </c:pt>
                <c:pt idx="696">
                  <c:v>645490</c:v>
                </c:pt>
                <c:pt idx="697">
                  <c:v>515240.00000000006</c:v>
                </c:pt>
                <c:pt idx="698">
                  <c:v>532330</c:v>
                </c:pt>
                <c:pt idx="699">
                  <c:v>63729.999999999993</c:v>
                </c:pt>
                <c:pt idx="700">
                  <c:v>571190</c:v>
                </c:pt>
                <c:pt idx="701">
                  <c:v>583290</c:v>
                </c:pt>
                <c:pt idx="702">
                  <c:v>478510</c:v>
                </c:pt>
                <c:pt idx="703">
                  <c:v>678150</c:v>
                </c:pt>
                <c:pt idx="704">
                  <c:v>746050</c:v>
                </c:pt>
                <c:pt idx="705">
                  <c:v>1180000</c:v>
                </c:pt>
                <c:pt idx="706">
                  <c:v>738120</c:v>
                </c:pt>
                <c:pt idx="707">
                  <c:v>631940</c:v>
                </c:pt>
                <c:pt idx="708">
                  <c:v>505939.99999999994</c:v>
                </c:pt>
                <c:pt idx="709">
                  <c:v>490410</c:v>
                </c:pt>
                <c:pt idx="710">
                  <c:v>442140</c:v>
                </c:pt>
                <c:pt idx="711">
                  <c:v>2460000</c:v>
                </c:pt>
                <c:pt idx="712">
                  <c:v>659140</c:v>
                </c:pt>
                <c:pt idx="713">
                  <c:v>552510</c:v>
                </c:pt>
                <c:pt idx="714">
                  <c:v>1050000</c:v>
                </c:pt>
                <c:pt idx="715">
                  <c:v>889810</c:v>
                </c:pt>
                <c:pt idx="716">
                  <c:v>868750</c:v>
                </c:pt>
                <c:pt idx="717">
                  <c:v>631290</c:v>
                </c:pt>
                <c:pt idx="718">
                  <c:v>461530</c:v>
                </c:pt>
                <c:pt idx="719">
                  <c:v>738560</c:v>
                </c:pt>
                <c:pt idx="720">
                  <c:v>407600</c:v>
                </c:pt>
                <c:pt idx="721">
                  <c:v>512690.00000000012</c:v>
                </c:pt>
                <c:pt idx="722">
                  <c:v>435880</c:v>
                </c:pt>
                <c:pt idx="723">
                  <c:v>456870</c:v>
                </c:pt>
                <c:pt idx="724">
                  <c:v>1150000</c:v>
                </c:pt>
                <c:pt idx="725">
                  <c:v>518870.00000000006</c:v>
                </c:pt>
                <c:pt idx="726">
                  <c:v>1450000</c:v>
                </c:pt>
                <c:pt idx="727">
                  <c:v>518260.00000000006</c:v>
                </c:pt>
                <c:pt idx="728">
                  <c:v>944560</c:v>
                </c:pt>
                <c:pt idx="729">
                  <c:v>943410</c:v>
                </c:pt>
                <c:pt idx="730">
                  <c:v>862490</c:v>
                </c:pt>
                <c:pt idx="731">
                  <c:v>660250</c:v>
                </c:pt>
                <c:pt idx="732">
                  <c:v>541990</c:v>
                </c:pt>
                <c:pt idx="733">
                  <c:v>584450</c:v>
                </c:pt>
                <c:pt idx="734">
                  <c:v>677000</c:v>
                </c:pt>
                <c:pt idx="735">
                  <c:v>338210</c:v>
                </c:pt>
                <c:pt idx="736">
                  <c:v>771550</c:v>
                </c:pt>
                <c:pt idx="737">
                  <c:v>890120</c:v>
                </c:pt>
                <c:pt idx="738">
                  <c:v>711010</c:v>
                </c:pt>
                <c:pt idx="739">
                  <c:v>485200</c:v>
                </c:pt>
                <c:pt idx="740">
                  <c:v>613150</c:v>
                </c:pt>
                <c:pt idx="741">
                  <c:v>581960</c:v>
                </c:pt>
                <c:pt idx="742">
                  <c:v>530290</c:v>
                </c:pt>
                <c:pt idx="743">
                  <c:v>422130</c:v>
                </c:pt>
                <c:pt idx="744">
                  <c:v>318720</c:v>
                </c:pt>
                <c:pt idx="745">
                  <c:v>881070</c:v>
                </c:pt>
                <c:pt idx="746">
                  <c:v>663450</c:v>
                </c:pt>
                <c:pt idx="747">
                  <c:v>381580</c:v>
                </c:pt>
                <c:pt idx="748">
                  <c:v>323240</c:v>
                </c:pt>
                <c:pt idx="749">
                  <c:v>372620</c:v>
                </c:pt>
                <c:pt idx="750">
                  <c:v>383750</c:v>
                </c:pt>
                <c:pt idx="751">
                  <c:v>242110</c:v>
                </c:pt>
                <c:pt idx="752">
                  <c:v>391800</c:v>
                </c:pt>
                <c:pt idx="753">
                  <c:v>607830</c:v>
                </c:pt>
                <c:pt idx="754">
                  <c:v>856150</c:v>
                </c:pt>
                <c:pt idx="755">
                  <c:v>690120</c:v>
                </c:pt>
                <c:pt idx="756">
                  <c:v>964660</c:v>
                </c:pt>
                <c:pt idx="757">
                  <c:v>653370</c:v>
                </c:pt>
                <c:pt idx="758">
                  <c:v>495810</c:v>
                </c:pt>
                <c:pt idx="759">
                  <c:v>330810</c:v>
                </c:pt>
                <c:pt idx="760">
                  <c:v>320900</c:v>
                </c:pt>
                <c:pt idx="761">
                  <c:v>389880</c:v>
                </c:pt>
                <c:pt idx="762">
                  <c:v>424690</c:v>
                </c:pt>
                <c:pt idx="763">
                  <c:v>367440</c:v>
                </c:pt>
                <c:pt idx="764">
                  <c:v>353060</c:v>
                </c:pt>
                <c:pt idx="765">
                  <c:v>627910</c:v>
                </c:pt>
                <c:pt idx="766">
                  <c:v>656400</c:v>
                </c:pt>
                <c:pt idx="767">
                  <c:v>612160</c:v>
                </c:pt>
                <c:pt idx="768">
                  <c:v>885330</c:v>
                </c:pt>
                <c:pt idx="769">
                  <c:v>613270</c:v>
                </c:pt>
                <c:pt idx="770">
                  <c:v>500040.00000000006</c:v>
                </c:pt>
                <c:pt idx="771">
                  <c:v>346030</c:v>
                </c:pt>
                <c:pt idx="772">
                  <c:v>447240</c:v>
                </c:pt>
                <c:pt idx="773">
                  <c:v>378310</c:v>
                </c:pt>
                <c:pt idx="774">
                  <c:v>265010</c:v>
                </c:pt>
                <c:pt idx="775">
                  <c:v>328750</c:v>
                </c:pt>
                <c:pt idx="776">
                  <c:v>405140</c:v>
                </c:pt>
                <c:pt idx="777">
                  <c:v>1520000</c:v>
                </c:pt>
                <c:pt idx="778">
                  <c:v>2089999.9999999998</c:v>
                </c:pt>
                <c:pt idx="779">
                  <c:v>679170</c:v>
                </c:pt>
                <c:pt idx="780">
                  <c:v>491320</c:v>
                </c:pt>
                <c:pt idx="781">
                  <c:v>515900</c:v>
                </c:pt>
                <c:pt idx="782">
                  <c:v>494120</c:v>
                </c:pt>
                <c:pt idx="783">
                  <c:v>570380</c:v>
                </c:pt>
                <c:pt idx="784">
                  <c:v>527730</c:v>
                </c:pt>
                <c:pt idx="785">
                  <c:v>684030</c:v>
                </c:pt>
                <c:pt idx="786">
                  <c:v>482530</c:v>
                </c:pt>
                <c:pt idx="787">
                  <c:v>974100</c:v>
                </c:pt>
                <c:pt idx="788">
                  <c:v>522390</c:v>
                </c:pt>
                <c:pt idx="789">
                  <c:v>970570</c:v>
                </c:pt>
                <c:pt idx="790">
                  <c:v>337280</c:v>
                </c:pt>
                <c:pt idx="791">
                  <c:v>362690</c:v>
                </c:pt>
                <c:pt idx="792">
                  <c:v>657260</c:v>
                </c:pt>
                <c:pt idx="793">
                  <c:v>419730</c:v>
                </c:pt>
                <c:pt idx="794">
                  <c:v>362000</c:v>
                </c:pt>
                <c:pt idx="795">
                  <c:v>351240</c:v>
                </c:pt>
                <c:pt idx="796">
                  <c:v>727500</c:v>
                </c:pt>
                <c:pt idx="797">
                  <c:v>288930</c:v>
                </c:pt>
                <c:pt idx="798">
                  <c:v>439610</c:v>
                </c:pt>
                <c:pt idx="799">
                  <c:v>692630</c:v>
                </c:pt>
                <c:pt idx="800">
                  <c:v>561180</c:v>
                </c:pt>
                <c:pt idx="801">
                  <c:v>490090</c:v>
                </c:pt>
                <c:pt idx="802">
                  <c:v>222880</c:v>
                </c:pt>
                <c:pt idx="803">
                  <c:v>379190</c:v>
                </c:pt>
                <c:pt idx="804">
                  <c:v>542970</c:v>
                </c:pt>
                <c:pt idx="805">
                  <c:v>375290</c:v>
                </c:pt>
                <c:pt idx="806">
                  <c:v>1080000</c:v>
                </c:pt>
                <c:pt idx="807">
                  <c:v>765290</c:v>
                </c:pt>
                <c:pt idx="808">
                  <c:v>546110</c:v>
                </c:pt>
                <c:pt idx="809">
                  <c:v>1170000</c:v>
                </c:pt>
                <c:pt idx="810">
                  <c:v>1030000</c:v>
                </c:pt>
                <c:pt idx="811">
                  <c:v>586850</c:v>
                </c:pt>
                <c:pt idx="812">
                  <c:v>416880</c:v>
                </c:pt>
                <c:pt idx="813">
                  <c:v>618390</c:v>
                </c:pt>
                <c:pt idx="814">
                  <c:v>746280</c:v>
                </c:pt>
                <c:pt idx="815">
                  <c:v>1340000</c:v>
                </c:pt>
                <c:pt idx="816">
                  <c:v>539980</c:v>
                </c:pt>
                <c:pt idx="817">
                  <c:v>577510</c:v>
                </c:pt>
                <c:pt idx="818">
                  <c:v>646160</c:v>
                </c:pt>
                <c:pt idx="819">
                  <c:v>483670</c:v>
                </c:pt>
                <c:pt idx="820">
                  <c:v>443740</c:v>
                </c:pt>
                <c:pt idx="821">
                  <c:v>379320</c:v>
                </c:pt>
                <c:pt idx="822">
                  <c:v>574540</c:v>
                </c:pt>
                <c:pt idx="823">
                  <c:v>881680</c:v>
                </c:pt>
                <c:pt idx="824">
                  <c:v>464410</c:v>
                </c:pt>
                <c:pt idx="825">
                  <c:v>416240</c:v>
                </c:pt>
                <c:pt idx="826">
                  <c:v>838720</c:v>
                </c:pt>
                <c:pt idx="827">
                  <c:v>577760</c:v>
                </c:pt>
                <c:pt idx="828">
                  <c:v>325540</c:v>
                </c:pt>
                <c:pt idx="829">
                  <c:v>518150</c:v>
                </c:pt>
                <c:pt idx="830">
                  <c:v>322910</c:v>
                </c:pt>
                <c:pt idx="831">
                  <c:v>347390</c:v>
                </c:pt>
                <c:pt idx="832">
                  <c:v>386750</c:v>
                </c:pt>
                <c:pt idx="833">
                  <c:v>408410</c:v>
                </c:pt>
                <c:pt idx="834">
                  <c:v>3670000</c:v>
                </c:pt>
                <c:pt idx="835">
                  <c:v>1270000</c:v>
                </c:pt>
                <c:pt idx="836">
                  <c:v>1040000</c:v>
                </c:pt>
                <c:pt idx="837">
                  <c:v>755790</c:v>
                </c:pt>
                <c:pt idx="838">
                  <c:v>1240000</c:v>
                </c:pt>
                <c:pt idx="839">
                  <c:v>762690</c:v>
                </c:pt>
                <c:pt idx="840">
                  <c:v>303120</c:v>
                </c:pt>
                <c:pt idx="841">
                  <c:v>374270</c:v>
                </c:pt>
                <c:pt idx="842">
                  <c:v>374040</c:v>
                </c:pt>
                <c:pt idx="843">
                  <c:v>725890</c:v>
                </c:pt>
                <c:pt idx="844">
                  <c:v>394990</c:v>
                </c:pt>
                <c:pt idx="845">
                  <c:v>516719.99999999994</c:v>
                </c:pt>
                <c:pt idx="846">
                  <c:v>598100</c:v>
                </c:pt>
                <c:pt idx="847">
                  <c:v>1190000</c:v>
                </c:pt>
                <c:pt idx="848">
                  <c:v>622440</c:v>
                </c:pt>
                <c:pt idx="849">
                  <c:v>987420</c:v>
                </c:pt>
                <c:pt idx="850">
                  <c:v>340660</c:v>
                </c:pt>
                <c:pt idx="851">
                  <c:v>385910</c:v>
                </c:pt>
                <c:pt idx="852">
                  <c:v>342010</c:v>
                </c:pt>
                <c:pt idx="853">
                  <c:v>511179.99999999994</c:v>
                </c:pt>
                <c:pt idx="854">
                  <c:v>447350</c:v>
                </c:pt>
                <c:pt idx="855">
                  <c:v>358860</c:v>
                </c:pt>
                <c:pt idx="856">
                  <c:v>612120</c:v>
                </c:pt>
                <c:pt idx="857">
                  <c:v>456600</c:v>
                </c:pt>
                <c:pt idx="858">
                  <c:v>428890</c:v>
                </c:pt>
                <c:pt idx="859">
                  <c:v>610090</c:v>
                </c:pt>
                <c:pt idx="860">
                  <c:v>336010</c:v>
                </c:pt>
                <c:pt idx="861">
                  <c:v>378560</c:v>
                </c:pt>
                <c:pt idx="862">
                  <c:v>538050</c:v>
                </c:pt>
                <c:pt idx="863">
                  <c:v>559680</c:v>
                </c:pt>
                <c:pt idx="864">
                  <c:v>281640</c:v>
                </c:pt>
                <c:pt idx="865">
                  <c:v>346200</c:v>
                </c:pt>
                <c:pt idx="866">
                  <c:v>336520</c:v>
                </c:pt>
                <c:pt idx="867">
                  <c:v>657120</c:v>
                </c:pt>
                <c:pt idx="868">
                  <c:v>712380</c:v>
                </c:pt>
                <c:pt idx="869">
                  <c:v>734330</c:v>
                </c:pt>
                <c:pt idx="870">
                  <c:v>4120000</c:v>
                </c:pt>
                <c:pt idx="871">
                  <c:v>2930000</c:v>
                </c:pt>
                <c:pt idx="872">
                  <c:v>3840000</c:v>
                </c:pt>
                <c:pt idx="873">
                  <c:v>2100000</c:v>
                </c:pt>
                <c:pt idx="874">
                  <c:v>1780000</c:v>
                </c:pt>
                <c:pt idx="875">
                  <c:v>1430000</c:v>
                </c:pt>
                <c:pt idx="876">
                  <c:v>1570000</c:v>
                </c:pt>
                <c:pt idx="877">
                  <c:v>1050000</c:v>
                </c:pt>
                <c:pt idx="878">
                  <c:v>1580000</c:v>
                </c:pt>
                <c:pt idx="879">
                  <c:v>1560000</c:v>
                </c:pt>
                <c:pt idx="880">
                  <c:v>743050</c:v>
                </c:pt>
                <c:pt idx="881">
                  <c:v>658760</c:v>
                </c:pt>
                <c:pt idx="882">
                  <c:v>684860</c:v>
                </c:pt>
                <c:pt idx="883">
                  <c:v>536480</c:v>
                </c:pt>
                <c:pt idx="884">
                  <c:v>517009.99999999994</c:v>
                </c:pt>
                <c:pt idx="885">
                  <c:v>865630</c:v>
                </c:pt>
                <c:pt idx="886">
                  <c:v>552960</c:v>
                </c:pt>
                <c:pt idx="887">
                  <c:v>748690</c:v>
                </c:pt>
                <c:pt idx="888">
                  <c:v>338430</c:v>
                </c:pt>
                <c:pt idx="889">
                  <c:v>485770</c:v>
                </c:pt>
                <c:pt idx="890">
                  <c:v>1040000</c:v>
                </c:pt>
                <c:pt idx="891">
                  <c:v>1170000</c:v>
                </c:pt>
                <c:pt idx="892">
                  <c:v>601720</c:v>
                </c:pt>
                <c:pt idx="893">
                  <c:v>1240000</c:v>
                </c:pt>
                <c:pt idx="894">
                  <c:v>438970</c:v>
                </c:pt>
                <c:pt idx="895">
                  <c:v>881720</c:v>
                </c:pt>
                <c:pt idx="896">
                  <c:v>1100000</c:v>
                </c:pt>
                <c:pt idx="897">
                  <c:v>640760</c:v>
                </c:pt>
                <c:pt idx="898">
                  <c:v>366410</c:v>
                </c:pt>
                <c:pt idx="899">
                  <c:v>650030</c:v>
                </c:pt>
                <c:pt idx="900">
                  <c:v>502270</c:v>
                </c:pt>
                <c:pt idx="901">
                  <c:v>484580</c:v>
                </c:pt>
                <c:pt idx="902">
                  <c:v>680220</c:v>
                </c:pt>
                <c:pt idx="903">
                  <c:v>407890</c:v>
                </c:pt>
                <c:pt idx="904">
                  <c:v>343010</c:v>
                </c:pt>
                <c:pt idx="905">
                  <c:v>347740</c:v>
                </c:pt>
                <c:pt idx="906">
                  <c:v>840230</c:v>
                </c:pt>
                <c:pt idx="907">
                  <c:v>463510</c:v>
                </c:pt>
                <c:pt idx="908">
                  <c:v>329660</c:v>
                </c:pt>
                <c:pt idx="909">
                  <c:v>271580</c:v>
                </c:pt>
                <c:pt idx="910">
                  <c:v>903100</c:v>
                </c:pt>
                <c:pt idx="911">
                  <c:v>835740</c:v>
                </c:pt>
                <c:pt idx="912">
                  <c:v>691510</c:v>
                </c:pt>
                <c:pt idx="913">
                  <c:v>661740</c:v>
                </c:pt>
                <c:pt idx="914">
                  <c:v>374900</c:v>
                </c:pt>
                <c:pt idx="915">
                  <c:v>431090</c:v>
                </c:pt>
                <c:pt idx="916">
                  <c:v>334700</c:v>
                </c:pt>
                <c:pt idx="917">
                  <c:v>448500</c:v>
                </c:pt>
                <c:pt idx="918">
                  <c:v>544360</c:v>
                </c:pt>
                <c:pt idx="919">
                  <c:v>446510</c:v>
                </c:pt>
                <c:pt idx="920">
                  <c:v>820180</c:v>
                </c:pt>
                <c:pt idx="921">
                  <c:v>436340</c:v>
                </c:pt>
                <c:pt idx="922">
                  <c:v>1170000</c:v>
                </c:pt>
                <c:pt idx="923">
                  <c:v>596380</c:v>
                </c:pt>
                <c:pt idx="924">
                  <c:v>547810</c:v>
                </c:pt>
                <c:pt idx="925">
                  <c:v>477580</c:v>
                </c:pt>
                <c:pt idx="926">
                  <c:v>393520</c:v>
                </c:pt>
                <c:pt idx="927">
                  <c:v>309700</c:v>
                </c:pt>
                <c:pt idx="928">
                  <c:v>2180000</c:v>
                </c:pt>
                <c:pt idx="929">
                  <c:v>552570</c:v>
                </c:pt>
                <c:pt idx="930">
                  <c:v>608160</c:v>
                </c:pt>
                <c:pt idx="931">
                  <c:v>515009.99999999994</c:v>
                </c:pt>
                <c:pt idx="932">
                  <c:v>1350000</c:v>
                </c:pt>
                <c:pt idx="933">
                  <c:v>566980</c:v>
                </c:pt>
                <c:pt idx="934">
                  <c:v>394670</c:v>
                </c:pt>
                <c:pt idx="935">
                  <c:v>249260</c:v>
                </c:pt>
                <c:pt idx="936">
                  <c:v>471290</c:v>
                </c:pt>
                <c:pt idx="937">
                  <c:v>206650</c:v>
                </c:pt>
                <c:pt idx="938">
                  <c:v>343470</c:v>
                </c:pt>
                <c:pt idx="939">
                  <c:v>644990</c:v>
                </c:pt>
                <c:pt idx="940">
                  <c:v>280440</c:v>
                </c:pt>
                <c:pt idx="941">
                  <c:v>147660</c:v>
                </c:pt>
                <c:pt idx="942">
                  <c:v>260329.99999999994</c:v>
                </c:pt>
                <c:pt idx="943">
                  <c:v>368550</c:v>
                </c:pt>
                <c:pt idx="944">
                  <c:v>353660</c:v>
                </c:pt>
                <c:pt idx="945">
                  <c:v>216270</c:v>
                </c:pt>
                <c:pt idx="946">
                  <c:v>211290</c:v>
                </c:pt>
                <c:pt idx="947">
                  <c:v>354130</c:v>
                </c:pt>
                <c:pt idx="948">
                  <c:v>428620</c:v>
                </c:pt>
                <c:pt idx="949">
                  <c:v>293100</c:v>
                </c:pt>
                <c:pt idx="950">
                  <c:v>257390</c:v>
                </c:pt>
                <c:pt idx="951">
                  <c:v>409350</c:v>
                </c:pt>
                <c:pt idx="952">
                  <c:v>325630</c:v>
                </c:pt>
                <c:pt idx="953">
                  <c:v>493380</c:v>
                </c:pt>
                <c:pt idx="954">
                  <c:v>568460</c:v>
                </c:pt>
                <c:pt idx="955">
                  <c:v>722080</c:v>
                </c:pt>
                <c:pt idx="956">
                  <c:v>335440</c:v>
                </c:pt>
                <c:pt idx="957">
                  <c:v>393480</c:v>
                </c:pt>
                <c:pt idx="958">
                  <c:v>538780</c:v>
                </c:pt>
                <c:pt idx="959">
                  <c:v>259240.00000000003</c:v>
                </c:pt>
                <c:pt idx="960">
                  <c:v>113460</c:v>
                </c:pt>
                <c:pt idx="961">
                  <c:v>875890</c:v>
                </c:pt>
                <c:pt idx="962">
                  <c:v>1910000</c:v>
                </c:pt>
                <c:pt idx="963">
                  <c:v>755580</c:v>
                </c:pt>
                <c:pt idx="964">
                  <c:v>476360</c:v>
                </c:pt>
                <c:pt idx="965">
                  <c:v>249900</c:v>
                </c:pt>
                <c:pt idx="966">
                  <c:v>260480.00000000006</c:v>
                </c:pt>
                <c:pt idx="967">
                  <c:v>286190</c:v>
                </c:pt>
                <c:pt idx="968">
                  <c:v>764500</c:v>
                </c:pt>
                <c:pt idx="969">
                  <c:v>266310</c:v>
                </c:pt>
                <c:pt idx="970">
                  <c:v>505270</c:v>
                </c:pt>
                <c:pt idx="971">
                  <c:v>414180</c:v>
                </c:pt>
                <c:pt idx="972">
                  <c:v>1340000</c:v>
                </c:pt>
                <c:pt idx="973">
                  <c:v>683210</c:v>
                </c:pt>
                <c:pt idx="974">
                  <c:v>2820000</c:v>
                </c:pt>
                <c:pt idx="975">
                  <c:v>1050000</c:v>
                </c:pt>
                <c:pt idx="976">
                  <c:v>941570</c:v>
                </c:pt>
                <c:pt idx="977">
                  <c:v>699550</c:v>
                </c:pt>
                <c:pt idx="978">
                  <c:v>334250</c:v>
                </c:pt>
                <c:pt idx="979">
                  <c:v>534580</c:v>
                </c:pt>
                <c:pt idx="980">
                  <c:v>981120</c:v>
                </c:pt>
                <c:pt idx="981">
                  <c:v>707210</c:v>
                </c:pt>
                <c:pt idx="982">
                  <c:v>922660</c:v>
                </c:pt>
                <c:pt idx="983">
                  <c:v>954930</c:v>
                </c:pt>
                <c:pt idx="984">
                  <c:v>886620</c:v>
                </c:pt>
                <c:pt idx="985">
                  <c:v>328370</c:v>
                </c:pt>
                <c:pt idx="986">
                  <c:v>557210</c:v>
                </c:pt>
                <c:pt idx="987">
                  <c:v>445650</c:v>
                </c:pt>
                <c:pt idx="988">
                  <c:v>309910</c:v>
                </c:pt>
                <c:pt idx="989">
                  <c:v>475110</c:v>
                </c:pt>
                <c:pt idx="990">
                  <c:v>385940</c:v>
                </c:pt>
                <c:pt idx="991">
                  <c:v>450480</c:v>
                </c:pt>
                <c:pt idx="992">
                  <c:v>673950</c:v>
                </c:pt>
                <c:pt idx="993">
                  <c:v>763450</c:v>
                </c:pt>
                <c:pt idx="994">
                  <c:v>1220000</c:v>
                </c:pt>
                <c:pt idx="995">
                  <c:v>435450</c:v>
                </c:pt>
                <c:pt idx="996">
                  <c:v>425700</c:v>
                </c:pt>
                <c:pt idx="997">
                  <c:v>402100</c:v>
                </c:pt>
                <c:pt idx="998">
                  <c:v>401260</c:v>
                </c:pt>
                <c:pt idx="999">
                  <c:v>411460</c:v>
                </c:pt>
                <c:pt idx="1000">
                  <c:v>577500</c:v>
                </c:pt>
                <c:pt idx="1001">
                  <c:v>378240</c:v>
                </c:pt>
                <c:pt idx="1002">
                  <c:v>220410</c:v>
                </c:pt>
                <c:pt idx="1003">
                  <c:v>364330</c:v>
                </c:pt>
                <c:pt idx="1004">
                  <c:v>519200.00000000012</c:v>
                </c:pt>
                <c:pt idx="1005">
                  <c:v>585280</c:v>
                </c:pt>
                <c:pt idx="1006">
                  <c:v>583930</c:v>
                </c:pt>
                <c:pt idx="1007">
                  <c:v>894470</c:v>
                </c:pt>
                <c:pt idx="1008">
                  <c:v>122050</c:v>
                </c:pt>
                <c:pt idx="1009">
                  <c:v>823430</c:v>
                </c:pt>
                <c:pt idx="1010">
                  <c:v>1320000</c:v>
                </c:pt>
                <c:pt idx="1011">
                  <c:v>699430</c:v>
                </c:pt>
                <c:pt idx="1012">
                  <c:v>936430</c:v>
                </c:pt>
                <c:pt idx="1013">
                  <c:v>612060</c:v>
                </c:pt>
                <c:pt idx="1014">
                  <c:v>759820</c:v>
                </c:pt>
                <c:pt idx="1015">
                  <c:v>1310000</c:v>
                </c:pt>
                <c:pt idx="1016">
                  <c:v>872010</c:v>
                </c:pt>
                <c:pt idx="1017">
                  <c:v>592180</c:v>
                </c:pt>
                <c:pt idx="1018">
                  <c:v>470710</c:v>
                </c:pt>
                <c:pt idx="1019">
                  <c:v>416770</c:v>
                </c:pt>
                <c:pt idx="1020">
                  <c:v>404900</c:v>
                </c:pt>
                <c:pt idx="1021">
                  <c:v>396730</c:v>
                </c:pt>
                <c:pt idx="1022">
                  <c:v>237340</c:v>
                </c:pt>
                <c:pt idx="1023">
                  <c:v>633020</c:v>
                </c:pt>
                <c:pt idx="1024">
                  <c:v>919710</c:v>
                </c:pt>
                <c:pt idx="1025">
                  <c:v>405630</c:v>
                </c:pt>
                <c:pt idx="1026">
                  <c:v>634010</c:v>
                </c:pt>
                <c:pt idx="1027">
                  <c:v>267830</c:v>
                </c:pt>
                <c:pt idx="1028">
                  <c:v>1320000</c:v>
                </c:pt>
                <c:pt idx="1029">
                  <c:v>575380</c:v>
                </c:pt>
                <c:pt idx="1030">
                  <c:v>1130000</c:v>
                </c:pt>
                <c:pt idx="1031">
                  <c:v>572000</c:v>
                </c:pt>
                <c:pt idx="1032">
                  <c:v>474470</c:v>
                </c:pt>
                <c:pt idx="1033">
                  <c:v>579400</c:v>
                </c:pt>
                <c:pt idx="1034">
                  <c:v>658950</c:v>
                </c:pt>
                <c:pt idx="1035">
                  <c:v>1020000</c:v>
                </c:pt>
                <c:pt idx="1036">
                  <c:v>665950</c:v>
                </c:pt>
                <c:pt idx="1037">
                  <c:v>17700</c:v>
                </c:pt>
                <c:pt idx="1038">
                  <c:v>641250</c:v>
                </c:pt>
                <c:pt idx="1039">
                  <c:v>591290</c:v>
                </c:pt>
                <c:pt idx="1040">
                  <c:v>315400</c:v>
                </c:pt>
                <c:pt idx="1041">
                  <c:v>734240</c:v>
                </c:pt>
                <c:pt idx="1042">
                  <c:v>373340</c:v>
                </c:pt>
                <c:pt idx="1043">
                  <c:v>528040</c:v>
                </c:pt>
                <c:pt idx="1044">
                  <c:v>428320</c:v>
                </c:pt>
                <c:pt idx="1045">
                  <c:v>720950</c:v>
                </c:pt>
                <c:pt idx="1046">
                  <c:v>487750</c:v>
                </c:pt>
                <c:pt idx="1047">
                  <c:v>533170</c:v>
                </c:pt>
                <c:pt idx="1048">
                  <c:v>559400</c:v>
                </c:pt>
                <c:pt idx="1049">
                  <c:v>3050000</c:v>
                </c:pt>
                <c:pt idx="1050">
                  <c:v>838930</c:v>
                </c:pt>
                <c:pt idx="1051">
                  <c:v>1030000</c:v>
                </c:pt>
                <c:pt idx="1052">
                  <c:v>772160</c:v>
                </c:pt>
                <c:pt idx="1053">
                  <c:v>510950</c:v>
                </c:pt>
                <c:pt idx="1054">
                  <c:v>1310000</c:v>
                </c:pt>
                <c:pt idx="1055">
                  <c:v>532520</c:v>
                </c:pt>
                <c:pt idx="1056">
                  <c:v>485050</c:v>
                </c:pt>
                <c:pt idx="1057">
                  <c:v>392460</c:v>
                </c:pt>
                <c:pt idx="1058">
                  <c:v>932480</c:v>
                </c:pt>
                <c:pt idx="1059">
                  <c:v>537210</c:v>
                </c:pt>
                <c:pt idx="1060">
                  <c:v>2170000</c:v>
                </c:pt>
                <c:pt idx="1061">
                  <c:v>970660</c:v>
                </c:pt>
                <c:pt idx="1062">
                  <c:v>1020000</c:v>
                </c:pt>
                <c:pt idx="1063">
                  <c:v>1130000</c:v>
                </c:pt>
                <c:pt idx="1064">
                  <c:v>860130</c:v>
                </c:pt>
                <c:pt idx="1065">
                  <c:v>1470000</c:v>
                </c:pt>
                <c:pt idx="1066">
                  <c:v>1320000</c:v>
                </c:pt>
                <c:pt idx="1067">
                  <c:v>719000</c:v>
                </c:pt>
                <c:pt idx="1068">
                  <c:v>781220</c:v>
                </c:pt>
                <c:pt idx="1069">
                  <c:v>740620</c:v>
                </c:pt>
                <c:pt idx="1070">
                  <c:v>919640</c:v>
                </c:pt>
                <c:pt idx="1071">
                  <c:v>1260000</c:v>
                </c:pt>
                <c:pt idx="1072">
                  <c:v>364190</c:v>
                </c:pt>
                <c:pt idx="1073">
                  <c:v>465910</c:v>
                </c:pt>
                <c:pt idx="1074">
                  <c:v>663750</c:v>
                </c:pt>
                <c:pt idx="1075">
                  <c:v>908140</c:v>
                </c:pt>
                <c:pt idx="1076">
                  <c:v>562480</c:v>
                </c:pt>
                <c:pt idx="1077">
                  <c:v>716540</c:v>
                </c:pt>
                <c:pt idx="1078">
                  <c:v>505030</c:v>
                </c:pt>
                <c:pt idx="1079">
                  <c:v>613160</c:v>
                </c:pt>
                <c:pt idx="1080">
                  <c:v>980280</c:v>
                </c:pt>
                <c:pt idx="1081">
                  <c:v>471150</c:v>
                </c:pt>
                <c:pt idx="1082">
                  <c:v>1740000</c:v>
                </c:pt>
                <c:pt idx="1083">
                  <c:v>870040</c:v>
                </c:pt>
                <c:pt idx="1084">
                  <c:v>1080000</c:v>
                </c:pt>
                <c:pt idx="1085">
                  <c:v>845650</c:v>
                </c:pt>
                <c:pt idx="1086">
                  <c:v>287570</c:v>
                </c:pt>
                <c:pt idx="1087">
                  <c:v>23600</c:v>
                </c:pt>
                <c:pt idx="1088">
                  <c:v>500739.99999999994</c:v>
                </c:pt>
                <c:pt idx="1089">
                  <c:v>201190</c:v>
                </c:pt>
                <c:pt idx="1090">
                  <c:v>922930</c:v>
                </c:pt>
                <c:pt idx="1091">
                  <c:v>545730</c:v>
                </c:pt>
                <c:pt idx="1092">
                  <c:v>655640</c:v>
                </c:pt>
                <c:pt idx="1093">
                  <c:v>333510</c:v>
                </c:pt>
                <c:pt idx="1094">
                  <c:v>548870</c:v>
                </c:pt>
                <c:pt idx="1095">
                  <c:v>431390</c:v>
                </c:pt>
                <c:pt idx="1096">
                  <c:v>1140000</c:v>
                </c:pt>
                <c:pt idx="1097">
                  <c:v>1070000</c:v>
                </c:pt>
                <c:pt idx="1098">
                  <c:v>920930</c:v>
                </c:pt>
                <c:pt idx="1099">
                  <c:v>468060</c:v>
                </c:pt>
                <c:pt idx="1100">
                  <c:v>748920</c:v>
                </c:pt>
                <c:pt idx="1101">
                  <c:v>419420</c:v>
                </c:pt>
                <c:pt idx="1102">
                  <c:v>301650</c:v>
                </c:pt>
                <c:pt idx="1103">
                  <c:v>733970</c:v>
                </c:pt>
                <c:pt idx="1104">
                  <c:v>523150</c:v>
                </c:pt>
                <c:pt idx="1105">
                  <c:v>840780</c:v>
                </c:pt>
                <c:pt idx="1106">
                  <c:v>549130</c:v>
                </c:pt>
                <c:pt idx="1107">
                  <c:v>706640</c:v>
                </c:pt>
                <c:pt idx="1108">
                  <c:v>652620</c:v>
                </c:pt>
                <c:pt idx="1109">
                  <c:v>637360</c:v>
                </c:pt>
                <c:pt idx="1110">
                  <c:v>414680</c:v>
                </c:pt>
                <c:pt idx="1111">
                  <c:v>302470</c:v>
                </c:pt>
                <c:pt idx="1112">
                  <c:v>660140</c:v>
                </c:pt>
                <c:pt idx="1113">
                  <c:v>600780</c:v>
                </c:pt>
                <c:pt idx="1114">
                  <c:v>1090000</c:v>
                </c:pt>
                <c:pt idx="1115">
                  <c:v>939280</c:v>
                </c:pt>
                <c:pt idx="1116">
                  <c:v>1360000</c:v>
                </c:pt>
                <c:pt idx="1117">
                  <c:v>865320</c:v>
                </c:pt>
                <c:pt idx="1118">
                  <c:v>257359.99999999997</c:v>
                </c:pt>
                <c:pt idx="1119">
                  <c:v>313150</c:v>
                </c:pt>
                <c:pt idx="1120">
                  <c:v>258689.99999999997</c:v>
                </c:pt>
                <c:pt idx="1121">
                  <c:v>542470</c:v>
                </c:pt>
                <c:pt idx="1122">
                  <c:v>631370</c:v>
                </c:pt>
                <c:pt idx="1123">
                  <c:v>832010</c:v>
                </c:pt>
                <c:pt idx="1124">
                  <c:v>308710</c:v>
                </c:pt>
                <c:pt idx="1125">
                  <c:v>290820</c:v>
                </c:pt>
                <c:pt idx="1126">
                  <c:v>223490</c:v>
                </c:pt>
                <c:pt idx="1127">
                  <c:v>664540</c:v>
                </c:pt>
                <c:pt idx="1128">
                  <c:v>773060</c:v>
                </c:pt>
                <c:pt idx="1129">
                  <c:v>662970</c:v>
                </c:pt>
                <c:pt idx="1130">
                  <c:v>377890</c:v>
                </c:pt>
                <c:pt idx="1131">
                  <c:v>1130000</c:v>
                </c:pt>
                <c:pt idx="1132">
                  <c:v>400080</c:v>
                </c:pt>
                <c:pt idx="1133">
                  <c:v>413860</c:v>
                </c:pt>
                <c:pt idx="1134">
                  <c:v>625670</c:v>
                </c:pt>
                <c:pt idx="1135">
                  <c:v>338480</c:v>
                </c:pt>
                <c:pt idx="1136">
                  <c:v>683440</c:v>
                </c:pt>
                <c:pt idx="1137">
                  <c:v>567280</c:v>
                </c:pt>
                <c:pt idx="1138">
                  <c:v>654660</c:v>
                </c:pt>
                <c:pt idx="1139">
                  <c:v>2120000</c:v>
                </c:pt>
                <c:pt idx="1140">
                  <c:v>946320</c:v>
                </c:pt>
                <c:pt idx="1141">
                  <c:v>594240</c:v>
                </c:pt>
                <c:pt idx="1142">
                  <c:v>1090000</c:v>
                </c:pt>
                <c:pt idx="1143">
                  <c:v>979440</c:v>
                </c:pt>
                <c:pt idx="1144">
                  <c:v>1700000</c:v>
                </c:pt>
                <c:pt idx="1145">
                  <c:v>738630</c:v>
                </c:pt>
                <c:pt idx="1146">
                  <c:v>194850</c:v>
                </c:pt>
                <c:pt idx="1147">
                  <c:v>328800</c:v>
                </c:pt>
                <c:pt idx="1148">
                  <c:v>259100.00000000006</c:v>
                </c:pt>
                <c:pt idx="1149">
                  <c:v>280720</c:v>
                </c:pt>
                <c:pt idx="1150">
                  <c:v>523510.00000000006</c:v>
                </c:pt>
                <c:pt idx="1151">
                  <c:v>221440</c:v>
                </c:pt>
                <c:pt idx="1152">
                  <c:v>536370</c:v>
                </c:pt>
                <c:pt idx="1153">
                  <c:v>208410</c:v>
                </c:pt>
                <c:pt idx="1154">
                  <c:v>314430</c:v>
                </c:pt>
                <c:pt idx="1155">
                  <c:v>382110</c:v>
                </c:pt>
                <c:pt idx="1156">
                  <c:v>424480</c:v>
                </c:pt>
                <c:pt idx="1157">
                  <c:v>571340</c:v>
                </c:pt>
                <c:pt idx="1158">
                  <c:v>465200</c:v>
                </c:pt>
                <c:pt idx="1159">
                  <c:v>310780</c:v>
                </c:pt>
                <c:pt idx="1160">
                  <c:v>263400</c:v>
                </c:pt>
                <c:pt idx="1161">
                  <c:v>476840</c:v>
                </c:pt>
                <c:pt idx="1162">
                  <c:v>398340</c:v>
                </c:pt>
                <c:pt idx="1163">
                  <c:v>291110</c:v>
                </c:pt>
                <c:pt idx="1164">
                  <c:v>272440</c:v>
                </c:pt>
                <c:pt idx="1165">
                  <c:v>404100</c:v>
                </c:pt>
                <c:pt idx="1166">
                  <c:v>384210</c:v>
                </c:pt>
                <c:pt idx="1167">
                  <c:v>757320</c:v>
                </c:pt>
                <c:pt idx="1168">
                  <c:v>315870</c:v>
                </c:pt>
                <c:pt idx="1169">
                  <c:v>453830</c:v>
                </c:pt>
                <c:pt idx="1170">
                  <c:v>356440</c:v>
                </c:pt>
                <c:pt idx="1171">
                  <c:v>295360</c:v>
                </c:pt>
                <c:pt idx="1172">
                  <c:v>357210</c:v>
                </c:pt>
                <c:pt idx="1173">
                  <c:v>1330000</c:v>
                </c:pt>
                <c:pt idx="1174">
                  <c:v>899950</c:v>
                </c:pt>
                <c:pt idx="1175">
                  <c:v>481700</c:v>
                </c:pt>
                <c:pt idx="1176">
                  <c:v>665990</c:v>
                </c:pt>
                <c:pt idx="1177">
                  <c:v>790350</c:v>
                </c:pt>
                <c:pt idx="1178">
                  <c:v>1040000</c:v>
                </c:pt>
                <c:pt idx="1179">
                  <c:v>516970.00000000006</c:v>
                </c:pt>
                <c:pt idx="1180">
                  <c:v>449000</c:v>
                </c:pt>
                <c:pt idx="1181">
                  <c:v>1340000</c:v>
                </c:pt>
                <c:pt idx="1182">
                  <c:v>466000</c:v>
                </c:pt>
                <c:pt idx="1183">
                  <c:v>447520</c:v>
                </c:pt>
                <c:pt idx="1184">
                  <c:v>661110</c:v>
                </c:pt>
                <c:pt idx="1185">
                  <c:v>930720</c:v>
                </c:pt>
                <c:pt idx="1186">
                  <c:v>305740</c:v>
                </c:pt>
                <c:pt idx="1187">
                  <c:v>844930</c:v>
                </c:pt>
                <c:pt idx="1188">
                  <c:v>346430</c:v>
                </c:pt>
                <c:pt idx="1189">
                  <c:v>370220</c:v>
                </c:pt>
                <c:pt idx="1190">
                  <c:v>380470</c:v>
                </c:pt>
                <c:pt idx="1191">
                  <c:v>514240.00000000006</c:v>
                </c:pt>
                <c:pt idx="1192">
                  <c:v>778800</c:v>
                </c:pt>
                <c:pt idx="1193">
                  <c:v>745470</c:v>
                </c:pt>
                <c:pt idx="1194">
                  <c:v>528040</c:v>
                </c:pt>
                <c:pt idx="1195">
                  <c:v>655990</c:v>
                </c:pt>
                <c:pt idx="1196">
                  <c:v>288780</c:v>
                </c:pt>
                <c:pt idx="1197">
                  <c:v>446740</c:v>
                </c:pt>
                <c:pt idx="1198">
                  <c:v>989930</c:v>
                </c:pt>
                <c:pt idx="1199">
                  <c:v>1070000</c:v>
                </c:pt>
                <c:pt idx="1200">
                  <c:v>842330</c:v>
                </c:pt>
                <c:pt idx="1201">
                  <c:v>510070</c:v>
                </c:pt>
                <c:pt idx="1202">
                  <c:v>79730</c:v>
                </c:pt>
                <c:pt idx="1203">
                  <c:v>719170</c:v>
                </c:pt>
                <c:pt idx="1204">
                  <c:v>499980</c:v>
                </c:pt>
                <c:pt idx="1205">
                  <c:v>370360</c:v>
                </c:pt>
                <c:pt idx="1206">
                  <c:v>221550</c:v>
                </c:pt>
                <c:pt idx="1207">
                  <c:v>194770</c:v>
                </c:pt>
                <c:pt idx="1208">
                  <c:v>209240</c:v>
                </c:pt>
                <c:pt idx="1209">
                  <c:v>326020</c:v>
                </c:pt>
                <c:pt idx="1210">
                  <c:v>656930</c:v>
                </c:pt>
                <c:pt idx="1211">
                  <c:v>2870000</c:v>
                </c:pt>
                <c:pt idx="1212">
                  <c:v>494330</c:v>
                </c:pt>
                <c:pt idx="1213">
                  <c:v>452270</c:v>
                </c:pt>
                <c:pt idx="1214">
                  <c:v>593720</c:v>
                </c:pt>
                <c:pt idx="1215">
                  <c:v>339940</c:v>
                </c:pt>
                <c:pt idx="1216">
                  <c:v>945470</c:v>
                </c:pt>
                <c:pt idx="1217">
                  <c:v>564640</c:v>
                </c:pt>
                <c:pt idx="1218">
                  <c:v>189350</c:v>
                </c:pt>
                <c:pt idx="1219">
                  <c:v>954250</c:v>
                </c:pt>
                <c:pt idx="1220">
                  <c:v>407770</c:v>
                </c:pt>
                <c:pt idx="1221">
                  <c:v>250520.00000000003</c:v>
                </c:pt>
                <c:pt idx="1222">
                  <c:v>351450</c:v>
                </c:pt>
                <c:pt idx="1223">
                  <c:v>349540</c:v>
                </c:pt>
                <c:pt idx="1224">
                  <c:v>525960</c:v>
                </c:pt>
                <c:pt idx="1225">
                  <c:v>327810</c:v>
                </c:pt>
                <c:pt idx="1226">
                  <c:v>377040</c:v>
                </c:pt>
                <c:pt idx="1227">
                  <c:v>342300</c:v>
                </c:pt>
                <c:pt idx="1228">
                  <c:v>240740</c:v>
                </c:pt>
                <c:pt idx="1229">
                  <c:v>236850</c:v>
                </c:pt>
                <c:pt idx="1230">
                  <c:v>404370</c:v>
                </c:pt>
                <c:pt idx="1231">
                  <c:v>404180</c:v>
                </c:pt>
                <c:pt idx="1232">
                  <c:v>402230</c:v>
                </c:pt>
                <c:pt idx="1233">
                  <c:v>331580</c:v>
                </c:pt>
                <c:pt idx="1234">
                  <c:v>500290</c:v>
                </c:pt>
                <c:pt idx="1235">
                  <c:v>386090</c:v>
                </c:pt>
                <c:pt idx="1236">
                  <c:v>371320</c:v>
                </c:pt>
                <c:pt idx="1237">
                  <c:v>227610</c:v>
                </c:pt>
                <c:pt idx="1238">
                  <c:v>328170</c:v>
                </c:pt>
                <c:pt idx="1239">
                  <c:v>408990</c:v>
                </c:pt>
                <c:pt idx="1240">
                  <c:v>242800</c:v>
                </c:pt>
                <c:pt idx="1241">
                  <c:v>313950</c:v>
                </c:pt>
                <c:pt idx="1242">
                  <c:v>290230</c:v>
                </c:pt>
                <c:pt idx="1243">
                  <c:v>2860000</c:v>
                </c:pt>
                <c:pt idx="1244">
                  <c:v>836690</c:v>
                </c:pt>
                <c:pt idx="1245">
                  <c:v>419050</c:v>
                </c:pt>
                <c:pt idx="1246">
                  <c:v>439720</c:v>
                </c:pt>
                <c:pt idx="1247">
                  <c:v>343160</c:v>
                </c:pt>
                <c:pt idx="1248">
                  <c:v>239410</c:v>
                </c:pt>
                <c:pt idx="1249">
                  <c:v>316800</c:v>
                </c:pt>
                <c:pt idx="1250">
                  <c:v>213090</c:v>
                </c:pt>
                <c:pt idx="1251">
                  <c:v>448430</c:v>
                </c:pt>
                <c:pt idx="1252">
                  <c:v>497260</c:v>
                </c:pt>
                <c:pt idx="1253">
                  <c:v>435320</c:v>
                </c:pt>
                <c:pt idx="1254">
                  <c:v>197560</c:v>
                </c:pt>
                <c:pt idx="1255">
                  <c:v>255320</c:v>
                </c:pt>
                <c:pt idx="1256">
                  <c:v>416550</c:v>
                </c:pt>
                <c:pt idx="1257">
                  <c:v>494730</c:v>
                </c:pt>
                <c:pt idx="1258">
                  <c:v>442190</c:v>
                </c:pt>
                <c:pt idx="1259">
                  <c:v>730640</c:v>
                </c:pt>
                <c:pt idx="1260">
                  <c:v>418600</c:v>
                </c:pt>
                <c:pt idx="1261">
                  <c:v>603950</c:v>
                </c:pt>
                <c:pt idx="1262">
                  <c:v>357310</c:v>
                </c:pt>
                <c:pt idx="1263">
                  <c:v>480830</c:v>
                </c:pt>
                <c:pt idx="1264">
                  <c:v>394120</c:v>
                </c:pt>
                <c:pt idx="1265">
                  <c:v>609530</c:v>
                </c:pt>
                <c:pt idx="1266">
                  <c:v>1330000</c:v>
                </c:pt>
                <c:pt idx="1267">
                  <c:v>591630</c:v>
                </c:pt>
                <c:pt idx="1268">
                  <c:v>442230</c:v>
                </c:pt>
                <c:pt idx="1269">
                  <c:v>361000</c:v>
                </c:pt>
                <c:pt idx="1270">
                  <c:v>604380</c:v>
                </c:pt>
                <c:pt idx="1271">
                  <c:v>631820</c:v>
                </c:pt>
                <c:pt idx="1272">
                  <c:v>2270000</c:v>
                </c:pt>
                <c:pt idx="1273">
                  <c:v>813860</c:v>
                </c:pt>
                <c:pt idx="1274">
                  <c:v>571530</c:v>
                </c:pt>
                <c:pt idx="1275">
                  <c:v>476470</c:v>
                </c:pt>
                <c:pt idx="1276">
                  <c:v>232210</c:v>
                </c:pt>
                <c:pt idx="1277">
                  <c:v>254029.99999999997</c:v>
                </c:pt>
                <c:pt idx="1278">
                  <c:v>275720</c:v>
                </c:pt>
                <c:pt idx="1279">
                  <c:v>277280</c:v>
                </c:pt>
                <c:pt idx="1280">
                  <c:v>324030</c:v>
                </c:pt>
                <c:pt idx="1281">
                  <c:v>410180</c:v>
                </c:pt>
                <c:pt idx="1282">
                  <c:v>402920</c:v>
                </c:pt>
                <c:pt idx="1283">
                  <c:v>561800</c:v>
                </c:pt>
                <c:pt idx="1284">
                  <c:v>1080000</c:v>
                </c:pt>
                <c:pt idx="1285">
                  <c:v>503560</c:v>
                </c:pt>
                <c:pt idx="1286">
                  <c:v>638280</c:v>
                </c:pt>
                <c:pt idx="1287">
                  <c:v>551830</c:v>
                </c:pt>
                <c:pt idx="1288">
                  <c:v>648310</c:v>
                </c:pt>
                <c:pt idx="1289">
                  <c:v>590550</c:v>
                </c:pt>
                <c:pt idx="1290">
                  <c:v>316750</c:v>
                </c:pt>
                <c:pt idx="1291">
                  <c:v>228130</c:v>
                </c:pt>
                <c:pt idx="1292">
                  <c:v>235020</c:v>
                </c:pt>
                <c:pt idx="1293">
                  <c:v>265870</c:v>
                </c:pt>
                <c:pt idx="1294">
                  <c:v>287730</c:v>
                </c:pt>
                <c:pt idx="1295">
                  <c:v>328250</c:v>
                </c:pt>
                <c:pt idx="1296">
                  <c:v>417980</c:v>
                </c:pt>
                <c:pt idx="1297">
                  <c:v>491660</c:v>
                </c:pt>
                <c:pt idx="1298">
                  <c:v>414690</c:v>
                </c:pt>
                <c:pt idx="1299">
                  <c:v>316610</c:v>
                </c:pt>
                <c:pt idx="1300">
                  <c:v>324010</c:v>
                </c:pt>
                <c:pt idx="1301">
                  <c:v>384680</c:v>
                </c:pt>
                <c:pt idx="1302">
                  <c:v>603150</c:v>
                </c:pt>
                <c:pt idx="1303">
                  <c:v>286610</c:v>
                </c:pt>
                <c:pt idx="1304">
                  <c:v>562010</c:v>
                </c:pt>
                <c:pt idx="1305">
                  <c:v>365910</c:v>
                </c:pt>
                <c:pt idx="1306">
                  <c:v>224290</c:v>
                </c:pt>
                <c:pt idx="1307">
                  <c:v>261890</c:v>
                </c:pt>
                <c:pt idx="1308">
                  <c:v>519169.99999999988</c:v>
                </c:pt>
                <c:pt idx="1309">
                  <c:v>355200</c:v>
                </c:pt>
                <c:pt idx="1310">
                  <c:v>472300</c:v>
                </c:pt>
                <c:pt idx="1311">
                  <c:v>500530.00000000006</c:v>
                </c:pt>
                <c:pt idx="1312">
                  <c:v>542320</c:v>
                </c:pt>
                <c:pt idx="1313">
                  <c:v>734280</c:v>
                </c:pt>
                <c:pt idx="1314">
                  <c:v>564360</c:v>
                </c:pt>
                <c:pt idx="1315">
                  <c:v>551550</c:v>
                </c:pt>
                <c:pt idx="1316">
                  <c:v>459540</c:v>
                </c:pt>
                <c:pt idx="1317">
                  <c:v>582610</c:v>
                </c:pt>
                <c:pt idx="1318">
                  <c:v>503660</c:v>
                </c:pt>
                <c:pt idx="1319">
                  <c:v>457510</c:v>
                </c:pt>
                <c:pt idx="1320">
                  <c:v>403570</c:v>
                </c:pt>
                <c:pt idx="1321">
                  <c:v>309550</c:v>
                </c:pt>
                <c:pt idx="1322">
                  <c:v>509789.99999999994</c:v>
                </c:pt>
                <c:pt idx="1323">
                  <c:v>695560</c:v>
                </c:pt>
                <c:pt idx="1324">
                  <c:v>320470</c:v>
                </c:pt>
                <c:pt idx="1325">
                  <c:v>514700.00000000006</c:v>
                </c:pt>
                <c:pt idx="1326">
                  <c:v>349960</c:v>
                </c:pt>
                <c:pt idx="1327">
                  <c:v>609860</c:v>
                </c:pt>
                <c:pt idx="1328">
                  <c:v>412060</c:v>
                </c:pt>
                <c:pt idx="1329">
                  <c:v>327630</c:v>
                </c:pt>
                <c:pt idx="1330">
                  <c:v>416280</c:v>
                </c:pt>
                <c:pt idx="1331">
                  <c:v>315870</c:v>
                </c:pt>
                <c:pt idx="1332">
                  <c:v>1930000</c:v>
                </c:pt>
                <c:pt idx="1333">
                  <c:v>638330</c:v>
                </c:pt>
                <c:pt idx="1334">
                  <c:v>654070</c:v>
                </c:pt>
                <c:pt idx="1335">
                  <c:v>402780</c:v>
                </c:pt>
                <c:pt idx="1336">
                  <c:v>300890</c:v>
                </c:pt>
                <c:pt idx="1337">
                  <c:v>461740</c:v>
                </c:pt>
                <c:pt idx="1338">
                  <c:v>282290</c:v>
                </c:pt>
                <c:pt idx="1339">
                  <c:v>337100</c:v>
                </c:pt>
                <c:pt idx="1340">
                  <c:v>452770</c:v>
                </c:pt>
                <c:pt idx="1341">
                  <c:v>380070</c:v>
                </c:pt>
                <c:pt idx="1342">
                  <c:v>704800</c:v>
                </c:pt>
                <c:pt idx="1343">
                  <c:v>915800</c:v>
                </c:pt>
                <c:pt idx="1344">
                  <c:v>475700</c:v>
                </c:pt>
                <c:pt idx="1345">
                  <c:v>479570</c:v>
                </c:pt>
                <c:pt idx="1346">
                  <c:v>321910</c:v>
                </c:pt>
                <c:pt idx="1347">
                  <c:v>459910</c:v>
                </c:pt>
                <c:pt idx="1348">
                  <c:v>538090</c:v>
                </c:pt>
                <c:pt idx="1349">
                  <c:v>270950</c:v>
                </c:pt>
                <c:pt idx="1350">
                  <c:v>330660</c:v>
                </c:pt>
                <c:pt idx="1351">
                  <c:v>366790</c:v>
                </c:pt>
                <c:pt idx="1352">
                  <c:v>337220</c:v>
                </c:pt>
                <c:pt idx="1353">
                  <c:v>414670</c:v>
                </c:pt>
                <c:pt idx="1354">
                  <c:v>294930</c:v>
                </c:pt>
                <c:pt idx="1355">
                  <c:v>710730</c:v>
                </c:pt>
                <c:pt idx="1356">
                  <c:v>774670</c:v>
                </c:pt>
                <c:pt idx="1357">
                  <c:v>923400</c:v>
                </c:pt>
                <c:pt idx="1358">
                  <c:v>776880</c:v>
                </c:pt>
                <c:pt idx="1359">
                  <c:v>247520</c:v>
                </c:pt>
                <c:pt idx="1360">
                  <c:v>579370</c:v>
                </c:pt>
                <c:pt idx="1361">
                  <c:v>449220</c:v>
                </c:pt>
                <c:pt idx="1362">
                  <c:v>788150</c:v>
                </c:pt>
                <c:pt idx="1363">
                  <c:v>413720</c:v>
                </c:pt>
                <c:pt idx="1364">
                  <c:v>340050</c:v>
                </c:pt>
                <c:pt idx="1365">
                  <c:v>534030</c:v>
                </c:pt>
                <c:pt idx="1366">
                  <c:v>299930</c:v>
                </c:pt>
                <c:pt idx="1367">
                  <c:v>335540</c:v>
                </c:pt>
                <c:pt idx="1368">
                  <c:v>185010</c:v>
                </c:pt>
                <c:pt idx="1369">
                  <c:v>227080</c:v>
                </c:pt>
                <c:pt idx="1370">
                  <c:v>180630</c:v>
                </c:pt>
                <c:pt idx="1371">
                  <c:v>177980</c:v>
                </c:pt>
                <c:pt idx="1372">
                  <c:v>189070</c:v>
                </c:pt>
                <c:pt idx="1373">
                  <c:v>522929.99999999988</c:v>
                </c:pt>
                <c:pt idx="1374">
                  <c:v>503680</c:v>
                </c:pt>
                <c:pt idx="1375">
                  <c:v>715070</c:v>
                </c:pt>
                <c:pt idx="1376">
                  <c:v>226540</c:v>
                </c:pt>
                <c:pt idx="1377">
                  <c:v>391600</c:v>
                </c:pt>
                <c:pt idx="1378">
                  <c:v>254830</c:v>
                </c:pt>
                <c:pt idx="1379">
                  <c:v>190720</c:v>
                </c:pt>
                <c:pt idx="1380">
                  <c:v>517940.00000000006</c:v>
                </c:pt>
                <c:pt idx="1381">
                  <c:v>344240</c:v>
                </c:pt>
                <c:pt idx="1382">
                  <c:v>284450</c:v>
                </c:pt>
                <c:pt idx="1383">
                  <c:v>292880</c:v>
                </c:pt>
                <c:pt idx="1384">
                  <c:v>322290</c:v>
                </c:pt>
                <c:pt idx="1385">
                  <c:v>217260</c:v>
                </c:pt>
                <c:pt idx="1386">
                  <c:v>266220</c:v>
                </c:pt>
                <c:pt idx="1387">
                  <c:v>307020</c:v>
                </c:pt>
                <c:pt idx="1388">
                  <c:v>1410000</c:v>
                </c:pt>
                <c:pt idx="1389">
                  <c:v>505410</c:v>
                </c:pt>
                <c:pt idx="1390">
                  <c:v>458310</c:v>
                </c:pt>
                <c:pt idx="1391">
                  <c:v>202540</c:v>
                </c:pt>
                <c:pt idx="1392">
                  <c:v>266900</c:v>
                </c:pt>
                <c:pt idx="1393">
                  <c:v>373870</c:v>
                </c:pt>
                <c:pt idx="1394">
                  <c:v>475810</c:v>
                </c:pt>
                <c:pt idx="1395">
                  <c:v>429570</c:v>
                </c:pt>
                <c:pt idx="1396">
                  <c:v>427560</c:v>
                </c:pt>
                <c:pt idx="1397">
                  <c:v>415010</c:v>
                </c:pt>
                <c:pt idx="1398">
                  <c:v>1290000</c:v>
                </c:pt>
                <c:pt idx="1399">
                  <c:v>843620</c:v>
                </c:pt>
                <c:pt idx="1400">
                  <c:v>510630</c:v>
                </c:pt>
                <c:pt idx="1401">
                  <c:v>499090</c:v>
                </c:pt>
                <c:pt idx="1402">
                  <c:v>273420</c:v>
                </c:pt>
                <c:pt idx="1403">
                  <c:v>822940</c:v>
                </c:pt>
                <c:pt idx="1404">
                  <c:v>1470000</c:v>
                </c:pt>
                <c:pt idx="1405">
                  <c:v>719050</c:v>
                </c:pt>
                <c:pt idx="1406">
                  <c:v>496300</c:v>
                </c:pt>
                <c:pt idx="1407">
                  <c:v>698180</c:v>
                </c:pt>
                <c:pt idx="1408">
                  <c:v>701160</c:v>
                </c:pt>
                <c:pt idx="1409">
                  <c:v>536110</c:v>
                </c:pt>
                <c:pt idx="1410">
                  <c:v>1180000</c:v>
                </c:pt>
                <c:pt idx="1411">
                  <c:v>610720</c:v>
                </c:pt>
                <c:pt idx="1412">
                  <c:v>968120</c:v>
                </c:pt>
                <c:pt idx="1413">
                  <c:v>983280</c:v>
                </c:pt>
                <c:pt idx="1414">
                  <c:v>740610</c:v>
                </c:pt>
                <c:pt idx="1415">
                  <c:v>719580</c:v>
                </c:pt>
                <c:pt idx="1416">
                  <c:v>731800</c:v>
                </c:pt>
                <c:pt idx="1417">
                  <c:v>380690</c:v>
                </c:pt>
                <c:pt idx="1418">
                  <c:v>579280</c:v>
                </c:pt>
                <c:pt idx="1419">
                  <c:v>310530</c:v>
                </c:pt>
                <c:pt idx="1420">
                  <c:v>224360</c:v>
                </c:pt>
                <c:pt idx="1421">
                  <c:v>550550</c:v>
                </c:pt>
                <c:pt idx="1422">
                  <c:v>332790</c:v>
                </c:pt>
                <c:pt idx="1423">
                  <c:v>679060</c:v>
                </c:pt>
                <c:pt idx="1424">
                  <c:v>323000</c:v>
                </c:pt>
                <c:pt idx="1425">
                  <c:v>375860</c:v>
                </c:pt>
                <c:pt idx="1426">
                  <c:v>679360</c:v>
                </c:pt>
                <c:pt idx="1427">
                  <c:v>612980</c:v>
                </c:pt>
                <c:pt idx="1428">
                  <c:v>363930</c:v>
                </c:pt>
                <c:pt idx="1429">
                  <c:v>313730</c:v>
                </c:pt>
                <c:pt idx="1430">
                  <c:v>669740</c:v>
                </c:pt>
                <c:pt idx="1431">
                  <c:v>218200</c:v>
                </c:pt>
                <c:pt idx="1432">
                  <c:v>286590</c:v>
                </c:pt>
                <c:pt idx="1433">
                  <c:v>476290</c:v>
                </c:pt>
                <c:pt idx="1434">
                  <c:v>405890</c:v>
                </c:pt>
                <c:pt idx="1435">
                  <c:v>282880</c:v>
                </c:pt>
                <c:pt idx="1436">
                  <c:v>342990</c:v>
                </c:pt>
                <c:pt idx="1437">
                  <c:v>309420</c:v>
                </c:pt>
                <c:pt idx="1438">
                  <c:v>237370</c:v>
                </c:pt>
                <c:pt idx="1439">
                  <c:v>319050</c:v>
                </c:pt>
                <c:pt idx="1440">
                  <c:v>402010</c:v>
                </c:pt>
                <c:pt idx="1441">
                  <c:v>326180</c:v>
                </c:pt>
                <c:pt idx="1442">
                  <c:v>14380</c:v>
                </c:pt>
                <c:pt idx="1443">
                  <c:v>419750</c:v>
                </c:pt>
                <c:pt idx="1444">
                  <c:v>243740</c:v>
                </c:pt>
                <c:pt idx="1445">
                  <c:v>228140</c:v>
                </c:pt>
                <c:pt idx="1446">
                  <c:v>485230</c:v>
                </c:pt>
                <c:pt idx="1447">
                  <c:v>343500</c:v>
                </c:pt>
                <c:pt idx="1448">
                  <c:v>412180</c:v>
                </c:pt>
                <c:pt idx="1449">
                  <c:v>670790</c:v>
                </c:pt>
                <c:pt idx="1450">
                  <c:v>334960</c:v>
                </c:pt>
                <c:pt idx="1451">
                  <c:v>494330</c:v>
                </c:pt>
                <c:pt idx="1452">
                  <c:v>435650</c:v>
                </c:pt>
                <c:pt idx="1453">
                  <c:v>465150</c:v>
                </c:pt>
                <c:pt idx="1454">
                  <c:v>514370</c:v>
                </c:pt>
                <c:pt idx="1455">
                  <c:v>409680</c:v>
                </c:pt>
                <c:pt idx="1456">
                  <c:v>300610</c:v>
                </c:pt>
                <c:pt idx="1457">
                  <c:v>842030</c:v>
                </c:pt>
                <c:pt idx="1458">
                  <c:v>739160</c:v>
                </c:pt>
                <c:pt idx="1459">
                  <c:v>789640</c:v>
                </c:pt>
                <c:pt idx="1460">
                  <c:v>517130</c:v>
                </c:pt>
                <c:pt idx="1461">
                  <c:v>416170</c:v>
                </c:pt>
                <c:pt idx="1462">
                  <c:v>857230</c:v>
                </c:pt>
                <c:pt idx="1463">
                  <c:v>654160</c:v>
                </c:pt>
                <c:pt idx="1464">
                  <c:v>1230000</c:v>
                </c:pt>
                <c:pt idx="1465">
                  <c:v>521989.99999999994</c:v>
                </c:pt>
                <c:pt idx="1466">
                  <c:v>313550</c:v>
                </c:pt>
                <c:pt idx="1467">
                  <c:v>480100</c:v>
                </c:pt>
                <c:pt idx="1468">
                  <c:v>449710</c:v>
                </c:pt>
                <c:pt idx="1469">
                  <c:v>974710</c:v>
                </c:pt>
                <c:pt idx="1470">
                  <c:v>448170</c:v>
                </c:pt>
                <c:pt idx="1471">
                  <c:v>333670</c:v>
                </c:pt>
                <c:pt idx="1472">
                  <c:v>364670</c:v>
                </c:pt>
                <c:pt idx="1473">
                  <c:v>501040.00000000006</c:v>
                </c:pt>
                <c:pt idx="1474">
                  <c:v>273510</c:v>
                </c:pt>
                <c:pt idx="1475">
                  <c:v>436440</c:v>
                </c:pt>
                <c:pt idx="1476">
                  <c:v>626510</c:v>
                </c:pt>
                <c:pt idx="1477">
                  <c:v>502050</c:v>
                </c:pt>
                <c:pt idx="1478">
                  <c:v>324680</c:v>
                </c:pt>
                <c:pt idx="1479">
                  <c:v>391820</c:v>
                </c:pt>
                <c:pt idx="1480">
                  <c:v>505909.99999999994</c:v>
                </c:pt>
                <c:pt idx="1481">
                  <c:v>594260</c:v>
                </c:pt>
                <c:pt idx="1482">
                  <c:v>327760</c:v>
                </c:pt>
                <c:pt idx="1483">
                  <c:v>423440</c:v>
                </c:pt>
                <c:pt idx="1484">
                  <c:v>233970</c:v>
                </c:pt>
                <c:pt idx="1485">
                  <c:v>249190</c:v>
                </c:pt>
                <c:pt idx="1486">
                  <c:v>205300</c:v>
                </c:pt>
                <c:pt idx="1487">
                  <c:v>157710</c:v>
                </c:pt>
                <c:pt idx="1488">
                  <c:v>282570</c:v>
                </c:pt>
                <c:pt idx="1489">
                  <c:v>1980000</c:v>
                </c:pt>
                <c:pt idx="1490">
                  <c:v>357380</c:v>
                </c:pt>
                <c:pt idx="1491">
                  <c:v>155330</c:v>
                </c:pt>
                <c:pt idx="1492">
                  <c:v>227470</c:v>
                </c:pt>
                <c:pt idx="1493">
                  <c:v>426800</c:v>
                </c:pt>
                <c:pt idx="1494">
                  <c:v>396100</c:v>
                </c:pt>
                <c:pt idx="1495">
                  <c:v>380760</c:v>
                </c:pt>
                <c:pt idx="1496">
                  <c:v>459730</c:v>
                </c:pt>
                <c:pt idx="1497">
                  <c:v>474630</c:v>
                </c:pt>
                <c:pt idx="1498">
                  <c:v>315580</c:v>
                </c:pt>
                <c:pt idx="1499">
                  <c:v>262640</c:v>
                </c:pt>
                <c:pt idx="1500">
                  <c:v>426080</c:v>
                </c:pt>
                <c:pt idx="1501">
                  <c:v>441020</c:v>
                </c:pt>
                <c:pt idx="1502">
                  <c:v>211680</c:v>
                </c:pt>
                <c:pt idx="1503">
                  <c:v>302200</c:v>
                </c:pt>
                <c:pt idx="1504">
                  <c:v>480750</c:v>
                </c:pt>
                <c:pt idx="1505">
                  <c:v>366500</c:v>
                </c:pt>
                <c:pt idx="1506">
                  <c:v>366000</c:v>
                </c:pt>
                <c:pt idx="1507">
                  <c:v>498370</c:v>
                </c:pt>
                <c:pt idx="1508">
                  <c:v>856380</c:v>
                </c:pt>
                <c:pt idx="1509">
                  <c:v>632900</c:v>
                </c:pt>
                <c:pt idx="1510">
                  <c:v>454540</c:v>
                </c:pt>
                <c:pt idx="1511">
                  <c:v>297690</c:v>
                </c:pt>
                <c:pt idx="1512">
                  <c:v>490850</c:v>
                </c:pt>
                <c:pt idx="1513">
                  <c:v>689970</c:v>
                </c:pt>
                <c:pt idx="1514">
                  <c:v>260279.99999999994</c:v>
                </c:pt>
                <c:pt idx="1515">
                  <c:v>254210</c:v>
                </c:pt>
                <c:pt idx="1516">
                  <c:v>251800.00000000003</c:v>
                </c:pt>
                <c:pt idx="1517">
                  <c:v>314220</c:v>
                </c:pt>
                <c:pt idx="1518">
                  <c:v>467660</c:v>
                </c:pt>
                <c:pt idx="1519">
                  <c:v>2290000</c:v>
                </c:pt>
                <c:pt idx="1520">
                  <c:v>1110000</c:v>
                </c:pt>
                <c:pt idx="1521">
                  <c:v>967940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2E-442E-87F5-FD765D311D91}"/>
            </c:ext>
          </c:extLst>
        </c:ser>
        <c:ser>
          <c:idx val="1"/>
          <c:order val="1"/>
          <c:tx>
            <c:strRef>
              <c:f>data!$U$1</c:f>
              <c:strCache>
                <c:ptCount val="1"/>
                <c:pt idx="0">
                  <c:v>Date</c:v>
                </c:pt>
              </c:strCache>
            </c:strRef>
          </c:tx>
          <c:marker>
            <c:symbol val="none"/>
          </c:marker>
          <c:val>
            <c:numRef>
              <c:f>data!$U$2:$U$1523</c:f>
              <c:numCache>
                <c:formatCode>m/d/yyyy</c:formatCode>
                <c:ptCount val="1522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43836</c:v>
                </c:pt>
                <c:pt idx="4">
                  <c:v>43837</c:v>
                </c:pt>
                <c:pt idx="5">
                  <c:v>43838</c:v>
                </c:pt>
                <c:pt idx="6">
                  <c:v>43839</c:v>
                </c:pt>
                <c:pt idx="7">
                  <c:v>43840</c:v>
                </c:pt>
                <c:pt idx="8">
                  <c:v>43843</c:v>
                </c:pt>
                <c:pt idx="9">
                  <c:v>43844</c:v>
                </c:pt>
                <c:pt idx="10">
                  <c:v>43845</c:v>
                </c:pt>
                <c:pt idx="11">
                  <c:v>43846</c:v>
                </c:pt>
                <c:pt idx="12">
                  <c:v>43847</c:v>
                </c:pt>
                <c:pt idx="13">
                  <c:v>43850</c:v>
                </c:pt>
                <c:pt idx="14">
                  <c:v>43851</c:v>
                </c:pt>
                <c:pt idx="15">
                  <c:v>43852</c:v>
                </c:pt>
                <c:pt idx="16">
                  <c:v>43853</c:v>
                </c:pt>
                <c:pt idx="17">
                  <c:v>43854</c:v>
                </c:pt>
                <c:pt idx="18">
                  <c:v>43857</c:v>
                </c:pt>
                <c:pt idx="19">
                  <c:v>43858</c:v>
                </c:pt>
                <c:pt idx="20">
                  <c:v>43859</c:v>
                </c:pt>
                <c:pt idx="21">
                  <c:v>43860</c:v>
                </c:pt>
                <c:pt idx="22">
                  <c:v>43861</c:v>
                </c:pt>
                <c:pt idx="23">
                  <c:v>43862</c:v>
                </c:pt>
                <c:pt idx="24">
                  <c:v>43864</c:v>
                </c:pt>
                <c:pt idx="25">
                  <c:v>43865</c:v>
                </c:pt>
                <c:pt idx="26">
                  <c:v>43866</c:v>
                </c:pt>
                <c:pt idx="27">
                  <c:v>43867</c:v>
                </c:pt>
                <c:pt idx="28">
                  <c:v>43868</c:v>
                </c:pt>
                <c:pt idx="29">
                  <c:v>43871</c:v>
                </c:pt>
                <c:pt idx="30">
                  <c:v>43872</c:v>
                </c:pt>
                <c:pt idx="31">
                  <c:v>43873</c:v>
                </c:pt>
                <c:pt idx="32">
                  <c:v>43874</c:v>
                </c:pt>
                <c:pt idx="33">
                  <c:v>43875</c:v>
                </c:pt>
                <c:pt idx="34">
                  <c:v>43878</c:v>
                </c:pt>
                <c:pt idx="35">
                  <c:v>43879</c:v>
                </c:pt>
                <c:pt idx="36">
                  <c:v>43880</c:v>
                </c:pt>
                <c:pt idx="37">
                  <c:v>43881</c:v>
                </c:pt>
                <c:pt idx="38">
                  <c:v>43885</c:v>
                </c:pt>
                <c:pt idx="39">
                  <c:v>43886</c:v>
                </c:pt>
                <c:pt idx="40">
                  <c:v>43887</c:v>
                </c:pt>
                <c:pt idx="41">
                  <c:v>43888</c:v>
                </c:pt>
                <c:pt idx="42">
                  <c:v>43889</c:v>
                </c:pt>
                <c:pt idx="43">
                  <c:v>43892</c:v>
                </c:pt>
                <c:pt idx="44">
                  <c:v>43893</c:v>
                </c:pt>
                <c:pt idx="45">
                  <c:v>43894</c:v>
                </c:pt>
                <c:pt idx="46">
                  <c:v>43895</c:v>
                </c:pt>
                <c:pt idx="47">
                  <c:v>43896</c:v>
                </c:pt>
                <c:pt idx="48">
                  <c:v>43899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43906</c:v>
                </c:pt>
                <c:pt idx="53">
                  <c:v>43907</c:v>
                </c:pt>
                <c:pt idx="54">
                  <c:v>43908</c:v>
                </c:pt>
                <c:pt idx="55">
                  <c:v>43909</c:v>
                </c:pt>
                <c:pt idx="56">
                  <c:v>43910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43920</c:v>
                </c:pt>
                <c:pt idx="63">
                  <c:v>43921</c:v>
                </c:pt>
                <c:pt idx="64">
                  <c:v>43922</c:v>
                </c:pt>
                <c:pt idx="65">
                  <c:v>43924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43936</c:v>
                </c:pt>
                <c:pt idx="71">
                  <c:v>43937</c:v>
                </c:pt>
                <c:pt idx="72">
                  <c:v>43938</c:v>
                </c:pt>
                <c:pt idx="73">
                  <c:v>43941</c:v>
                </c:pt>
                <c:pt idx="74">
                  <c:v>43942</c:v>
                </c:pt>
                <c:pt idx="75">
                  <c:v>43943</c:v>
                </c:pt>
                <c:pt idx="76">
                  <c:v>43944</c:v>
                </c:pt>
                <c:pt idx="77">
                  <c:v>43945</c:v>
                </c:pt>
                <c:pt idx="78">
                  <c:v>43948</c:v>
                </c:pt>
                <c:pt idx="79">
                  <c:v>43949</c:v>
                </c:pt>
                <c:pt idx="80">
                  <c:v>43950</c:v>
                </c:pt>
                <c:pt idx="81">
                  <c:v>43951</c:v>
                </c:pt>
                <c:pt idx="82">
                  <c:v>43955</c:v>
                </c:pt>
                <c:pt idx="83">
                  <c:v>43956</c:v>
                </c:pt>
                <c:pt idx="84">
                  <c:v>43957</c:v>
                </c:pt>
                <c:pt idx="85">
                  <c:v>43958</c:v>
                </c:pt>
                <c:pt idx="86">
                  <c:v>43959</c:v>
                </c:pt>
                <c:pt idx="87">
                  <c:v>43962</c:v>
                </c:pt>
                <c:pt idx="88">
                  <c:v>43963</c:v>
                </c:pt>
                <c:pt idx="89">
                  <c:v>43964</c:v>
                </c:pt>
                <c:pt idx="90">
                  <c:v>43965</c:v>
                </c:pt>
                <c:pt idx="91">
                  <c:v>43966</c:v>
                </c:pt>
                <c:pt idx="92">
                  <c:v>43969</c:v>
                </c:pt>
                <c:pt idx="93">
                  <c:v>43970</c:v>
                </c:pt>
                <c:pt idx="94">
                  <c:v>43971</c:v>
                </c:pt>
                <c:pt idx="95">
                  <c:v>43972</c:v>
                </c:pt>
                <c:pt idx="96">
                  <c:v>43973</c:v>
                </c:pt>
                <c:pt idx="97">
                  <c:v>43977</c:v>
                </c:pt>
                <c:pt idx="98">
                  <c:v>43978</c:v>
                </c:pt>
                <c:pt idx="99">
                  <c:v>43979</c:v>
                </c:pt>
                <c:pt idx="100">
                  <c:v>43980</c:v>
                </c:pt>
                <c:pt idx="101">
                  <c:v>43983</c:v>
                </c:pt>
                <c:pt idx="102">
                  <c:v>43984</c:v>
                </c:pt>
                <c:pt idx="103">
                  <c:v>43985</c:v>
                </c:pt>
                <c:pt idx="104">
                  <c:v>43986</c:v>
                </c:pt>
                <c:pt idx="105">
                  <c:v>43987</c:v>
                </c:pt>
                <c:pt idx="106">
                  <c:v>43990</c:v>
                </c:pt>
                <c:pt idx="107">
                  <c:v>43991</c:v>
                </c:pt>
                <c:pt idx="108">
                  <c:v>43992</c:v>
                </c:pt>
                <c:pt idx="109">
                  <c:v>43993</c:v>
                </c:pt>
                <c:pt idx="110">
                  <c:v>43994</c:v>
                </c:pt>
                <c:pt idx="111">
                  <c:v>43997</c:v>
                </c:pt>
                <c:pt idx="112">
                  <c:v>43998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44004</c:v>
                </c:pt>
                <c:pt idx="117">
                  <c:v>44005</c:v>
                </c:pt>
                <c:pt idx="118">
                  <c:v>44006</c:v>
                </c:pt>
                <c:pt idx="119">
                  <c:v>44007</c:v>
                </c:pt>
                <c:pt idx="120">
                  <c:v>44008</c:v>
                </c:pt>
                <c:pt idx="121">
                  <c:v>44011</c:v>
                </c:pt>
                <c:pt idx="122">
                  <c:v>44012</c:v>
                </c:pt>
                <c:pt idx="123">
                  <c:v>44013</c:v>
                </c:pt>
                <c:pt idx="124">
                  <c:v>44014</c:v>
                </c:pt>
                <c:pt idx="125">
                  <c:v>44015</c:v>
                </c:pt>
                <c:pt idx="126">
                  <c:v>44018</c:v>
                </c:pt>
                <c:pt idx="127">
                  <c:v>44019</c:v>
                </c:pt>
                <c:pt idx="128">
                  <c:v>44020</c:v>
                </c:pt>
                <c:pt idx="129">
                  <c:v>44021</c:v>
                </c:pt>
                <c:pt idx="130">
                  <c:v>44022</c:v>
                </c:pt>
                <c:pt idx="131">
                  <c:v>44025</c:v>
                </c:pt>
                <c:pt idx="132">
                  <c:v>44026</c:v>
                </c:pt>
                <c:pt idx="133">
                  <c:v>44027</c:v>
                </c:pt>
                <c:pt idx="134">
                  <c:v>44028</c:v>
                </c:pt>
                <c:pt idx="135">
                  <c:v>44029</c:v>
                </c:pt>
                <c:pt idx="136">
                  <c:v>44032</c:v>
                </c:pt>
                <c:pt idx="137">
                  <c:v>44033</c:v>
                </c:pt>
                <c:pt idx="138">
                  <c:v>44034</c:v>
                </c:pt>
                <c:pt idx="139">
                  <c:v>44035</c:v>
                </c:pt>
                <c:pt idx="140">
                  <c:v>44036</c:v>
                </c:pt>
                <c:pt idx="141">
                  <c:v>44039</c:v>
                </c:pt>
                <c:pt idx="142">
                  <c:v>44040</c:v>
                </c:pt>
                <c:pt idx="143">
                  <c:v>44041</c:v>
                </c:pt>
                <c:pt idx="144">
                  <c:v>44042</c:v>
                </c:pt>
                <c:pt idx="145">
                  <c:v>44043</c:v>
                </c:pt>
                <c:pt idx="146">
                  <c:v>44046</c:v>
                </c:pt>
                <c:pt idx="147">
                  <c:v>44047</c:v>
                </c:pt>
                <c:pt idx="148">
                  <c:v>44048</c:v>
                </c:pt>
                <c:pt idx="149">
                  <c:v>44049</c:v>
                </c:pt>
                <c:pt idx="150">
                  <c:v>44050</c:v>
                </c:pt>
                <c:pt idx="151">
                  <c:v>44053</c:v>
                </c:pt>
                <c:pt idx="152">
                  <c:v>44054</c:v>
                </c:pt>
                <c:pt idx="153">
                  <c:v>44055</c:v>
                </c:pt>
                <c:pt idx="154">
                  <c:v>44056</c:v>
                </c:pt>
                <c:pt idx="155">
                  <c:v>44057</c:v>
                </c:pt>
                <c:pt idx="156">
                  <c:v>44060</c:v>
                </c:pt>
                <c:pt idx="157">
                  <c:v>44061</c:v>
                </c:pt>
                <c:pt idx="158">
                  <c:v>44062</c:v>
                </c:pt>
                <c:pt idx="159">
                  <c:v>44063</c:v>
                </c:pt>
                <c:pt idx="160">
                  <c:v>44064</c:v>
                </c:pt>
                <c:pt idx="161">
                  <c:v>44067</c:v>
                </c:pt>
                <c:pt idx="162">
                  <c:v>44068</c:v>
                </c:pt>
                <c:pt idx="163">
                  <c:v>44069</c:v>
                </c:pt>
                <c:pt idx="164">
                  <c:v>44070</c:v>
                </c:pt>
                <c:pt idx="165">
                  <c:v>44071</c:v>
                </c:pt>
                <c:pt idx="166">
                  <c:v>44074</c:v>
                </c:pt>
                <c:pt idx="167">
                  <c:v>44075</c:v>
                </c:pt>
                <c:pt idx="168">
                  <c:v>44076</c:v>
                </c:pt>
                <c:pt idx="169">
                  <c:v>44077</c:v>
                </c:pt>
                <c:pt idx="170">
                  <c:v>44078</c:v>
                </c:pt>
                <c:pt idx="171">
                  <c:v>44081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44109</c:v>
                </c:pt>
                <c:pt idx="191">
                  <c:v>44110</c:v>
                </c:pt>
                <c:pt idx="192">
                  <c:v>44111</c:v>
                </c:pt>
                <c:pt idx="193">
                  <c:v>44112</c:v>
                </c:pt>
                <c:pt idx="194">
                  <c:v>44113</c:v>
                </c:pt>
                <c:pt idx="195">
                  <c:v>44116</c:v>
                </c:pt>
                <c:pt idx="196">
                  <c:v>44117</c:v>
                </c:pt>
                <c:pt idx="197">
                  <c:v>44118</c:v>
                </c:pt>
                <c:pt idx="198">
                  <c:v>44119</c:v>
                </c:pt>
                <c:pt idx="199">
                  <c:v>44120</c:v>
                </c:pt>
                <c:pt idx="200">
                  <c:v>44123</c:v>
                </c:pt>
                <c:pt idx="201">
                  <c:v>44124</c:v>
                </c:pt>
                <c:pt idx="202">
                  <c:v>44125</c:v>
                </c:pt>
                <c:pt idx="203">
                  <c:v>44126</c:v>
                </c:pt>
                <c:pt idx="204">
                  <c:v>44127</c:v>
                </c:pt>
                <c:pt idx="205">
                  <c:v>44130</c:v>
                </c:pt>
                <c:pt idx="206">
                  <c:v>44131</c:v>
                </c:pt>
                <c:pt idx="207">
                  <c:v>44132</c:v>
                </c:pt>
                <c:pt idx="208">
                  <c:v>44133</c:v>
                </c:pt>
                <c:pt idx="209">
                  <c:v>44134</c:v>
                </c:pt>
                <c:pt idx="210">
                  <c:v>44137</c:v>
                </c:pt>
                <c:pt idx="211">
                  <c:v>44138</c:v>
                </c:pt>
                <c:pt idx="212">
                  <c:v>44139</c:v>
                </c:pt>
                <c:pt idx="213">
                  <c:v>44140</c:v>
                </c:pt>
                <c:pt idx="214">
                  <c:v>44141</c:v>
                </c:pt>
                <c:pt idx="215">
                  <c:v>44144</c:v>
                </c:pt>
                <c:pt idx="216">
                  <c:v>44145</c:v>
                </c:pt>
                <c:pt idx="217">
                  <c:v>44146</c:v>
                </c:pt>
                <c:pt idx="218">
                  <c:v>44147</c:v>
                </c:pt>
                <c:pt idx="219">
                  <c:v>44148</c:v>
                </c:pt>
                <c:pt idx="220">
                  <c:v>44152</c:v>
                </c:pt>
                <c:pt idx="221">
                  <c:v>44153</c:v>
                </c:pt>
                <c:pt idx="222">
                  <c:v>44154</c:v>
                </c:pt>
                <c:pt idx="223">
                  <c:v>44155</c:v>
                </c:pt>
                <c:pt idx="224">
                  <c:v>44158</c:v>
                </c:pt>
                <c:pt idx="225">
                  <c:v>44159</c:v>
                </c:pt>
                <c:pt idx="226">
                  <c:v>44160</c:v>
                </c:pt>
                <c:pt idx="227">
                  <c:v>44161</c:v>
                </c:pt>
                <c:pt idx="228">
                  <c:v>44162</c:v>
                </c:pt>
                <c:pt idx="229">
                  <c:v>44166</c:v>
                </c:pt>
                <c:pt idx="230">
                  <c:v>44167</c:v>
                </c:pt>
                <c:pt idx="231">
                  <c:v>44168</c:v>
                </c:pt>
                <c:pt idx="232">
                  <c:v>44169</c:v>
                </c:pt>
                <c:pt idx="233">
                  <c:v>44172</c:v>
                </c:pt>
                <c:pt idx="234">
                  <c:v>44173</c:v>
                </c:pt>
                <c:pt idx="235">
                  <c:v>44174</c:v>
                </c:pt>
                <c:pt idx="236">
                  <c:v>44175</c:v>
                </c:pt>
                <c:pt idx="237">
                  <c:v>44176</c:v>
                </c:pt>
                <c:pt idx="238">
                  <c:v>44179</c:v>
                </c:pt>
                <c:pt idx="239">
                  <c:v>44180</c:v>
                </c:pt>
                <c:pt idx="240">
                  <c:v>44181</c:v>
                </c:pt>
                <c:pt idx="241">
                  <c:v>44182</c:v>
                </c:pt>
                <c:pt idx="242">
                  <c:v>44183</c:v>
                </c:pt>
                <c:pt idx="243">
                  <c:v>44186</c:v>
                </c:pt>
                <c:pt idx="244">
                  <c:v>44187</c:v>
                </c:pt>
                <c:pt idx="245">
                  <c:v>44188</c:v>
                </c:pt>
                <c:pt idx="246">
                  <c:v>44189</c:v>
                </c:pt>
                <c:pt idx="247">
                  <c:v>44193</c:v>
                </c:pt>
                <c:pt idx="248">
                  <c:v>44194</c:v>
                </c:pt>
                <c:pt idx="249">
                  <c:v>44195</c:v>
                </c:pt>
                <c:pt idx="250">
                  <c:v>44196</c:v>
                </c:pt>
                <c:pt idx="251">
                  <c:v>44197</c:v>
                </c:pt>
                <c:pt idx="252">
                  <c:v>44200</c:v>
                </c:pt>
                <c:pt idx="253">
                  <c:v>44201</c:v>
                </c:pt>
                <c:pt idx="254">
                  <c:v>44202</c:v>
                </c:pt>
                <c:pt idx="255">
                  <c:v>44203</c:v>
                </c:pt>
                <c:pt idx="256">
                  <c:v>44204</c:v>
                </c:pt>
                <c:pt idx="257">
                  <c:v>44207</c:v>
                </c:pt>
                <c:pt idx="258">
                  <c:v>44208</c:v>
                </c:pt>
                <c:pt idx="259">
                  <c:v>44209</c:v>
                </c:pt>
                <c:pt idx="260">
                  <c:v>44210</c:v>
                </c:pt>
                <c:pt idx="261">
                  <c:v>44211</c:v>
                </c:pt>
                <c:pt idx="262">
                  <c:v>44214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44223</c:v>
                </c:pt>
                <c:pt idx="269">
                  <c:v>44224</c:v>
                </c:pt>
                <c:pt idx="270">
                  <c:v>44225</c:v>
                </c:pt>
                <c:pt idx="271">
                  <c:v>44228</c:v>
                </c:pt>
                <c:pt idx="272">
                  <c:v>44229</c:v>
                </c:pt>
                <c:pt idx="273">
                  <c:v>44230</c:v>
                </c:pt>
                <c:pt idx="274">
                  <c:v>44231</c:v>
                </c:pt>
                <c:pt idx="275">
                  <c:v>44232</c:v>
                </c:pt>
                <c:pt idx="276">
                  <c:v>44235</c:v>
                </c:pt>
                <c:pt idx="277">
                  <c:v>44236</c:v>
                </c:pt>
                <c:pt idx="278">
                  <c:v>44237</c:v>
                </c:pt>
                <c:pt idx="279">
                  <c:v>44238</c:v>
                </c:pt>
                <c:pt idx="280">
                  <c:v>44239</c:v>
                </c:pt>
                <c:pt idx="281">
                  <c:v>44242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44267</c:v>
                </c:pt>
                <c:pt idx="300">
                  <c:v>44270</c:v>
                </c:pt>
                <c:pt idx="301">
                  <c:v>44271</c:v>
                </c:pt>
                <c:pt idx="302">
                  <c:v>44272</c:v>
                </c:pt>
                <c:pt idx="303">
                  <c:v>44273</c:v>
                </c:pt>
                <c:pt idx="304">
                  <c:v>44274</c:v>
                </c:pt>
                <c:pt idx="305">
                  <c:v>44277</c:v>
                </c:pt>
                <c:pt idx="306">
                  <c:v>44278</c:v>
                </c:pt>
                <c:pt idx="307">
                  <c:v>44279</c:v>
                </c:pt>
                <c:pt idx="308">
                  <c:v>44280</c:v>
                </c:pt>
                <c:pt idx="309">
                  <c:v>44281</c:v>
                </c:pt>
                <c:pt idx="310">
                  <c:v>44285</c:v>
                </c:pt>
                <c:pt idx="311">
                  <c:v>44286</c:v>
                </c:pt>
                <c:pt idx="312">
                  <c:v>44287</c:v>
                </c:pt>
                <c:pt idx="313">
                  <c:v>44291</c:v>
                </c:pt>
                <c:pt idx="314">
                  <c:v>44292</c:v>
                </c:pt>
                <c:pt idx="315">
                  <c:v>44293</c:v>
                </c:pt>
                <c:pt idx="316">
                  <c:v>44294</c:v>
                </c:pt>
                <c:pt idx="317">
                  <c:v>44295</c:v>
                </c:pt>
                <c:pt idx="318">
                  <c:v>44298</c:v>
                </c:pt>
                <c:pt idx="319">
                  <c:v>44299</c:v>
                </c:pt>
                <c:pt idx="320">
                  <c:v>44301</c:v>
                </c:pt>
                <c:pt idx="321">
                  <c:v>44302</c:v>
                </c:pt>
                <c:pt idx="322">
                  <c:v>44305</c:v>
                </c:pt>
                <c:pt idx="323">
                  <c:v>44306</c:v>
                </c:pt>
                <c:pt idx="324">
                  <c:v>44308</c:v>
                </c:pt>
                <c:pt idx="325">
                  <c:v>44309</c:v>
                </c:pt>
                <c:pt idx="326">
                  <c:v>44312</c:v>
                </c:pt>
                <c:pt idx="327">
                  <c:v>44313</c:v>
                </c:pt>
                <c:pt idx="328">
                  <c:v>44314</c:v>
                </c:pt>
                <c:pt idx="329">
                  <c:v>44315</c:v>
                </c:pt>
                <c:pt idx="330">
                  <c:v>44316</c:v>
                </c:pt>
                <c:pt idx="331">
                  <c:v>44319</c:v>
                </c:pt>
                <c:pt idx="332">
                  <c:v>44320</c:v>
                </c:pt>
                <c:pt idx="333">
                  <c:v>44321</c:v>
                </c:pt>
                <c:pt idx="334">
                  <c:v>44322</c:v>
                </c:pt>
                <c:pt idx="335">
                  <c:v>44323</c:v>
                </c:pt>
                <c:pt idx="336">
                  <c:v>44326</c:v>
                </c:pt>
                <c:pt idx="337">
                  <c:v>44327</c:v>
                </c:pt>
                <c:pt idx="338">
                  <c:v>44328</c:v>
                </c:pt>
                <c:pt idx="339">
                  <c:v>44330</c:v>
                </c:pt>
                <c:pt idx="340">
                  <c:v>44333</c:v>
                </c:pt>
                <c:pt idx="341">
                  <c:v>44334</c:v>
                </c:pt>
                <c:pt idx="342">
                  <c:v>44335</c:v>
                </c:pt>
                <c:pt idx="343">
                  <c:v>44336</c:v>
                </c:pt>
                <c:pt idx="344">
                  <c:v>44337</c:v>
                </c:pt>
                <c:pt idx="345">
                  <c:v>44340</c:v>
                </c:pt>
                <c:pt idx="346">
                  <c:v>44341</c:v>
                </c:pt>
                <c:pt idx="347">
                  <c:v>44342</c:v>
                </c:pt>
                <c:pt idx="348">
                  <c:v>44343</c:v>
                </c:pt>
                <c:pt idx="349">
                  <c:v>44344</c:v>
                </c:pt>
                <c:pt idx="350">
                  <c:v>44347</c:v>
                </c:pt>
                <c:pt idx="351">
                  <c:v>44348</c:v>
                </c:pt>
                <c:pt idx="352">
                  <c:v>44349</c:v>
                </c:pt>
                <c:pt idx="353">
                  <c:v>44350</c:v>
                </c:pt>
                <c:pt idx="354">
                  <c:v>44351</c:v>
                </c:pt>
                <c:pt idx="355">
                  <c:v>44354</c:v>
                </c:pt>
                <c:pt idx="356">
                  <c:v>44355</c:v>
                </c:pt>
                <c:pt idx="357">
                  <c:v>44356</c:v>
                </c:pt>
                <c:pt idx="358">
                  <c:v>44357</c:v>
                </c:pt>
                <c:pt idx="359">
                  <c:v>44358</c:v>
                </c:pt>
                <c:pt idx="360">
                  <c:v>44361</c:v>
                </c:pt>
                <c:pt idx="361">
                  <c:v>44362</c:v>
                </c:pt>
                <c:pt idx="362">
                  <c:v>44363</c:v>
                </c:pt>
                <c:pt idx="363">
                  <c:v>44364</c:v>
                </c:pt>
                <c:pt idx="364">
                  <c:v>44365</c:v>
                </c:pt>
                <c:pt idx="365">
                  <c:v>44368</c:v>
                </c:pt>
                <c:pt idx="366">
                  <c:v>44369</c:v>
                </c:pt>
                <c:pt idx="367">
                  <c:v>44370</c:v>
                </c:pt>
                <c:pt idx="368">
                  <c:v>44371</c:v>
                </c:pt>
                <c:pt idx="369">
                  <c:v>44372</c:v>
                </c:pt>
                <c:pt idx="370">
                  <c:v>44375</c:v>
                </c:pt>
                <c:pt idx="371">
                  <c:v>44376</c:v>
                </c:pt>
                <c:pt idx="372">
                  <c:v>44377</c:v>
                </c:pt>
                <c:pt idx="373">
                  <c:v>44378</c:v>
                </c:pt>
                <c:pt idx="374">
                  <c:v>44379</c:v>
                </c:pt>
                <c:pt idx="375">
                  <c:v>44382</c:v>
                </c:pt>
                <c:pt idx="376">
                  <c:v>44383</c:v>
                </c:pt>
                <c:pt idx="377">
                  <c:v>44384</c:v>
                </c:pt>
                <c:pt idx="378">
                  <c:v>44385</c:v>
                </c:pt>
                <c:pt idx="379">
                  <c:v>44386</c:v>
                </c:pt>
                <c:pt idx="380">
                  <c:v>44389</c:v>
                </c:pt>
                <c:pt idx="381">
                  <c:v>44390</c:v>
                </c:pt>
                <c:pt idx="382">
                  <c:v>44391</c:v>
                </c:pt>
                <c:pt idx="383">
                  <c:v>44392</c:v>
                </c:pt>
                <c:pt idx="384">
                  <c:v>44393</c:v>
                </c:pt>
                <c:pt idx="385">
                  <c:v>44396</c:v>
                </c:pt>
                <c:pt idx="386">
                  <c:v>44397</c:v>
                </c:pt>
                <c:pt idx="387">
                  <c:v>44399</c:v>
                </c:pt>
                <c:pt idx="388">
                  <c:v>44400</c:v>
                </c:pt>
                <c:pt idx="389">
                  <c:v>44403</c:v>
                </c:pt>
                <c:pt idx="390">
                  <c:v>44404</c:v>
                </c:pt>
                <c:pt idx="391">
                  <c:v>44405</c:v>
                </c:pt>
                <c:pt idx="392">
                  <c:v>44406</c:v>
                </c:pt>
                <c:pt idx="393">
                  <c:v>44407</c:v>
                </c:pt>
                <c:pt idx="394">
                  <c:v>44410</c:v>
                </c:pt>
                <c:pt idx="395">
                  <c:v>44411</c:v>
                </c:pt>
                <c:pt idx="396">
                  <c:v>44412</c:v>
                </c:pt>
                <c:pt idx="397">
                  <c:v>44413</c:v>
                </c:pt>
                <c:pt idx="398">
                  <c:v>44414</c:v>
                </c:pt>
                <c:pt idx="399">
                  <c:v>44417</c:v>
                </c:pt>
                <c:pt idx="400">
                  <c:v>44418</c:v>
                </c:pt>
                <c:pt idx="401">
                  <c:v>44419</c:v>
                </c:pt>
                <c:pt idx="402">
                  <c:v>44420</c:v>
                </c:pt>
                <c:pt idx="403">
                  <c:v>44421</c:v>
                </c:pt>
                <c:pt idx="404">
                  <c:v>44424</c:v>
                </c:pt>
                <c:pt idx="405">
                  <c:v>44425</c:v>
                </c:pt>
                <c:pt idx="406">
                  <c:v>44426</c:v>
                </c:pt>
                <c:pt idx="407">
                  <c:v>44428</c:v>
                </c:pt>
                <c:pt idx="408">
                  <c:v>44431</c:v>
                </c:pt>
                <c:pt idx="409">
                  <c:v>44432</c:v>
                </c:pt>
                <c:pt idx="410">
                  <c:v>44433</c:v>
                </c:pt>
                <c:pt idx="411">
                  <c:v>44434</c:v>
                </c:pt>
                <c:pt idx="412">
                  <c:v>44435</c:v>
                </c:pt>
                <c:pt idx="413">
                  <c:v>44438</c:v>
                </c:pt>
                <c:pt idx="414">
                  <c:v>44439</c:v>
                </c:pt>
                <c:pt idx="415">
                  <c:v>44440</c:v>
                </c:pt>
                <c:pt idx="416">
                  <c:v>44441</c:v>
                </c:pt>
                <c:pt idx="417">
                  <c:v>44442</c:v>
                </c:pt>
                <c:pt idx="418">
                  <c:v>44445</c:v>
                </c:pt>
                <c:pt idx="419">
                  <c:v>44446</c:v>
                </c:pt>
                <c:pt idx="420">
                  <c:v>44447</c:v>
                </c:pt>
                <c:pt idx="421">
                  <c:v>44448</c:v>
                </c:pt>
                <c:pt idx="422">
                  <c:v>44452</c:v>
                </c:pt>
                <c:pt idx="423">
                  <c:v>44453</c:v>
                </c:pt>
                <c:pt idx="424">
                  <c:v>44454</c:v>
                </c:pt>
                <c:pt idx="425">
                  <c:v>44455</c:v>
                </c:pt>
                <c:pt idx="426">
                  <c:v>44456</c:v>
                </c:pt>
                <c:pt idx="427">
                  <c:v>44459</c:v>
                </c:pt>
                <c:pt idx="428">
                  <c:v>44460</c:v>
                </c:pt>
                <c:pt idx="429">
                  <c:v>44461</c:v>
                </c:pt>
                <c:pt idx="430">
                  <c:v>44462</c:v>
                </c:pt>
                <c:pt idx="431">
                  <c:v>44463</c:v>
                </c:pt>
                <c:pt idx="432">
                  <c:v>44466</c:v>
                </c:pt>
                <c:pt idx="433">
                  <c:v>44467</c:v>
                </c:pt>
                <c:pt idx="434">
                  <c:v>44468</c:v>
                </c:pt>
                <c:pt idx="435">
                  <c:v>44469</c:v>
                </c:pt>
                <c:pt idx="436">
                  <c:v>44470</c:v>
                </c:pt>
                <c:pt idx="437">
                  <c:v>44473</c:v>
                </c:pt>
                <c:pt idx="438">
                  <c:v>44474</c:v>
                </c:pt>
                <c:pt idx="439">
                  <c:v>44475</c:v>
                </c:pt>
                <c:pt idx="440">
                  <c:v>44476</c:v>
                </c:pt>
                <c:pt idx="441">
                  <c:v>44477</c:v>
                </c:pt>
                <c:pt idx="442">
                  <c:v>44480</c:v>
                </c:pt>
                <c:pt idx="443">
                  <c:v>44481</c:v>
                </c:pt>
                <c:pt idx="444">
                  <c:v>44482</c:v>
                </c:pt>
                <c:pt idx="445">
                  <c:v>44483</c:v>
                </c:pt>
                <c:pt idx="446">
                  <c:v>44487</c:v>
                </c:pt>
                <c:pt idx="447">
                  <c:v>44488</c:v>
                </c:pt>
                <c:pt idx="448">
                  <c:v>44489</c:v>
                </c:pt>
                <c:pt idx="449">
                  <c:v>44490</c:v>
                </c:pt>
                <c:pt idx="450">
                  <c:v>44491</c:v>
                </c:pt>
                <c:pt idx="451">
                  <c:v>44494</c:v>
                </c:pt>
                <c:pt idx="452">
                  <c:v>44495</c:v>
                </c:pt>
                <c:pt idx="453">
                  <c:v>44496</c:v>
                </c:pt>
                <c:pt idx="454">
                  <c:v>44497</c:v>
                </c:pt>
                <c:pt idx="455">
                  <c:v>44498</c:v>
                </c:pt>
                <c:pt idx="456">
                  <c:v>44501</c:v>
                </c:pt>
                <c:pt idx="457">
                  <c:v>44502</c:v>
                </c:pt>
                <c:pt idx="458">
                  <c:v>44503</c:v>
                </c:pt>
                <c:pt idx="459">
                  <c:v>44504</c:v>
                </c:pt>
                <c:pt idx="460">
                  <c:v>44508</c:v>
                </c:pt>
                <c:pt idx="461">
                  <c:v>44509</c:v>
                </c:pt>
                <c:pt idx="462">
                  <c:v>44510</c:v>
                </c:pt>
                <c:pt idx="463">
                  <c:v>44511</c:v>
                </c:pt>
                <c:pt idx="464">
                  <c:v>44512</c:v>
                </c:pt>
                <c:pt idx="465">
                  <c:v>44515</c:v>
                </c:pt>
                <c:pt idx="466">
                  <c:v>44516</c:v>
                </c:pt>
                <c:pt idx="467">
                  <c:v>44517</c:v>
                </c:pt>
                <c:pt idx="468">
                  <c:v>44518</c:v>
                </c:pt>
                <c:pt idx="469">
                  <c:v>44522</c:v>
                </c:pt>
                <c:pt idx="470">
                  <c:v>44523</c:v>
                </c:pt>
                <c:pt idx="471">
                  <c:v>44524</c:v>
                </c:pt>
                <c:pt idx="472">
                  <c:v>44525</c:v>
                </c:pt>
                <c:pt idx="473">
                  <c:v>44526</c:v>
                </c:pt>
                <c:pt idx="474">
                  <c:v>44529</c:v>
                </c:pt>
                <c:pt idx="475">
                  <c:v>44530</c:v>
                </c:pt>
                <c:pt idx="476">
                  <c:v>44531</c:v>
                </c:pt>
                <c:pt idx="477">
                  <c:v>44532</c:v>
                </c:pt>
                <c:pt idx="478">
                  <c:v>44533</c:v>
                </c:pt>
                <c:pt idx="479">
                  <c:v>44536</c:v>
                </c:pt>
                <c:pt idx="480">
                  <c:v>44537</c:v>
                </c:pt>
                <c:pt idx="481">
                  <c:v>44538</c:v>
                </c:pt>
                <c:pt idx="482">
                  <c:v>44539</c:v>
                </c:pt>
                <c:pt idx="483">
                  <c:v>44540</c:v>
                </c:pt>
                <c:pt idx="484">
                  <c:v>44543</c:v>
                </c:pt>
                <c:pt idx="485">
                  <c:v>44544</c:v>
                </c:pt>
                <c:pt idx="486">
                  <c:v>44545</c:v>
                </c:pt>
                <c:pt idx="487">
                  <c:v>44546</c:v>
                </c:pt>
                <c:pt idx="488">
                  <c:v>44547</c:v>
                </c:pt>
                <c:pt idx="489">
                  <c:v>44550</c:v>
                </c:pt>
                <c:pt idx="490">
                  <c:v>44551</c:v>
                </c:pt>
                <c:pt idx="491">
                  <c:v>44552</c:v>
                </c:pt>
                <c:pt idx="492">
                  <c:v>44553</c:v>
                </c:pt>
                <c:pt idx="493">
                  <c:v>44554</c:v>
                </c:pt>
                <c:pt idx="494">
                  <c:v>44557</c:v>
                </c:pt>
                <c:pt idx="495">
                  <c:v>44558</c:v>
                </c:pt>
                <c:pt idx="496">
                  <c:v>44559</c:v>
                </c:pt>
                <c:pt idx="497">
                  <c:v>44560</c:v>
                </c:pt>
                <c:pt idx="498">
                  <c:v>44561</c:v>
                </c:pt>
                <c:pt idx="499">
                  <c:v>44564</c:v>
                </c:pt>
                <c:pt idx="500">
                  <c:v>44565</c:v>
                </c:pt>
                <c:pt idx="501">
                  <c:v>44566</c:v>
                </c:pt>
                <c:pt idx="502">
                  <c:v>44567</c:v>
                </c:pt>
                <c:pt idx="503">
                  <c:v>44568</c:v>
                </c:pt>
                <c:pt idx="504">
                  <c:v>44571</c:v>
                </c:pt>
                <c:pt idx="505">
                  <c:v>44572</c:v>
                </c:pt>
                <c:pt idx="506">
                  <c:v>44573</c:v>
                </c:pt>
                <c:pt idx="507">
                  <c:v>44574</c:v>
                </c:pt>
                <c:pt idx="508">
                  <c:v>44575</c:v>
                </c:pt>
                <c:pt idx="509">
                  <c:v>44578</c:v>
                </c:pt>
                <c:pt idx="510">
                  <c:v>44579</c:v>
                </c:pt>
                <c:pt idx="511">
                  <c:v>44580</c:v>
                </c:pt>
                <c:pt idx="512">
                  <c:v>44581</c:v>
                </c:pt>
                <c:pt idx="513">
                  <c:v>44582</c:v>
                </c:pt>
                <c:pt idx="514">
                  <c:v>44585</c:v>
                </c:pt>
                <c:pt idx="515">
                  <c:v>44586</c:v>
                </c:pt>
                <c:pt idx="516">
                  <c:v>44588</c:v>
                </c:pt>
                <c:pt idx="517">
                  <c:v>44589</c:v>
                </c:pt>
                <c:pt idx="518">
                  <c:v>44592</c:v>
                </c:pt>
                <c:pt idx="519">
                  <c:v>44593</c:v>
                </c:pt>
                <c:pt idx="520">
                  <c:v>44594</c:v>
                </c:pt>
                <c:pt idx="521">
                  <c:v>44595</c:v>
                </c:pt>
                <c:pt idx="522">
                  <c:v>44596</c:v>
                </c:pt>
                <c:pt idx="523">
                  <c:v>44599</c:v>
                </c:pt>
                <c:pt idx="524">
                  <c:v>44600</c:v>
                </c:pt>
                <c:pt idx="525">
                  <c:v>44601</c:v>
                </c:pt>
                <c:pt idx="526">
                  <c:v>44602</c:v>
                </c:pt>
                <c:pt idx="527">
                  <c:v>44603</c:v>
                </c:pt>
                <c:pt idx="528">
                  <c:v>44606</c:v>
                </c:pt>
                <c:pt idx="529">
                  <c:v>44607</c:v>
                </c:pt>
                <c:pt idx="530">
                  <c:v>44608</c:v>
                </c:pt>
                <c:pt idx="531">
                  <c:v>44609</c:v>
                </c:pt>
                <c:pt idx="532">
                  <c:v>44610</c:v>
                </c:pt>
                <c:pt idx="533">
                  <c:v>44613</c:v>
                </c:pt>
                <c:pt idx="534">
                  <c:v>44614</c:v>
                </c:pt>
                <c:pt idx="535">
                  <c:v>44615</c:v>
                </c:pt>
                <c:pt idx="536">
                  <c:v>44616</c:v>
                </c:pt>
                <c:pt idx="537">
                  <c:v>44617</c:v>
                </c:pt>
                <c:pt idx="538">
                  <c:v>44620</c:v>
                </c:pt>
                <c:pt idx="539">
                  <c:v>44622</c:v>
                </c:pt>
                <c:pt idx="540">
                  <c:v>44623</c:v>
                </c:pt>
                <c:pt idx="541">
                  <c:v>44624</c:v>
                </c:pt>
                <c:pt idx="542">
                  <c:v>44627</c:v>
                </c:pt>
                <c:pt idx="543">
                  <c:v>44628</c:v>
                </c:pt>
                <c:pt idx="544">
                  <c:v>44629</c:v>
                </c:pt>
                <c:pt idx="545">
                  <c:v>44630</c:v>
                </c:pt>
                <c:pt idx="546">
                  <c:v>44631</c:v>
                </c:pt>
                <c:pt idx="547">
                  <c:v>44634</c:v>
                </c:pt>
                <c:pt idx="548">
                  <c:v>44635</c:v>
                </c:pt>
                <c:pt idx="549">
                  <c:v>44636</c:v>
                </c:pt>
                <c:pt idx="550">
                  <c:v>44637</c:v>
                </c:pt>
                <c:pt idx="551">
                  <c:v>44641</c:v>
                </c:pt>
                <c:pt idx="552">
                  <c:v>44642</c:v>
                </c:pt>
                <c:pt idx="553">
                  <c:v>44643</c:v>
                </c:pt>
                <c:pt idx="554">
                  <c:v>44644</c:v>
                </c:pt>
                <c:pt idx="555">
                  <c:v>44645</c:v>
                </c:pt>
                <c:pt idx="556">
                  <c:v>44648</c:v>
                </c:pt>
                <c:pt idx="557">
                  <c:v>44649</c:v>
                </c:pt>
                <c:pt idx="558">
                  <c:v>44650</c:v>
                </c:pt>
                <c:pt idx="559">
                  <c:v>44651</c:v>
                </c:pt>
                <c:pt idx="560">
                  <c:v>44652</c:v>
                </c:pt>
                <c:pt idx="561">
                  <c:v>44655</c:v>
                </c:pt>
                <c:pt idx="562">
                  <c:v>44656</c:v>
                </c:pt>
                <c:pt idx="563">
                  <c:v>44657</c:v>
                </c:pt>
                <c:pt idx="564">
                  <c:v>44658</c:v>
                </c:pt>
                <c:pt idx="565">
                  <c:v>44659</c:v>
                </c:pt>
                <c:pt idx="566">
                  <c:v>44662</c:v>
                </c:pt>
                <c:pt idx="567">
                  <c:v>44663</c:v>
                </c:pt>
                <c:pt idx="568">
                  <c:v>44664</c:v>
                </c:pt>
                <c:pt idx="569">
                  <c:v>44669</c:v>
                </c:pt>
                <c:pt idx="570">
                  <c:v>44670</c:v>
                </c:pt>
                <c:pt idx="571">
                  <c:v>44671</c:v>
                </c:pt>
                <c:pt idx="572">
                  <c:v>44672</c:v>
                </c:pt>
                <c:pt idx="573">
                  <c:v>44673</c:v>
                </c:pt>
                <c:pt idx="574">
                  <c:v>44676</c:v>
                </c:pt>
                <c:pt idx="575">
                  <c:v>44677</c:v>
                </c:pt>
                <c:pt idx="576">
                  <c:v>44678</c:v>
                </c:pt>
                <c:pt idx="577">
                  <c:v>44679</c:v>
                </c:pt>
                <c:pt idx="578">
                  <c:v>44680</c:v>
                </c:pt>
                <c:pt idx="579">
                  <c:v>44683</c:v>
                </c:pt>
                <c:pt idx="580">
                  <c:v>44685</c:v>
                </c:pt>
                <c:pt idx="581">
                  <c:v>44686</c:v>
                </c:pt>
                <c:pt idx="582">
                  <c:v>44687</c:v>
                </c:pt>
                <c:pt idx="583">
                  <c:v>44690</c:v>
                </c:pt>
                <c:pt idx="584">
                  <c:v>44691</c:v>
                </c:pt>
                <c:pt idx="585">
                  <c:v>44692</c:v>
                </c:pt>
                <c:pt idx="586">
                  <c:v>44693</c:v>
                </c:pt>
                <c:pt idx="587">
                  <c:v>44694</c:v>
                </c:pt>
                <c:pt idx="588">
                  <c:v>44697</c:v>
                </c:pt>
                <c:pt idx="589">
                  <c:v>44698</c:v>
                </c:pt>
                <c:pt idx="590">
                  <c:v>44699</c:v>
                </c:pt>
                <c:pt idx="591">
                  <c:v>44700</c:v>
                </c:pt>
                <c:pt idx="592">
                  <c:v>44701</c:v>
                </c:pt>
                <c:pt idx="593">
                  <c:v>44704</c:v>
                </c:pt>
                <c:pt idx="594">
                  <c:v>44705</c:v>
                </c:pt>
                <c:pt idx="595">
                  <c:v>44706</c:v>
                </c:pt>
                <c:pt idx="596">
                  <c:v>44707</c:v>
                </c:pt>
                <c:pt idx="597">
                  <c:v>44708</c:v>
                </c:pt>
                <c:pt idx="598">
                  <c:v>44711</c:v>
                </c:pt>
                <c:pt idx="599">
                  <c:v>44712</c:v>
                </c:pt>
                <c:pt idx="600">
                  <c:v>44713</c:v>
                </c:pt>
                <c:pt idx="601">
                  <c:v>44714</c:v>
                </c:pt>
                <c:pt idx="602">
                  <c:v>44715</c:v>
                </c:pt>
                <c:pt idx="603">
                  <c:v>44718</c:v>
                </c:pt>
                <c:pt idx="604">
                  <c:v>44719</c:v>
                </c:pt>
                <c:pt idx="605">
                  <c:v>44720</c:v>
                </c:pt>
                <c:pt idx="606">
                  <c:v>44721</c:v>
                </c:pt>
                <c:pt idx="607">
                  <c:v>44722</c:v>
                </c:pt>
                <c:pt idx="608">
                  <c:v>44725</c:v>
                </c:pt>
                <c:pt idx="609">
                  <c:v>44726</c:v>
                </c:pt>
                <c:pt idx="610">
                  <c:v>44727</c:v>
                </c:pt>
                <c:pt idx="611">
                  <c:v>44728</c:v>
                </c:pt>
                <c:pt idx="612">
                  <c:v>44729</c:v>
                </c:pt>
                <c:pt idx="613">
                  <c:v>44732</c:v>
                </c:pt>
                <c:pt idx="614">
                  <c:v>44733</c:v>
                </c:pt>
                <c:pt idx="615">
                  <c:v>44734</c:v>
                </c:pt>
                <c:pt idx="616">
                  <c:v>44735</c:v>
                </c:pt>
                <c:pt idx="617">
                  <c:v>44736</c:v>
                </c:pt>
                <c:pt idx="618">
                  <c:v>44739</c:v>
                </c:pt>
                <c:pt idx="619">
                  <c:v>44740</c:v>
                </c:pt>
                <c:pt idx="620">
                  <c:v>44741</c:v>
                </c:pt>
                <c:pt idx="621">
                  <c:v>44742</c:v>
                </c:pt>
                <c:pt idx="622">
                  <c:v>44743</c:v>
                </c:pt>
                <c:pt idx="623">
                  <c:v>44746</c:v>
                </c:pt>
                <c:pt idx="624">
                  <c:v>44747</c:v>
                </c:pt>
                <c:pt idx="625">
                  <c:v>44748</c:v>
                </c:pt>
                <c:pt idx="626">
                  <c:v>44749</c:v>
                </c:pt>
                <c:pt idx="627">
                  <c:v>44750</c:v>
                </c:pt>
                <c:pt idx="628">
                  <c:v>44753</c:v>
                </c:pt>
                <c:pt idx="629">
                  <c:v>44754</c:v>
                </c:pt>
                <c:pt idx="630">
                  <c:v>44755</c:v>
                </c:pt>
                <c:pt idx="631">
                  <c:v>44756</c:v>
                </c:pt>
                <c:pt idx="632">
                  <c:v>44757</c:v>
                </c:pt>
                <c:pt idx="633">
                  <c:v>44760</c:v>
                </c:pt>
                <c:pt idx="634">
                  <c:v>44761</c:v>
                </c:pt>
                <c:pt idx="635">
                  <c:v>44762</c:v>
                </c:pt>
                <c:pt idx="636">
                  <c:v>44763</c:v>
                </c:pt>
                <c:pt idx="637">
                  <c:v>44764</c:v>
                </c:pt>
                <c:pt idx="638">
                  <c:v>44767</c:v>
                </c:pt>
                <c:pt idx="639">
                  <c:v>44768</c:v>
                </c:pt>
                <c:pt idx="640">
                  <c:v>44769</c:v>
                </c:pt>
                <c:pt idx="641">
                  <c:v>44770</c:v>
                </c:pt>
                <c:pt idx="642">
                  <c:v>44771</c:v>
                </c:pt>
                <c:pt idx="643">
                  <c:v>44774</c:v>
                </c:pt>
                <c:pt idx="644">
                  <c:v>44775</c:v>
                </c:pt>
                <c:pt idx="645">
                  <c:v>44776</c:v>
                </c:pt>
                <c:pt idx="646">
                  <c:v>44777</c:v>
                </c:pt>
                <c:pt idx="647">
                  <c:v>44778</c:v>
                </c:pt>
                <c:pt idx="648">
                  <c:v>44781</c:v>
                </c:pt>
                <c:pt idx="649">
                  <c:v>44783</c:v>
                </c:pt>
                <c:pt idx="650">
                  <c:v>44784</c:v>
                </c:pt>
                <c:pt idx="651">
                  <c:v>44785</c:v>
                </c:pt>
                <c:pt idx="652">
                  <c:v>44789</c:v>
                </c:pt>
                <c:pt idx="653">
                  <c:v>44790</c:v>
                </c:pt>
                <c:pt idx="654">
                  <c:v>44791</c:v>
                </c:pt>
                <c:pt idx="655">
                  <c:v>44792</c:v>
                </c:pt>
                <c:pt idx="656">
                  <c:v>44795</c:v>
                </c:pt>
                <c:pt idx="657">
                  <c:v>44796</c:v>
                </c:pt>
                <c:pt idx="658">
                  <c:v>44797</c:v>
                </c:pt>
                <c:pt idx="659">
                  <c:v>44798</c:v>
                </c:pt>
                <c:pt idx="660">
                  <c:v>44799</c:v>
                </c:pt>
                <c:pt idx="661">
                  <c:v>44802</c:v>
                </c:pt>
                <c:pt idx="662">
                  <c:v>44803</c:v>
                </c:pt>
                <c:pt idx="663">
                  <c:v>44805</c:v>
                </c:pt>
                <c:pt idx="664">
                  <c:v>44806</c:v>
                </c:pt>
                <c:pt idx="665">
                  <c:v>44809</c:v>
                </c:pt>
                <c:pt idx="666">
                  <c:v>44810</c:v>
                </c:pt>
                <c:pt idx="667">
                  <c:v>44811</c:v>
                </c:pt>
                <c:pt idx="668">
                  <c:v>44812</c:v>
                </c:pt>
                <c:pt idx="669">
                  <c:v>44813</c:v>
                </c:pt>
                <c:pt idx="670">
                  <c:v>44816</c:v>
                </c:pt>
                <c:pt idx="671">
                  <c:v>44817</c:v>
                </c:pt>
                <c:pt idx="672">
                  <c:v>44818</c:v>
                </c:pt>
                <c:pt idx="673">
                  <c:v>44819</c:v>
                </c:pt>
                <c:pt idx="674">
                  <c:v>44820</c:v>
                </c:pt>
                <c:pt idx="675">
                  <c:v>44823</c:v>
                </c:pt>
                <c:pt idx="676">
                  <c:v>44824</c:v>
                </c:pt>
                <c:pt idx="677">
                  <c:v>44825</c:v>
                </c:pt>
                <c:pt idx="678">
                  <c:v>44826</c:v>
                </c:pt>
                <c:pt idx="679">
                  <c:v>44827</c:v>
                </c:pt>
                <c:pt idx="680">
                  <c:v>44830</c:v>
                </c:pt>
                <c:pt idx="681">
                  <c:v>44831</c:v>
                </c:pt>
                <c:pt idx="682">
                  <c:v>44832</c:v>
                </c:pt>
                <c:pt idx="683">
                  <c:v>44833</c:v>
                </c:pt>
                <c:pt idx="684">
                  <c:v>44834</c:v>
                </c:pt>
                <c:pt idx="685">
                  <c:v>44837</c:v>
                </c:pt>
                <c:pt idx="686">
                  <c:v>44838</c:v>
                </c:pt>
                <c:pt idx="687">
                  <c:v>44840</c:v>
                </c:pt>
                <c:pt idx="688">
                  <c:v>44841</c:v>
                </c:pt>
                <c:pt idx="689">
                  <c:v>44844</c:v>
                </c:pt>
                <c:pt idx="690">
                  <c:v>44845</c:v>
                </c:pt>
                <c:pt idx="691">
                  <c:v>44846</c:v>
                </c:pt>
                <c:pt idx="692">
                  <c:v>44847</c:v>
                </c:pt>
                <c:pt idx="693">
                  <c:v>44848</c:v>
                </c:pt>
                <c:pt idx="694">
                  <c:v>44851</c:v>
                </c:pt>
                <c:pt idx="695">
                  <c:v>44852</c:v>
                </c:pt>
                <c:pt idx="696">
                  <c:v>44853</c:v>
                </c:pt>
                <c:pt idx="697">
                  <c:v>44854</c:v>
                </c:pt>
                <c:pt idx="698">
                  <c:v>44855</c:v>
                </c:pt>
                <c:pt idx="699">
                  <c:v>44858</c:v>
                </c:pt>
                <c:pt idx="700">
                  <c:v>44859</c:v>
                </c:pt>
                <c:pt idx="701">
                  <c:v>44861</c:v>
                </c:pt>
                <c:pt idx="702">
                  <c:v>44862</c:v>
                </c:pt>
                <c:pt idx="703">
                  <c:v>44865</c:v>
                </c:pt>
                <c:pt idx="704">
                  <c:v>44866</c:v>
                </c:pt>
                <c:pt idx="705">
                  <c:v>44867</c:v>
                </c:pt>
                <c:pt idx="706">
                  <c:v>44868</c:v>
                </c:pt>
                <c:pt idx="707">
                  <c:v>44869</c:v>
                </c:pt>
                <c:pt idx="708">
                  <c:v>44872</c:v>
                </c:pt>
                <c:pt idx="709">
                  <c:v>44874</c:v>
                </c:pt>
                <c:pt idx="710">
                  <c:v>44875</c:v>
                </c:pt>
                <c:pt idx="711">
                  <c:v>44876</c:v>
                </c:pt>
                <c:pt idx="712">
                  <c:v>44879</c:v>
                </c:pt>
                <c:pt idx="713">
                  <c:v>44880</c:v>
                </c:pt>
                <c:pt idx="714">
                  <c:v>44881</c:v>
                </c:pt>
                <c:pt idx="715">
                  <c:v>44882</c:v>
                </c:pt>
                <c:pt idx="716">
                  <c:v>44883</c:v>
                </c:pt>
                <c:pt idx="717">
                  <c:v>44886</c:v>
                </c:pt>
                <c:pt idx="718">
                  <c:v>44887</c:v>
                </c:pt>
                <c:pt idx="719">
                  <c:v>44888</c:v>
                </c:pt>
                <c:pt idx="720">
                  <c:v>44889</c:v>
                </c:pt>
                <c:pt idx="721">
                  <c:v>44890</c:v>
                </c:pt>
                <c:pt idx="722">
                  <c:v>44893</c:v>
                </c:pt>
                <c:pt idx="723">
                  <c:v>44894</c:v>
                </c:pt>
                <c:pt idx="724">
                  <c:v>44895</c:v>
                </c:pt>
                <c:pt idx="725">
                  <c:v>44896</c:v>
                </c:pt>
                <c:pt idx="726">
                  <c:v>44897</c:v>
                </c:pt>
                <c:pt idx="727">
                  <c:v>44900</c:v>
                </c:pt>
                <c:pt idx="728">
                  <c:v>44901</c:v>
                </c:pt>
                <c:pt idx="729">
                  <c:v>44902</c:v>
                </c:pt>
                <c:pt idx="730">
                  <c:v>44903</c:v>
                </c:pt>
                <c:pt idx="731">
                  <c:v>44904</c:v>
                </c:pt>
                <c:pt idx="732">
                  <c:v>44907</c:v>
                </c:pt>
                <c:pt idx="733">
                  <c:v>44908</c:v>
                </c:pt>
                <c:pt idx="734">
                  <c:v>44909</c:v>
                </c:pt>
                <c:pt idx="735">
                  <c:v>44910</c:v>
                </c:pt>
                <c:pt idx="736">
                  <c:v>44911</c:v>
                </c:pt>
                <c:pt idx="737">
                  <c:v>44914</c:v>
                </c:pt>
                <c:pt idx="738">
                  <c:v>44915</c:v>
                </c:pt>
                <c:pt idx="739">
                  <c:v>44916</c:v>
                </c:pt>
                <c:pt idx="740">
                  <c:v>44917</c:v>
                </c:pt>
                <c:pt idx="741">
                  <c:v>44918</c:v>
                </c:pt>
                <c:pt idx="742">
                  <c:v>44921</c:v>
                </c:pt>
                <c:pt idx="743">
                  <c:v>44922</c:v>
                </c:pt>
                <c:pt idx="744">
                  <c:v>44923</c:v>
                </c:pt>
                <c:pt idx="745">
                  <c:v>44924</c:v>
                </c:pt>
                <c:pt idx="746">
                  <c:v>44925</c:v>
                </c:pt>
                <c:pt idx="747">
                  <c:v>44928</c:v>
                </c:pt>
                <c:pt idx="748">
                  <c:v>44929</c:v>
                </c:pt>
                <c:pt idx="749">
                  <c:v>44930</c:v>
                </c:pt>
                <c:pt idx="750">
                  <c:v>44931</c:v>
                </c:pt>
                <c:pt idx="751">
                  <c:v>44932</c:v>
                </c:pt>
                <c:pt idx="752">
                  <c:v>44935</c:v>
                </c:pt>
                <c:pt idx="753">
                  <c:v>44936</c:v>
                </c:pt>
                <c:pt idx="754">
                  <c:v>44937</c:v>
                </c:pt>
                <c:pt idx="755">
                  <c:v>44938</c:v>
                </c:pt>
                <c:pt idx="756">
                  <c:v>44939</c:v>
                </c:pt>
                <c:pt idx="757">
                  <c:v>44942</c:v>
                </c:pt>
                <c:pt idx="758">
                  <c:v>44943</c:v>
                </c:pt>
                <c:pt idx="759">
                  <c:v>44944</c:v>
                </c:pt>
                <c:pt idx="760">
                  <c:v>44945</c:v>
                </c:pt>
                <c:pt idx="761">
                  <c:v>44946</c:v>
                </c:pt>
                <c:pt idx="762">
                  <c:v>44949</c:v>
                </c:pt>
                <c:pt idx="763">
                  <c:v>44950</c:v>
                </c:pt>
                <c:pt idx="764">
                  <c:v>44951</c:v>
                </c:pt>
                <c:pt idx="765">
                  <c:v>44953</c:v>
                </c:pt>
                <c:pt idx="766">
                  <c:v>44956</c:v>
                </c:pt>
                <c:pt idx="767">
                  <c:v>44957</c:v>
                </c:pt>
                <c:pt idx="768">
                  <c:v>44958</c:v>
                </c:pt>
                <c:pt idx="769">
                  <c:v>44959</c:v>
                </c:pt>
                <c:pt idx="770">
                  <c:v>44960</c:v>
                </c:pt>
                <c:pt idx="771">
                  <c:v>44963</c:v>
                </c:pt>
                <c:pt idx="772">
                  <c:v>44964</c:v>
                </c:pt>
                <c:pt idx="773">
                  <c:v>44965</c:v>
                </c:pt>
                <c:pt idx="774">
                  <c:v>44966</c:v>
                </c:pt>
                <c:pt idx="775">
                  <c:v>44967</c:v>
                </c:pt>
                <c:pt idx="776">
                  <c:v>44970</c:v>
                </c:pt>
                <c:pt idx="777">
                  <c:v>44971</c:v>
                </c:pt>
                <c:pt idx="778">
                  <c:v>44972</c:v>
                </c:pt>
                <c:pt idx="779">
                  <c:v>44973</c:v>
                </c:pt>
                <c:pt idx="780">
                  <c:v>44974</c:v>
                </c:pt>
                <c:pt idx="781">
                  <c:v>44977</c:v>
                </c:pt>
                <c:pt idx="782">
                  <c:v>44978</c:v>
                </c:pt>
                <c:pt idx="783">
                  <c:v>44979</c:v>
                </c:pt>
                <c:pt idx="784">
                  <c:v>44980</c:v>
                </c:pt>
                <c:pt idx="785">
                  <c:v>44981</c:v>
                </c:pt>
                <c:pt idx="786">
                  <c:v>44984</c:v>
                </c:pt>
                <c:pt idx="787">
                  <c:v>44985</c:v>
                </c:pt>
                <c:pt idx="788">
                  <c:v>44986</c:v>
                </c:pt>
                <c:pt idx="789">
                  <c:v>44987</c:v>
                </c:pt>
                <c:pt idx="790">
                  <c:v>44988</c:v>
                </c:pt>
                <c:pt idx="791">
                  <c:v>44991</c:v>
                </c:pt>
                <c:pt idx="792">
                  <c:v>44993</c:v>
                </c:pt>
                <c:pt idx="793">
                  <c:v>44994</c:v>
                </c:pt>
                <c:pt idx="794">
                  <c:v>44995</c:v>
                </c:pt>
                <c:pt idx="795">
                  <c:v>44998</c:v>
                </c:pt>
                <c:pt idx="796">
                  <c:v>44999</c:v>
                </c:pt>
                <c:pt idx="797">
                  <c:v>45000</c:v>
                </c:pt>
                <c:pt idx="798">
                  <c:v>45001</c:v>
                </c:pt>
                <c:pt idx="799">
                  <c:v>45002</c:v>
                </c:pt>
                <c:pt idx="800">
                  <c:v>45005</c:v>
                </c:pt>
                <c:pt idx="801">
                  <c:v>45006</c:v>
                </c:pt>
                <c:pt idx="802">
                  <c:v>45007</c:v>
                </c:pt>
                <c:pt idx="803">
                  <c:v>45008</c:v>
                </c:pt>
                <c:pt idx="804">
                  <c:v>45009</c:v>
                </c:pt>
                <c:pt idx="805">
                  <c:v>45012</c:v>
                </c:pt>
                <c:pt idx="806">
                  <c:v>45013</c:v>
                </c:pt>
                <c:pt idx="807">
                  <c:v>45014</c:v>
                </c:pt>
                <c:pt idx="808">
                  <c:v>45016</c:v>
                </c:pt>
                <c:pt idx="809">
                  <c:v>45019</c:v>
                </c:pt>
                <c:pt idx="810">
                  <c:v>45021</c:v>
                </c:pt>
                <c:pt idx="811">
                  <c:v>45022</c:v>
                </c:pt>
                <c:pt idx="812">
                  <c:v>45026</c:v>
                </c:pt>
                <c:pt idx="813">
                  <c:v>45027</c:v>
                </c:pt>
                <c:pt idx="814">
                  <c:v>45028</c:v>
                </c:pt>
                <c:pt idx="815">
                  <c:v>45029</c:v>
                </c:pt>
                <c:pt idx="816">
                  <c:v>45033</c:v>
                </c:pt>
                <c:pt idx="817">
                  <c:v>45034</c:v>
                </c:pt>
                <c:pt idx="818">
                  <c:v>45035</c:v>
                </c:pt>
                <c:pt idx="819">
                  <c:v>45036</c:v>
                </c:pt>
                <c:pt idx="820">
                  <c:v>45037</c:v>
                </c:pt>
                <c:pt idx="821">
                  <c:v>45040</c:v>
                </c:pt>
                <c:pt idx="822">
                  <c:v>45041</c:v>
                </c:pt>
                <c:pt idx="823">
                  <c:v>45042</c:v>
                </c:pt>
                <c:pt idx="824">
                  <c:v>45043</c:v>
                </c:pt>
                <c:pt idx="825">
                  <c:v>45044</c:v>
                </c:pt>
                <c:pt idx="826">
                  <c:v>45048</c:v>
                </c:pt>
                <c:pt idx="827">
                  <c:v>45049</c:v>
                </c:pt>
                <c:pt idx="828">
                  <c:v>45050</c:v>
                </c:pt>
                <c:pt idx="829">
                  <c:v>45051</c:v>
                </c:pt>
                <c:pt idx="830">
                  <c:v>45054</c:v>
                </c:pt>
                <c:pt idx="831">
                  <c:v>45055</c:v>
                </c:pt>
                <c:pt idx="832">
                  <c:v>45056</c:v>
                </c:pt>
                <c:pt idx="833">
                  <c:v>45057</c:v>
                </c:pt>
                <c:pt idx="834">
                  <c:v>45058</c:v>
                </c:pt>
                <c:pt idx="835">
                  <c:v>45061</c:v>
                </c:pt>
                <c:pt idx="836">
                  <c:v>45062</c:v>
                </c:pt>
                <c:pt idx="837">
                  <c:v>45063</c:v>
                </c:pt>
                <c:pt idx="838">
                  <c:v>45064</c:v>
                </c:pt>
                <c:pt idx="839">
                  <c:v>45065</c:v>
                </c:pt>
                <c:pt idx="840">
                  <c:v>45068</c:v>
                </c:pt>
                <c:pt idx="841">
                  <c:v>45069</c:v>
                </c:pt>
                <c:pt idx="842">
                  <c:v>45070</c:v>
                </c:pt>
                <c:pt idx="843">
                  <c:v>45071</c:v>
                </c:pt>
                <c:pt idx="844">
                  <c:v>45072</c:v>
                </c:pt>
                <c:pt idx="845">
                  <c:v>45075</c:v>
                </c:pt>
                <c:pt idx="846">
                  <c:v>45076</c:v>
                </c:pt>
                <c:pt idx="847">
                  <c:v>45077</c:v>
                </c:pt>
                <c:pt idx="848">
                  <c:v>45078</c:v>
                </c:pt>
                <c:pt idx="849">
                  <c:v>45079</c:v>
                </c:pt>
                <c:pt idx="850">
                  <c:v>45082</c:v>
                </c:pt>
                <c:pt idx="851">
                  <c:v>45083</c:v>
                </c:pt>
                <c:pt idx="852">
                  <c:v>45084</c:v>
                </c:pt>
                <c:pt idx="853">
                  <c:v>45085</c:v>
                </c:pt>
                <c:pt idx="854">
                  <c:v>45086</c:v>
                </c:pt>
                <c:pt idx="855">
                  <c:v>45089</c:v>
                </c:pt>
                <c:pt idx="856">
                  <c:v>45090</c:v>
                </c:pt>
                <c:pt idx="857">
                  <c:v>45091</c:v>
                </c:pt>
                <c:pt idx="858">
                  <c:v>45092</c:v>
                </c:pt>
                <c:pt idx="859">
                  <c:v>45093</c:v>
                </c:pt>
                <c:pt idx="860">
                  <c:v>45096</c:v>
                </c:pt>
                <c:pt idx="861">
                  <c:v>45097</c:v>
                </c:pt>
                <c:pt idx="862">
                  <c:v>45098</c:v>
                </c:pt>
                <c:pt idx="863">
                  <c:v>45099</c:v>
                </c:pt>
                <c:pt idx="864">
                  <c:v>45100</c:v>
                </c:pt>
                <c:pt idx="865">
                  <c:v>45103</c:v>
                </c:pt>
                <c:pt idx="866">
                  <c:v>45104</c:v>
                </c:pt>
                <c:pt idx="867">
                  <c:v>45105</c:v>
                </c:pt>
                <c:pt idx="868">
                  <c:v>45107</c:v>
                </c:pt>
                <c:pt idx="869">
                  <c:v>45110</c:v>
                </c:pt>
                <c:pt idx="870">
                  <c:v>45111</c:v>
                </c:pt>
                <c:pt idx="871">
                  <c:v>45112</c:v>
                </c:pt>
                <c:pt idx="872">
                  <c:v>45113</c:v>
                </c:pt>
                <c:pt idx="873">
                  <c:v>45114</c:v>
                </c:pt>
                <c:pt idx="874">
                  <c:v>45117</c:v>
                </c:pt>
                <c:pt idx="875">
                  <c:v>45118</c:v>
                </c:pt>
                <c:pt idx="876">
                  <c:v>45119</c:v>
                </c:pt>
                <c:pt idx="877">
                  <c:v>45120</c:v>
                </c:pt>
                <c:pt idx="878">
                  <c:v>45121</c:v>
                </c:pt>
                <c:pt idx="879">
                  <c:v>45124</c:v>
                </c:pt>
                <c:pt idx="880">
                  <c:v>45125</c:v>
                </c:pt>
                <c:pt idx="881">
                  <c:v>45126</c:v>
                </c:pt>
                <c:pt idx="882">
                  <c:v>45127</c:v>
                </c:pt>
                <c:pt idx="883">
                  <c:v>45128</c:v>
                </c:pt>
                <c:pt idx="884">
                  <c:v>45131</c:v>
                </c:pt>
                <c:pt idx="885">
                  <c:v>45132</c:v>
                </c:pt>
                <c:pt idx="886">
                  <c:v>45133</c:v>
                </c:pt>
                <c:pt idx="887">
                  <c:v>45134</c:v>
                </c:pt>
                <c:pt idx="888">
                  <c:v>45135</c:v>
                </c:pt>
                <c:pt idx="889">
                  <c:v>45138</c:v>
                </c:pt>
                <c:pt idx="890">
                  <c:v>45139</c:v>
                </c:pt>
                <c:pt idx="891">
                  <c:v>45140</c:v>
                </c:pt>
                <c:pt idx="892">
                  <c:v>45141</c:v>
                </c:pt>
                <c:pt idx="893">
                  <c:v>45142</c:v>
                </c:pt>
                <c:pt idx="894">
                  <c:v>45145</c:v>
                </c:pt>
                <c:pt idx="895">
                  <c:v>45146</c:v>
                </c:pt>
                <c:pt idx="896">
                  <c:v>45147</c:v>
                </c:pt>
                <c:pt idx="897">
                  <c:v>45148</c:v>
                </c:pt>
                <c:pt idx="898">
                  <c:v>45149</c:v>
                </c:pt>
                <c:pt idx="899">
                  <c:v>45152</c:v>
                </c:pt>
                <c:pt idx="900">
                  <c:v>45154</c:v>
                </c:pt>
                <c:pt idx="901">
                  <c:v>45155</c:v>
                </c:pt>
                <c:pt idx="902">
                  <c:v>45156</c:v>
                </c:pt>
                <c:pt idx="903">
                  <c:v>45159</c:v>
                </c:pt>
                <c:pt idx="904">
                  <c:v>45160</c:v>
                </c:pt>
                <c:pt idx="905">
                  <c:v>45161</c:v>
                </c:pt>
                <c:pt idx="906">
                  <c:v>45162</c:v>
                </c:pt>
                <c:pt idx="907">
                  <c:v>45163</c:v>
                </c:pt>
                <c:pt idx="908">
                  <c:v>45166</c:v>
                </c:pt>
                <c:pt idx="909">
                  <c:v>45167</c:v>
                </c:pt>
                <c:pt idx="910">
                  <c:v>45168</c:v>
                </c:pt>
                <c:pt idx="911">
                  <c:v>45169</c:v>
                </c:pt>
                <c:pt idx="912">
                  <c:v>45170</c:v>
                </c:pt>
                <c:pt idx="913">
                  <c:v>45173</c:v>
                </c:pt>
                <c:pt idx="914">
                  <c:v>45174</c:v>
                </c:pt>
                <c:pt idx="915">
                  <c:v>45175</c:v>
                </c:pt>
                <c:pt idx="916">
                  <c:v>45176</c:v>
                </c:pt>
                <c:pt idx="917">
                  <c:v>45177</c:v>
                </c:pt>
                <c:pt idx="918">
                  <c:v>45180</c:v>
                </c:pt>
                <c:pt idx="919">
                  <c:v>45181</c:v>
                </c:pt>
                <c:pt idx="920">
                  <c:v>45182</c:v>
                </c:pt>
                <c:pt idx="921">
                  <c:v>45183</c:v>
                </c:pt>
                <c:pt idx="922">
                  <c:v>45184</c:v>
                </c:pt>
                <c:pt idx="923">
                  <c:v>45187</c:v>
                </c:pt>
                <c:pt idx="924">
                  <c:v>45189</c:v>
                </c:pt>
                <c:pt idx="925">
                  <c:v>45190</c:v>
                </c:pt>
                <c:pt idx="926">
                  <c:v>45191</c:v>
                </c:pt>
                <c:pt idx="927">
                  <c:v>45194</c:v>
                </c:pt>
                <c:pt idx="928">
                  <c:v>45195</c:v>
                </c:pt>
                <c:pt idx="929">
                  <c:v>45196</c:v>
                </c:pt>
                <c:pt idx="930">
                  <c:v>45197</c:v>
                </c:pt>
                <c:pt idx="931">
                  <c:v>45198</c:v>
                </c:pt>
                <c:pt idx="932">
                  <c:v>45202</c:v>
                </c:pt>
                <c:pt idx="933">
                  <c:v>45203</c:v>
                </c:pt>
                <c:pt idx="934">
                  <c:v>45204</c:v>
                </c:pt>
                <c:pt idx="935">
                  <c:v>45205</c:v>
                </c:pt>
                <c:pt idx="936">
                  <c:v>45208</c:v>
                </c:pt>
                <c:pt idx="937">
                  <c:v>45209</c:v>
                </c:pt>
                <c:pt idx="938">
                  <c:v>45210</c:v>
                </c:pt>
                <c:pt idx="939">
                  <c:v>45211</c:v>
                </c:pt>
                <c:pt idx="940">
                  <c:v>45212</c:v>
                </c:pt>
                <c:pt idx="941">
                  <c:v>45215</c:v>
                </c:pt>
                <c:pt idx="942">
                  <c:v>45216</c:v>
                </c:pt>
                <c:pt idx="943">
                  <c:v>45217</c:v>
                </c:pt>
                <c:pt idx="944">
                  <c:v>45218</c:v>
                </c:pt>
                <c:pt idx="945">
                  <c:v>45219</c:v>
                </c:pt>
                <c:pt idx="946">
                  <c:v>45222</c:v>
                </c:pt>
                <c:pt idx="947">
                  <c:v>45224</c:v>
                </c:pt>
                <c:pt idx="948">
                  <c:v>45225</c:v>
                </c:pt>
                <c:pt idx="949">
                  <c:v>45226</c:v>
                </c:pt>
                <c:pt idx="950">
                  <c:v>45229</c:v>
                </c:pt>
                <c:pt idx="951">
                  <c:v>45230</c:v>
                </c:pt>
                <c:pt idx="952">
                  <c:v>45231</c:v>
                </c:pt>
                <c:pt idx="953">
                  <c:v>45232</c:v>
                </c:pt>
                <c:pt idx="954">
                  <c:v>45233</c:v>
                </c:pt>
                <c:pt idx="955">
                  <c:v>45236</c:v>
                </c:pt>
                <c:pt idx="956">
                  <c:v>45237</c:v>
                </c:pt>
                <c:pt idx="957">
                  <c:v>45238</c:v>
                </c:pt>
                <c:pt idx="958">
                  <c:v>45239</c:v>
                </c:pt>
                <c:pt idx="959">
                  <c:v>45240</c:v>
                </c:pt>
                <c:pt idx="960">
                  <c:v>45242</c:v>
                </c:pt>
                <c:pt idx="961">
                  <c:v>45243</c:v>
                </c:pt>
                <c:pt idx="962">
                  <c:v>45245</c:v>
                </c:pt>
                <c:pt idx="963">
                  <c:v>45246</c:v>
                </c:pt>
                <c:pt idx="964">
                  <c:v>45247</c:v>
                </c:pt>
                <c:pt idx="965">
                  <c:v>45250</c:v>
                </c:pt>
                <c:pt idx="966">
                  <c:v>45251</c:v>
                </c:pt>
                <c:pt idx="967">
                  <c:v>45252</c:v>
                </c:pt>
                <c:pt idx="968">
                  <c:v>45253</c:v>
                </c:pt>
                <c:pt idx="969">
                  <c:v>45254</c:v>
                </c:pt>
                <c:pt idx="970">
                  <c:v>45258</c:v>
                </c:pt>
                <c:pt idx="971">
                  <c:v>45259</c:v>
                </c:pt>
                <c:pt idx="972">
                  <c:v>45260</c:v>
                </c:pt>
                <c:pt idx="973">
                  <c:v>45261</c:v>
                </c:pt>
                <c:pt idx="974">
                  <c:v>45264</c:v>
                </c:pt>
                <c:pt idx="975">
                  <c:v>45265</c:v>
                </c:pt>
                <c:pt idx="976">
                  <c:v>45266</c:v>
                </c:pt>
                <c:pt idx="977">
                  <c:v>45267</c:v>
                </c:pt>
                <c:pt idx="978">
                  <c:v>45268</c:v>
                </c:pt>
                <c:pt idx="979">
                  <c:v>45271</c:v>
                </c:pt>
                <c:pt idx="980">
                  <c:v>45272</c:v>
                </c:pt>
                <c:pt idx="981">
                  <c:v>45273</c:v>
                </c:pt>
                <c:pt idx="982">
                  <c:v>45274</c:v>
                </c:pt>
                <c:pt idx="983">
                  <c:v>45275</c:v>
                </c:pt>
                <c:pt idx="984">
                  <c:v>45278</c:v>
                </c:pt>
                <c:pt idx="985">
                  <c:v>45279</c:v>
                </c:pt>
                <c:pt idx="986">
                  <c:v>45280</c:v>
                </c:pt>
                <c:pt idx="987">
                  <c:v>45281</c:v>
                </c:pt>
                <c:pt idx="988">
                  <c:v>45282</c:v>
                </c:pt>
                <c:pt idx="989">
                  <c:v>45286</c:v>
                </c:pt>
                <c:pt idx="990">
                  <c:v>45287</c:v>
                </c:pt>
                <c:pt idx="991">
                  <c:v>45288</c:v>
                </c:pt>
                <c:pt idx="992">
                  <c:v>45289</c:v>
                </c:pt>
                <c:pt idx="993">
                  <c:v>45292</c:v>
                </c:pt>
                <c:pt idx="994">
                  <c:v>45293</c:v>
                </c:pt>
                <c:pt idx="995">
                  <c:v>45294</c:v>
                </c:pt>
                <c:pt idx="996">
                  <c:v>45295</c:v>
                </c:pt>
                <c:pt idx="997">
                  <c:v>45296</c:v>
                </c:pt>
                <c:pt idx="998">
                  <c:v>45299</c:v>
                </c:pt>
                <c:pt idx="999">
                  <c:v>45300</c:v>
                </c:pt>
                <c:pt idx="1000">
                  <c:v>45301</c:v>
                </c:pt>
                <c:pt idx="1001">
                  <c:v>45302</c:v>
                </c:pt>
                <c:pt idx="1002">
                  <c:v>45303</c:v>
                </c:pt>
                <c:pt idx="1003">
                  <c:v>45306</c:v>
                </c:pt>
                <c:pt idx="1004">
                  <c:v>45307</c:v>
                </c:pt>
                <c:pt idx="1005">
                  <c:v>45308</c:v>
                </c:pt>
                <c:pt idx="1006">
                  <c:v>45309</c:v>
                </c:pt>
                <c:pt idx="1007">
                  <c:v>45310</c:v>
                </c:pt>
                <c:pt idx="1008">
                  <c:v>45311</c:v>
                </c:pt>
                <c:pt idx="1009">
                  <c:v>45314</c:v>
                </c:pt>
                <c:pt idx="1010">
                  <c:v>45315</c:v>
                </c:pt>
                <c:pt idx="1011">
                  <c:v>45316</c:v>
                </c:pt>
                <c:pt idx="1012">
                  <c:v>45320</c:v>
                </c:pt>
                <c:pt idx="1013">
                  <c:v>45321</c:v>
                </c:pt>
                <c:pt idx="1014">
                  <c:v>45322</c:v>
                </c:pt>
                <c:pt idx="1015">
                  <c:v>45323</c:v>
                </c:pt>
                <c:pt idx="1016">
                  <c:v>45324</c:v>
                </c:pt>
                <c:pt idx="1017">
                  <c:v>45327</c:v>
                </c:pt>
                <c:pt idx="1018">
                  <c:v>45328</c:v>
                </c:pt>
                <c:pt idx="1019">
                  <c:v>45329</c:v>
                </c:pt>
                <c:pt idx="1020">
                  <c:v>45330</c:v>
                </c:pt>
                <c:pt idx="1021">
                  <c:v>45331</c:v>
                </c:pt>
                <c:pt idx="1022">
                  <c:v>45334</c:v>
                </c:pt>
                <c:pt idx="1023">
                  <c:v>45335</c:v>
                </c:pt>
                <c:pt idx="1024">
                  <c:v>45336</c:v>
                </c:pt>
                <c:pt idx="1025">
                  <c:v>45337</c:v>
                </c:pt>
                <c:pt idx="1026">
                  <c:v>45338</c:v>
                </c:pt>
                <c:pt idx="1027">
                  <c:v>45341</c:v>
                </c:pt>
                <c:pt idx="1028">
                  <c:v>45342</c:v>
                </c:pt>
                <c:pt idx="1029">
                  <c:v>45343</c:v>
                </c:pt>
                <c:pt idx="1030">
                  <c:v>45344</c:v>
                </c:pt>
                <c:pt idx="1031">
                  <c:v>45345</c:v>
                </c:pt>
                <c:pt idx="1032">
                  <c:v>45348</c:v>
                </c:pt>
                <c:pt idx="1033">
                  <c:v>45349</c:v>
                </c:pt>
                <c:pt idx="1034">
                  <c:v>45350</c:v>
                </c:pt>
                <c:pt idx="1035">
                  <c:v>45351</c:v>
                </c:pt>
                <c:pt idx="1036">
                  <c:v>45352</c:v>
                </c:pt>
                <c:pt idx="1037">
                  <c:v>45353</c:v>
                </c:pt>
                <c:pt idx="1038">
                  <c:v>45355</c:v>
                </c:pt>
                <c:pt idx="1039">
                  <c:v>45356</c:v>
                </c:pt>
                <c:pt idx="1040">
                  <c:v>45357</c:v>
                </c:pt>
                <c:pt idx="1041">
                  <c:v>45358</c:v>
                </c:pt>
                <c:pt idx="1042">
                  <c:v>45362</c:v>
                </c:pt>
                <c:pt idx="1043">
                  <c:v>45363</c:v>
                </c:pt>
                <c:pt idx="1044">
                  <c:v>45364</c:v>
                </c:pt>
                <c:pt idx="1045">
                  <c:v>45365</c:v>
                </c:pt>
                <c:pt idx="1046">
                  <c:v>45366</c:v>
                </c:pt>
                <c:pt idx="1047">
                  <c:v>45369</c:v>
                </c:pt>
                <c:pt idx="1048">
                  <c:v>45370</c:v>
                </c:pt>
                <c:pt idx="1049">
                  <c:v>45371</c:v>
                </c:pt>
                <c:pt idx="1050">
                  <c:v>45372</c:v>
                </c:pt>
                <c:pt idx="1051">
                  <c:v>45373</c:v>
                </c:pt>
                <c:pt idx="1052">
                  <c:v>45377</c:v>
                </c:pt>
                <c:pt idx="1053">
                  <c:v>45378</c:v>
                </c:pt>
                <c:pt idx="1054">
                  <c:v>45379</c:v>
                </c:pt>
                <c:pt idx="1055">
                  <c:v>45383</c:v>
                </c:pt>
                <c:pt idx="1056">
                  <c:v>45384</c:v>
                </c:pt>
                <c:pt idx="1057">
                  <c:v>45385</c:v>
                </c:pt>
                <c:pt idx="1058">
                  <c:v>45386</c:v>
                </c:pt>
                <c:pt idx="1059">
                  <c:v>45387</c:v>
                </c:pt>
                <c:pt idx="1060">
                  <c:v>45390</c:v>
                </c:pt>
                <c:pt idx="1061">
                  <c:v>45391</c:v>
                </c:pt>
                <c:pt idx="1062">
                  <c:v>45392</c:v>
                </c:pt>
                <c:pt idx="1063">
                  <c:v>45394</c:v>
                </c:pt>
                <c:pt idx="1064">
                  <c:v>45397</c:v>
                </c:pt>
                <c:pt idx="1065">
                  <c:v>45398</c:v>
                </c:pt>
                <c:pt idx="1066">
                  <c:v>45400</c:v>
                </c:pt>
                <c:pt idx="1067">
                  <c:v>45401</c:v>
                </c:pt>
                <c:pt idx="1068">
                  <c:v>45404</c:v>
                </c:pt>
                <c:pt idx="1069">
                  <c:v>45405</c:v>
                </c:pt>
                <c:pt idx="1070">
                  <c:v>45406</c:v>
                </c:pt>
                <c:pt idx="1071">
                  <c:v>45407</c:v>
                </c:pt>
                <c:pt idx="1072">
                  <c:v>45408</c:v>
                </c:pt>
                <c:pt idx="1073">
                  <c:v>45411</c:v>
                </c:pt>
                <c:pt idx="1074">
                  <c:v>45412</c:v>
                </c:pt>
                <c:pt idx="1075">
                  <c:v>45414</c:v>
                </c:pt>
                <c:pt idx="1076">
                  <c:v>45415</c:v>
                </c:pt>
                <c:pt idx="1077">
                  <c:v>45418</c:v>
                </c:pt>
                <c:pt idx="1078">
                  <c:v>45419</c:v>
                </c:pt>
                <c:pt idx="1079">
                  <c:v>45420</c:v>
                </c:pt>
                <c:pt idx="1080">
                  <c:v>45421</c:v>
                </c:pt>
                <c:pt idx="1081">
                  <c:v>45422</c:v>
                </c:pt>
                <c:pt idx="1082">
                  <c:v>45425</c:v>
                </c:pt>
                <c:pt idx="1083">
                  <c:v>45426</c:v>
                </c:pt>
                <c:pt idx="1084">
                  <c:v>45427</c:v>
                </c:pt>
                <c:pt idx="1085">
                  <c:v>45428</c:v>
                </c:pt>
                <c:pt idx="1086">
                  <c:v>45429</c:v>
                </c:pt>
                <c:pt idx="1087">
                  <c:v>45430</c:v>
                </c:pt>
                <c:pt idx="1088">
                  <c:v>45433</c:v>
                </c:pt>
                <c:pt idx="1089">
                  <c:v>45434</c:v>
                </c:pt>
                <c:pt idx="1090">
                  <c:v>45435</c:v>
                </c:pt>
                <c:pt idx="1091">
                  <c:v>45436</c:v>
                </c:pt>
                <c:pt idx="1092">
                  <c:v>45439</c:v>
                </c:pt>
                <c:pt idx="1093">
                  <c:v>45440</c:v>
                </c:pt>
                <c:pt idx="1094">
                  <c:v>45441</c:v>
                </c:pt>
                <c:pt idx="1095">
                  <c:v>45442</c:v>
                </c:pt>
                <c:pt idx="1096">
                  <c:v>45443</c:v>
                </c:pt>
                <c:pt idx="1097">
                  <c:v>45446</c:v>
                </c:pt>
                <c:pt idx="1098">
                  <c:v>45447</c:v>
                </c:pt>
                <c:pt idx="1099">
                  <c:v>45448</c:v>
                </c:pt>
                <c:pt idx="1100">
                  <c:v>45449</c:v>
                </c:pt>
                <c:pt idx="1101">
                  <c:v>45450</c:v>
                </c:pt>
                <c:pt idx="1102">
                  <c:v>45453</c:v>
                </c:pt>
                <c:pt idx="1103">
                  <c:v>45454</c:v>
                </c:pt>
                <c:pt idx="1104">
                  <c:v>45455</c:v>
                </c:pt>
                <c:pt idx="1105">
                  <c:v>45456</c:v>
                </c:pt>
                <c:pt idx="1106">
                  <c:v>45457</c:v>
                </c:pt>
                <c:pt idx="1107">
                  <c:v>45461</c:v>
                </c:pt>
                <c:pt idx="1108">
                  <c:v>45462</c:v>
                </c:pt>
                <c:pt idx="1109">
                  <c:v>45463</c:v>
                </c:pt>
                <c:pt idx="1110">
                  <c:v>45464</c:v>
                </c:pt>
                <c:pt idx="1111">
                  <c:v>45467</c:v>
                </c:pt>
                <c:pt idx="1112">
                  <c:v>45468</c:v>
                </c:pt>
                <c:pt idx="1113">
                  <c:v>45469</c:v>
                </c:pt>
                <c:pt idx="1114">
                  <c:v>45470</c:v>
                </c:pt>
                <c:pt idx="1115">
                  <c:v>45471</c:v>
                </c:pt>
                <c:pt idx="1116">
                  <c:v>45474</c:v>
                </c:pt>
                <c:pt idx="1117">
                  <c:v>45475</c:v>
                </c:pt>
                <c:pt idx="1118">
                  <c:v>45476</c:v>
                </c:pt>
                <c:pt idx="1119">
                  <c:v>45477</c:v>
                </c:pt>
                <c:pt idx="1120">
                  <c:v>45478</c:v>
                </c:pt>
                <c:pt idx="1121">
                  <c:v>45481</c:v>
                </c:pt>
                <c:pt idx="1122">
                  <c:v>45482</c:v>
                </c:pt>
                <c:pt idx="1123">
                  <c:v>45483</c:v>
                </c:pt>
                <c:pt idx="1124">
                  <c:v>45484</c:v>
                </c:pt>
                <c:pt idx="1125">
                  <c:v>45485</c:v>
                </c:pt>
                <c:pt idx="1126">
                  <c:v>45488</c:v>
                </c:pt>
                <c:pt idx="1127">
                  <c:v>45489</c:v>
                </c:pt>
                <c:pt idx="1128">
                  <c:v>45491</c:v>
                </c:pt>
                <c:pt idx="1129">
                  <c:v>45492</c:v>
                </c:pt>
                <c:pt idx="1130">
                  <c:v>45495</c:v>
                </c:pt>
                <c:pt idx="1131">
                  <c:v>45496</c:v>
                </c:pt>
                <c:pt idx="1132">
                  <c:v>45497</c:v>
                </c:pt>
                <c:pt idx="1133">
                  <c:v>45498</c:v>
                </c:pt>
                <c:pt idx="1134">
                  <c:v>45499</c:v>
                </c:pt>
                <c:pt idx="1135">
                  <c:v>45502</c:v>
                </c:pt>
                <c:pt idx="1136">
                  <c:v>45503</c:v>
                </c:pt>
                <c:pt idx="1137">
                  <c:v>45504</c:v>
                </c:pt>
                <c:pt idx="1138">
                  <c:v>45505</c:v>
                </c:pt>
                <c:pt idx="1139">
                  <c:v>45506</c:v>
                </c:pt>
                <c:pt idx="1140">
                  <c:v>45509</c:v>
                </c:pt>
                <c:pt idx="1141">
                  <c:v>45510</c:v>
                </c:pt>
                <c:pt idx="1142">
                  <c:v>45511</c:v>
                </c:pt>
                <c:pt idx="1143">
                  <c:v>45512</c:v>
                </c:pt>
                <c:pt idx="1144">
                  <c:v>45513</c:v>
                </c:pt>
                <c:pt idx="1145">
                  <c:v>45516</c:v>
                </c:pt>
                <c:pt idx="1146">
                  <c:v>45517</c:v>
                </c:pt>
                <c:pt idx="1147">
                  <c:v>45518</c:v>
                </c:pt>
                <c:pt idx="1148">
                  <c:v>45520</c:v>
                </c:pt>
                <c:pt idx="1149">
                  <c:v>45523</c:v>
                </c:pt>
                <c:pt idx="1150">
                  <c:v>45524</c:v>
                </c:pt>
                <c:pt idx="1151">
                  <c:v>45525</c:v>
                </c:pt>
                <c:pt idx="1152">
                  <c:v>45526</c:v>
                </c:pt>
                <c:pt idx="1153">
                  <c:v>45527</c:v>
                </c:pt>
                <c:pt idx="1154">
                  <c:v>45530</c:v>
                </c:pt>
                <c:pt idx="1155">
                  <c:v>45531</c:v>
                </c:pt>
                <c:pt idx="1156">
                  <c:v>45532</c:v>
                </c:pt>
                <c:pt idx="1157">
                  <c:v>45533</c:v>
                </c:pt>
                <c:pt idx="1158">
                  <c:v>45534</c:v>
                </c:pt>
                <c:pt idx="1159">
                  <c:v>45537</c:v>
                </c:pt>
                <c:pt idx="1160">
                  <c:v>45538</c:v>
                </c:pt>
                <c:pt idx="1161">
                  <c:v>45539</c:v>
                </c:pt>
                <c:pt idx="1162">
                  <c:v>45540</c:v>
                </c:pt>
                <c:pt idx="1163">
                  <c:v>45541</c:v>
                </c:pt>
                <c:pt idx="1164">
                  <c:v>45544</c:v>
                </c:pt>
                <c:pt idx="1165">
                  <c:v>45545</c:v>
                </c:pt>
                <c:pt idx="1166">
                  <c:v>45546</c:v>
                </c:pt>
                <c:pt idx="1167">
                  <c:v>45547</c:v>
                </c:pt>
                <c:pt idx="1168">
                  <c:v>45548</c:v>
                </c:pt>
                <c:pt idx="1169">
                  <c:v>45551</c:v>
                </c:pt>
                <c:pt idx="1170">
                  <c:v>45552</c:v>
                </c:pt>
                <c:pt idx="1171">
                  <c:v>45553</c:v>
                </c:pt>
                <c:pt idx="1172">
                  <c:v>45554</c:v>
                </c:pt>
                <c:pt idx="1173">
                  <c:v>45555</c:v>
                </c:pt>
                <c:pt idx="1174">
                  <c:v>45558</c:v>
                </c:pt>
                <c:pt idx="1175">
                  <c:v>45559</c:v>
                </c:pt>
                <c:pt idx="1176">
                  <c:v>45560</c:v>
                </c:pt>
                <c:pt idx="1177">
                  <c:v>45561</c:v>
                </c:pt>
                <c:pt idx="1178">
                  <c:v>45562</c:v>
                </c:pt>
                <c:pt idx="1179">
                  <c:v>45565</c:v>
                </c:pt>
                <c:pt idx="1180">
                  <c:v>45566</c:v>
                </c:pt>
                <c:pt idx="1181">
                  <c:v>45568</c:v>
                </c:pt>
                <c:pt idx="1182">
                  <c:v>45569</c:v>
                </c:pt>
                <c:pt idx="1183">
                  <c:v>45572</c:v>
                </c:pt>
                <c:pt idx="1184">
                  <c:v>45573</c:v>
                </c:pt>
                <c:pt idx="1185">
                  <c:v>45574</c:v>
                </c:pt>
                <c:pt idx="1186">
                  <c:v>45575</c:v>
                </c:pt>
                <c:pt idx="1187">
                  <c:v>45576</c:v>
                </c:pt>
                <c:pt idx="1188">
                  <c:v>45579</c:v>
                </c:pt>
                <c:pt idx="1189">
                  <c:v>45580</c:v>
                </c:pt>
                <c:pt idx="1190">
                  <c:v>45581</c:v>
                </c:pt>
                <c:pt idx="1191">
                  <c:v>45582</c:v>
                </c:pt>
                <c:pt idx="1192">
                  <c:v>45583</c:v>
                </c:pt>
                <c:pt idx="1193">
                  <c:v>45586</c:v>
                </c:pt>
                <c:pt idx="1194">
                  <c:v>45587</c:v>
                </c:pt>
                <c:pt idx="1195">
                  <c:v>45588</c:v>
                </c:pt>
                <c:pt idx="1196">
                  <c:v>45589</c:v>
                </c:pt>
                <c:pt idx="1197">
                  <c:v>45590</c:v>
                </c:pt>
                <c:pt idx="1198">
                  <c:v>45593</c:v>
                </c:pt>
                <c:pt idx="1199">
                  <c:v>45594</c:v>
                </c:pt>
                <c:pt idx="1200">
                  <c:v>45595</c:v>
                </c:pt>
                <c:pt idx="1201">
                  <c:v>45596</c:v>
                </c:pt>
                <c:pt idx="1202">
                  <c:v>45597</c:v>
                </c:pt>
                <c:pt idx="1203">
                  <c:v>45600</c:v>
                </c:pt>
                <c:pt idx="1204">
                  <c:v>45601</c:v>
                </c:pt>
                <c:pt idx="1205">
                  <c:v>45602</c:v>
                </c:pt>
                <c:pt idx="1206">
                  <c:v>45603</c:v>
                </c:pt>
                <c:pt idx="1207">
                  <c:v>45604</c:v>
                </c:pt>
                <c:pt idx="1208">
                  <c:v>45607</c:v>
                </c:pt>
                <c:pt idx="1209">
                  <c:v>45608</c:v>
                </c:pt>
                <c:pt idx="1210">
                  <c:v>45609</c:v>
                </c:pt>
                <c:pt idx="1211">
                  <c:v>45610</c:v>
                </c:pt>
                <c:pt idx="1212">
                  <c:v>45614</c:v>
                </c:pt>
                <c:pt idx="1213">
                  <c:v>45615</c:v>
                </c:pt>
                <c:pt idx="1214">
                  <c:v>45617</c:v>
                </c:pt>
                <c:pt idx="1215">
                  <c:v>45618</c:v>
                </c:pt>
                <c:pt idx="1216">
                  <c:v>45621</c:v>
                </c:pt>
                <c:pt idx="1217">
                  <c:v>45622</c:v>
                </c:pt>
                <c:pt idx="1218">
                  <c:v>45623</c:v>
                </c:pt>
                <c:pt idx="1219">
                  <c:v>45624</c:v>
                </c:pt>
                <c:pt idx="1220">
                  <c:v>45625</c:v>
                </c:pt>
                <c:pt idx="1221">
                  <c:v>45628</c:v>
                </c:pt>
                <c:pt idx="1222">
                  <c:v>45629</c:v>
                </c:pt>
                <c:pt idx="1223">
                  <c:v>45630</c:v>
                </c:pt>
                <c:pt idx="1224">
                  <c:v>45631</c:v>
                </c:pt>
                <c:pt idx="1225">
                  <c:v>45632</c:v>
                </c:pt>
                <c:pt idx="1226">
                  <c:v>45635</c:v>
                </c:pt>
                <c:pt idx="1227">
                  <c:v>45636</c:v>
                </c:pt>
                <c:pt idx="1228">
                  <c:v>45637</c:v>
                </c:pt>
                <c:pt idx="1229">
                  <c:v>45638</c:v>
                </c:pt>
                <c:pt idx="1230">
                  <c:v>45639</c:v>
                </c:pt>
                <c:pt idx="1231">
                  <c:v>45642</c:v>
                </c:pt>
                <c:pt idx="1232">
                  <c:v>45643</c:v>
                </c:pt>
                <c:pt idx="1233">
                  <c:v>45644</c:v>
                </c:pt>
                <c:pt idx="1234">
                  <c:v>45645</c:v>
                </c:pt>
                <c:pt idx="1235">
                  <c:v>45646</c:v>
                </c:pt>
                <c:pt idx="1236">
                  <c:v>45649</c:v>
                </c:pt>
                <c:pt idx="1237">
                  <c:v>45650</c:v>
                </c:pt>
                <c:pt idx="1238">
                  <c:v>45652</c:v>
                </c:pt>
                <c:pt idx="1239">
                  <c:v>45653</c:v>
                </c:pt>
                <c:pt idx="1240">
                  <c:v>45656</c:v>
                </c:pt>
                <c:pt idx="1241">
                  <c:v>45657</c:v>
                </c:pt>
                <c:pt idx="1242">
                  <c:v>45658</c:v>
                </c:pt>
                <c:pt idx="1243">
                  <c:v>45659</c:v>
                </c:pt>
                <c:pt idx="1244">
                  <c:v>45660</c:v>
                </c:pt>
                <c:pt idx="1245">
                  <c:v>45663</c:v>
                </c:pt>
                <c:pt idx="1246">
                  <c:v>45664</c:v>
                </c:pt>
                <c:pt idx="1247">
                  <c:v>45665</c:v>
                </c:pt>
                <c:pt idx="1248">
                  <c:v>45666</c:v>
                </c:pt>
                <c:pt idx="1249">
                  <c:v>45667</c:v>
                </c:pt>
                <c:pt idx="1250">
                  <c:v>45670</c:v>
                </c:pt>
                <c:pt idx="1251">
                  <c:v>45671</c:v>
                </c:pt>
                <c:pt idx="1252">
                  <c:v>45672</c:v>
                </c:pt>
                <c:pt idx="1253">
                  <c:v>45673</c:v>
                </c:pt>
                <c:pt idx="1254">
                  <c:v>45674</c:v>
                </c:pt>
                <c:pt idx="1255">
                  <c:v>45677</c:v>
                </c:pt>
                <c:pt idx="1256">
                  <c:v>45678</c:v>
                </c:pt>
                <c:pt idx="1257">
                  <c:v>45679</c:v>
                </c:pt>
                <c:pt idx="1258">
                  <c:v>45680</c:v>
                </c:pt>
                <c:pt idx="1259">
                  <c:v>45681</c:v>
                </c:pt>
                <c:pt idx="1260">
                  <c:v>45684</c:v>
                </c:pt>
                <c:pt idx="1261">
                  <c:v>45685</c:v>
                </c:pt>
                <c:pt idx="1262">
                  <c:v>45686</c:v>
                </c:pt>
                <c:pt idx="1263">
                  <c:v>45687</c:v>
                </c:pt>
                <c:pt idx="1264">
                  <c:v>45688</c:v>
                </c:pt>
                <c:pt idx="1265">
                  <c:v>45689</c:v>
                </c:pt>
                <c:pt idx="1266">
                  <c:v>45691</c:v>
                </c:pt>
                <c:pt idx="1267">
                  <c:v>45692</c:v>
                </c:pt>
                <c:pt idx="1268">
                  <c:v>45693</c:v>
                </c:pt>
                <c:pt idx="1269">
                  <c:v>45694</c:v>
                </c:pt>
                <c:pt idx="1270">
                  <c:v>45695</c:v>
                </c:pt>
                <c:pt idx="1271">
                  <c:v>45698</c:v>
                </c:pt>
                <c:pt idx="1272">
                  <c:v>45699</c:v>
                </c:pt>
                <c:pt idx="1273">
                  <c:v>45700</c:v>
                </c:pt>
                <c:pt idx="1274">
                  <c:v>45701</c:v>
                </c:pt>
                <c:pt idx="1275">
                  <c:v>45702</c:v>
                </c:pt>
                <c:pt idx="1276">
                  <c:v>45705</c:v>
                </c:pt>
                <c:pt idx="1277">
                  <c:v>45706</c:v>
                </c:pt>
                <c:pt idx="1278">
                  <c:v>45707</c:v>
                </c:pt>
                <c:pt idx="1279">
                  <c:v>45708</c:v>
                </c:pt>
                <c:pt idx="1280">
                  <c:v>45709</c:v>
                </c:pt>
                <c:pt idx="1281">
                  <c:v>45712</c:v>
                </c:pt>
                <c:pt idx="1282">
                  <c:v>45713</c:v>
                </c:pt>
                <c:pt idx="1283">
                  <c:v>45715</c:v>
                </c:pt>
                <c:pt idx="1284">
                  <c:v>45716</c:v>
                </c:pt>
                <c:pt idx="1285">
                  <c:v>45719</c:v>
                </c:pt>
                <c:pt idx="1286">
                  <c:v>45720</c:v>
                </c:pt>
                <c:pt idx="1287">
                  <c:v>45721</c:v>
                </c:pt>
                <c:pt idx="1288">
                  <c:v>45722</c:v>
                </c:pt>
                <c:pt idx="1289">
                  <c:v>45723</c:v>
                </c:pt>
                <c:pt idx="1290">
                  <c:v>45726</c:v>
                </c:pt>
                <c:pt idx="1291">
                  <c:v>45727</c:v>
                </c:pt>
                <c:pt idx="1292">
                  <c:v>45728</c:v>
                </c:pt>
                <c:pt idx="1293">
                  <c:v>45729</c:v>
                </c:pt>
                <c:pt idx="1294">
                  <c:v>45733</c:v>
                </c:pt>
                <c:pt idx="1295">
                  <c:v>45734</c:v>
                </c:pt>
                <c:pt idx="1296">
                  <c:v>45735</c:v>
                </c:pt>
                <c:pt idx="1297">
                  <c:v>45736</c:v>
                </c:pt>
                <c:pt idx="1298">
                  <c:v>45737</c:v>
                </c:pt>
                <c:pt idx="1299">
                  <c:v>45740</c:v>
                </c:pt>
                <c:pt idx="1300">
                  <c:v>45741</c:v>
                </c:pt>
                <c:pt idx="1301">
                  <c:v>45742</c:v>
                </c:pt>
                <c:pt idx="1302">
                  <c:v>45743</c:v>
                </c:pt>
                <c:pt idx="1303">
                  <c:v>45744</c:v>
                </c:pt>
                <c:pt idx="1304">
                  <c:v>45748</c:v>
                </c:pt>
                <c:pt idx="1305">
                  <c:v>45749</c:v>
                </c:pt>
                <c:pt idx="1306">
                  <c:v>45750</c:v>
                </c:pt>
                <c:pt idx="1307">
                  <c:v>45751</c:v>
                </c:pt>
                <c:pt idx="1308">
                  <c:v>45754</c:v>
                </c:pt>
                <c:pt idx="1309">
                  <c:v>45755</c:v>
                </c:pt>
                <c:pt idx="1310">
                  <c:v>45756</c:v>
                </c:pt>
                <c:pt idx="1311">
                  <c:v>45758</c:v>
                </c:pt>
                <c:pt idx="1312">
                  <c:v>45762</c:v>
                </c:pt>
                <c:pt idx="1313">
                  <c:v>45763</c:v>
                </c:pt>
                <c:pt idx="1314">
                  <c:v>45764</c:v>
                </c:pt>
                <c:pt idx="1315">
                  <c:v>45768</c:v>
                </c:pt>
                <c:pt idx="1316">
                  <c:v>45769</c:v>
                </c:pt>
                <c:pt idx="1317">
                  <c:v>45770</c:v>
                </c:pt>
                <c:pt idx="1318">
                  <c:v>45771</c:v>
                </c:pt>
                <c:pt idx="1319">
                  <c:v>45772</c:v>
                </c:pt>
                <c:pt idx="1320">
                  <c:v>45775</c:v>
                </c:pt>
                <c:pt idx="1321">
                  <c:v>45776</c:v>
                </c:pt>
                <c:pt idx="1322">
                  <c:v>45777</c:v>
                </c:pt>
                <c:pt idx="1323">
                  <c:v>45779</c:v>
                </c:pt>
                <c:pt idx="1324">
                  <c:v>45782</c:v>
                </c:pt>
                <c:pt idx="1325">
                  <c:v>45783</c:v>
                </c:pt>
                <c:pt idx="1326">
                  <c:v>45784</c:v>
                </c:pt>
                <c:pt idx="1327">
                  <c:v>45785</c:v>
                </c:pt>
                <c:pt idx="1328">
                  <c:v>45786</c:v>
                </c:pt>
                <c:pt idx="1329">
                  <c:v>45789</c:v>
                </c:pt>
                <c:pt idx="1330">
                  <c:v>45790</c:v>
                </c:pt>
                <c:pt idx="1331">
                  <c:v>45791</c:v>
                </c:pt>
                <c:pt idx="1332">
                  <c:v>45792</c:v>
                </c:pt>
                <c:pt idx="1333">
                  <c:v>45793</c:v>
                </c:pt>
                <c:pt idx="1334">
                  <c:v>45796</c:v>
                </c:pt>
                <c:pt idx="1335">
                  <c:v>45797</c:v>
                </c:pt>
                <c:pt idx="1336">
                  <c:v>45798</c:v>
                </c:pt>
                <c:pt idx="1337">
                  <c:v>45799</c:v>
                </c:pt>
                <c:pt idx="1338">
                  <c:v>45800</c:v>
                </c:pt>
                <c:pt idx="1339">
                  <c:v>45803</c:v>
                </c:pt>
                <c:pt idx="1340">
                  <c:v>45804</c:v>
                </c:pt>
                <c:pt idx="1341">
                  <c:v>45805</c:v>
                </c:pt>
                <c:pt idx="1342">
                  <c:v>45806</c:v>
                </c:pt>
                <c:pt idx="1343">
                  <c:v>45807</c:v>
                </c:pt>
                <c:pt idx="1344">
                  <c:v>45810</c:v>
                </c:pt>
                <c:pt idx="1345">
                  <c:v>45811</c:v>
                </c:pt>
                <c:pt idx="1346">
                  <c:v>45812</c:v>
                </c:pt>
                <c:pt idx="1347">
                  <c:v>45813</c:v>
                </c:pt>
                <c:pt idx="1348">
                  <c:v>45814</c:v>
                </c:pt>
                <c:pt idx="1349">
                  <c:v>45817</c:v>
                </c:pt>
                <c:pt idx="1350">
                  <c:v>45818</c:v>
                </c:pt>
                <c:pt idx="1351">
                  <c:v>45819</c:v>
                </c:pt>
                <c:pt idx="1352">
                  <c:v>45820</c:v>
                </c:pt>
                <c:pt idx="1353">
                  <c:v>45821</c:v>
                </c:pt>
                <c:pt idx="1354">
                  <c:v>45824</c:v>
                </c:pt>
                <c:pt idx="1355">
                  <c:v>45825</c:v>
                </c:pt>
                <c:pt idx="1356">
                  <c:v>45826</c:v>
                </c:pt>
                <c:pt idx="1357">
                  <c:v>45827</c:v>
                </c:pt>
                <c:pt idx="1358">
                  <c:v>45828</c:v>
                </c:pt>
                <c:pt idx="1359">
                  <c:v>45831</c:v>
                </c:pt>
                <c:pt idx="1360">
                  <c:v>45832</c:v>
                </c:pt>
                <c:pt idx="1361">
                  <c:v>45833</c:v>
                </c:pt>
                <c:pt idx="1362">
                  <c:v>45834</c:v>
                </c:pt>
                <c:pt idx="1363">
                  <c:v>45835</c:v>
                </c:pt>
                <c:pt idx="1364">
                  <c:v>45838</c:v>
                </c:pt>
                <c:pt idx="1365">
                  <c:v>45839</c:v>
                </c:pt>
                <c:pt idx="1366">
                  <c:v>45840</c:v>
                </c:pt>
                <c:pt idx="1367">
                  <c:v>45841</c:v>
                </c:pt>
                <c:pt idx="1368">
                  <c:v>45842</c:v>
                </c:pt>
                <c:pt idx="1369">
                  <c:v>45845</c:v>
                </c:pt>
                <c:pt idx="1370">
                  <c:v>45846</c:v>
                </c:pt>
                <c:pt idx="1371">
                  <c:v>45847</c:v>
                </c:pt>
                <c:pt idx="1372">
                  <c:v>45848</c:v>
                </c:pt>
                <c:pt idx="1373">
                  <c:v>45849</c:v>
                </c:pt>
                <c:pt idx="1374">
                  <c:v>45852</c:v>
                </c:pt>
                <c:pt idx="1375">
                  <c:v>45853</c:v>
                </c:pt>
                <c:pt idx="1376">
                  <c:v>45854</c:v>
                </c:pt>
                <c:pt idx="1377">
                  <c:v>45855</c:v>
                </c:pt>
                <c:pt idx="1378">
                  <c:v>45856</c:v>
                </c:pt>
                <c:pt idx="1379">
                  <c:v>45859</c:v>
                </c:pt>
                <c:pt idx="1380">
                  <c:v>45860</c:v>
                </c:pt>
                <c:pt idx="1381">
                  <c:v>45861</c:v>
                </c:pt>
                <c:pt idx="1382">
                  <c:v>45862</c:v>
                </c:pt>
                <c:pt idx="1383">
                  <c:v>45863</c:v>
                </c:pt>
                <c:pt idx="1384">
                  <c:v>45866</c:v>
                </c:pt>
                <c:pt idx="1385">
                  <c:v>45867</c:v>
                </c:pt>
                <c:pt idx="1386">
                  <c:v>45868</c:v>
                </c:pt>
                <c:pt idx="1387">
                  <c:v>45869</c:v>
                </c:pt>
                <c:pt idx="1388">
                  <c:v>45870</c:v>
                </c:pt>
                <c:pt idx="1389">
                  <c:v>45873</c:v>
                </c:pt>
                <c:pt idx="1390">
                  <c:v>45874</c:v>
                </c:pt>
                <c:pt idx="1391">
                  <c:v>45875</c:v>
                </c:pt>
                <c:pt idx="1392">
                  <c:v>45876</c:v>
                </c:pt>
                <c:pt idx="1393">
                  <c:v>45877</c:v>
                </c:pt>
                <c:pt idx="1394">
                  <c:v>45880</c:v>
                </c:pt>
                <c:pt idx="1395">
                  <c:v>45881</c:v>
                </c:pt>
                <c:pt idx="1396">
                  <c:v>45882</c:v>
                </c:pt>
                <c:pt idx="1397">
                  <c:v>45883</c:v>
                </c:pt>
                <c:pt idx="1398">
                  <c:v>45887</c:v>
                </c:pt>
                <c:pt idx="1399">
                  <c:v>45888</c:v>
                </c:pt>
                <c:pt idx="1400">
                  <c:v>45889</c:v>
                </c:pt>
                <c:pt idx="1401">
                  <c:v>45890</c:v>
                </c:pt>
                <c:pt idx="1402">
                  <c:v>45891</c:v>
                </c:pt>
                <c:pt idx="1403">
                  <c:v>45894</c:v>
                </c:pt>
                <c:pt idx="1404">
                  <c:v>45895</c:v>
                </c:pt>
                <c:pt idx="1405">
                  <c:v>45897</c:v>
                </c:pt>
                <c:pt idx="1406">
                  <c:v>45898</c:v>
                </c:pt>
                <c:pt idx="1407">
                  <c:v>45901</c:v>
                </c:pt>
                <c:pt idx="1408">
                  <c:v>45902</c:v>
                </c:pt>
                <c:pt idx="1409">
                  <c:v>45903</c:v>
                </c:pt>
                <c:pt idx="1410">
                  <c:v>45904</c:v>
                </c:pt>
                <c:pt idx="1411">
                  <c:v>45905</c:v>
                </c:pt>
                <c:pt idx="1412">
                  <c:v>45908</c:v>
                </c:pt>
                <c:pt idx="1413">
                  <c:v>45909</c:v>
                </c:pt>
                <c:pt idx="1414">
                  <c:v>45910</c:v>
                </c:pt>
                <c:pt idx="1415">
                  <c:v>45911</c:v>
                </c:pt>
                <c:pt idx="1416">
                  <c:v>45912</c:v>
                </c:pt>
                <c:pt idx="1417">
                  <c:v>45915</c:v>
                </c:pt>
                <c:pt idx="1418">
                  <c:v>45916</c:v>
                </c:pt>
                <c:pt idx="1419">
                  <c:v>45917</c:v>
                </c:pt>
                <c:pt idx="1420">
                  <c:v>45918</c:v>
                </c:pt>
                <c:pt idx="1421">
                  <c:v>45919</c:v>
                </c:pt>
                <c:pt idx="1422">
                  <c:v>45922</c:v>
                </c:pt>
                <c:pt idx="1423">
                  <c:v>45923</c:v>
                </c:pt>
                <c:pt idx="1424">
                  <c:v>45924</c:v>
                </c:pt>
                <c:pt idx="1425">
                  <c:v>45925</c:v>
                </c:pt>
                <c:pt idx="1426">
                  <c:v>45926</c:v>
                </c:pt>
                <c:pt idx="1427">
                  <c:v>45929</c:v>
                </c:pt>
                <c:pt idx="1428">
                  <c:v>45930</c:v>
                </c:pt>
                <c:pt idx="1429">
                  <c:v>45931</c:v>
                </c:pt>
                <c:pt idx="1430">
                  <c:v>45933</c:v>
                </c:pt>
                <c:pt idx="1431">
                  <c:v>45936</c:v>
                </c:pt>
                <c:pt idx="1432">
                  <c:v>45937</c:v>
                </c:pt>
                <c:pt idx="1433">
                  <c:v>45938</c:v>
                </c:pt>
                <c:pt idx="1434">
                  <c:v>45939</c:v>
                </c:pt>
                <c:pt idx="1435">
                  <c:v>45940</c:v>
                </c:pt>
                <c:pt idx="1436">
                  <c:v>45943</c:v>
                </c:pt>
                <c:pt idx="1437">
                  <c:v>45944</c:v>
                </c:pt>
                <c:pt idx="1438">
                  <c:v>45945</c:v>
                </c:pt>
                <c:pt idx="1439">
                  <c:v>45946</c:v>
                </c:pt>
                <c:pt idx="1440">
                  <c:v>45947</c:v>
                </c:pt>
                <c:pt idx="1441">
                  <c:v>45950</c:v>
                </c:pt>
                <c:pt idx="1442">
                  <c:v>45951</c:v>
                </c:pt>
                <c:pt idx="1443">
                  <c:v>45953</c:v>
                </c:pt>
                <c:pt idx="1444">
                  <c:v>45954</c:v>
                </c:pt>
                <c:pt idx="1445">
                  <c:v>45957</c:v>
                </c:pt>
                <c:pt idx="1446">
                  <c:v>45958</c:v>
                </c:pt>
                <c:pt idx="1447">
                  <c:v>45959</c:v>
                </c:pt>
                <c:pt idx="1448">
                  <c:v>45960</c:v>
                </c:pt>
                <c:pt idx="1449">
                  <c:v>45961</c:v>
                </c:pt>
                <c:pt idx="1450">
                  <c:v>45964</c:v>
                </c:pt>
                <c:pt idx="1451">
                  <c:v>45965</c:v>
                </c:pt>
                <c:pt idx="1452">
                  <c:v>45967</c:v>
                </c:pt>
                <c:pt idx="1453">
                  <c:v>45968</c:v>
                </c:pt>
                <c:pt idx="1454">
                  <c:v>45971</c:v>
                </c:pt>
                <c:pt idx="1455">
                  <c:v>45972</c:v>
                </c:pt>
                <c:pt idx="1456">
                  <c:v>45973</c:v>
                </c:pt>
                <c:pt idx="1457">
                  <c:v>45974</c:v>
                </c:pt>
                <c:pt idx="1458">
                  <c:v>45975</c:v>
                </c:pt>
                <c:pt idx="1459">
                  <c:v>45978</c:v>
                </c:pt>
                <c:pt idx="1460">
                  <c:v>45979</c:v>
                </c:pt>
                <c:pt idx="1461">
                  <c:v>45980</c:v>
                </c:pt>
                <c:pt idx="1462">
                  <c:v>45981</c:v>
                </c:pt>
                <c:pt idx="1463">
                  <c:v>45982</c:v>
                </c:pt>
                <c:pt idx="1464">
                  <c:v>45985</c:v>
                </c:pt>
                <c:pt idx="1465">
                  <c:v>45986</c:v>
                </c:pt>
                <c:pt idx="1466">
                  <c:v>45987</c:v>
                </c:pt>
                <c:pt idx="1467">
                  <c:v>45988</c:v>
                </c:pt>
                <c:pt idx="1468">
                  <c:v>45989</c:v>
                </c:pt>
                <c:pt idx="1469">
                  <c:v>45992</c:v>
                </c:pt>
                <c:pt idx="1470">
                  <c:v>45993</c:v>
                </c:pt>
                <c:pt idx="1471">
                  <c:v>45994</c:v>
                </c:pt>
                <c:pt idx="1472">
                  <c:v>45995</c:v>
                </c:pt>
                <c:pt idx="1473">
                  <c:v>45996</c:v>
                </c:pt>
                <c:pt idx="1474">
                  <c:v>45999</c:v>
                </c:pt>
                <c:pt idx="1475">
                  <c:v>46000</c:v>
                </c:pt>
                <c:pt idx="1476">
                  <c:v>46001</c:v>
                </c:pt>
                <c:pt idx="1477">
                  <c:v>46002</c:v>
                </c:pt>
                <c:pt idx="1478">
                  <c:v>46003</c:v>
                </c:pt>
                <c:pt idx="1479">
                  <c:v>46006</c:v>
                </c:pt>
                <c:pt idx="1480">
                  <c:v>46007</c:v>
                </c:pt>
                <c:pt idx="1481">
                  <c:v>46008</c:v>
                </c:pt>
                <c:pt idx="1482">
                  <c:v>46009</c:v>
                </c:pt>
                <c:pt idx="1483">
                  <c:v>46010</c:v>
                </c:pt>
                <c:pt idx="1484">
                  <c:v>46013</c:v>
                </c:pt>
                <c:pt idx="1485">
                  <c:v>46014</c:v>
                </c:pt>
                <c:pt idx="1486">
                  <c:v>46015</c:v>
                </c:pt>
                <c:pt idx="1487">
                  <c:v>46017</c:v>
                </c:pt>
                <c:pt idx="1488">
                  <c:v>46020</c:v>
                </c:pt>
                <c:pt idx="1489">
                  <c:v>46021</c:v>
                </c:pt>
                <c:pt idx="1490">
                  <c:v>46022</c:v>
                </c:pt>
                <c:pt idx="1491">
                  <c:v>46023</c:v>
                </c:pt>
                <c:pt idx="1492">
                  <c:v>46024</c:v>
                </c:pt>
                <c:pt idx="1493">
                  <c:v>46027</c:v>
                </c:pt>
                <c:pt idx="1494">
                  <c:v>46028</c:v>
                </c:pt>
                <c:pt idx="1495">
                  <c:v>46029</c:v>
                </c:pt>
                <c:pt idx="1496">
                  <c:v>46030</c:v>
                </c:pt>
                <c:pt idx="1497">
                  <c:v>46031</c:v>
                </c:pt>
                <c:pt idx="1498">
                  <c:v>46034</c:v>
                </c:pt>
                <c:pt idx="1499">
                  <c:v>46035</c:v>
                </c:pt>
                <c:pt idx="1500">
                  <c:v>46036</c:v>
                </c:pt>
                <c:pt idx="1501">
                  <c:v>46038</c:v>
                </c:pt>
                <c:pt idx="1502">
                  <c:v>46041</c:v>
                </c:pt>
                <c:pt idx="1503">
                  <c:v>46042</c:v>
                </c:pt>
                <c:pt idx="1504">
                  <c:v>46043</c:v>
                </c:pt>
                <c:pt idx="1505">
                  <c:v>46044</c:v>
                </c:pt>
                <c:pt idx="1506">
                  <c:v>46045</c:v>
                </c:pt>
                <c:pt idx="1507">
                  <c:v>46049</c:v>
                </c:pt>
                <c:pt idx="1508">
                  <c:v>46050</c:v>
                </c:pt>
                <c:pt idx="1509">
                  <c:v>46051</c:v>
                </c:pt>
                <c:pt idx="1510">
                  <c:v>46052</c:v>
                </c:pt>
                <c:pt idx="1511">
                  <c:v>46054</c:v>
                </c:pt>
                <c:pt idx="1512">
                  <c:v>46055</c:v>
                </c:pt>
                <c:pt idx="1513">
                  <c:v>46056</c:v>
                </c:pt>
                <c:pt idx="1514">
                  <c:v>46057</c:v>
                </c:pt>
                <c:pt idx="1515">
                  <c:v>46058</c:v>
                </c:pt>
                <c:pt idx="1516">
                  <c:v>46059</c:v>
                </c:pt>
                <c:pt idx="1517">
                  <c:v>46062</c:v>
                </c:pt>
                <c:pt idx="1518">
                  <c:v>46063</c:v>
                </c:pt>
                <c:pt idx="1519">
                  <c:v>46064</c:v>
                </c:pt>
                <c:pt idx="1520">
                  <c:v>46065</c:v>
                </c:pt>
                <c:pt idx="1521">
                  <c:v>46066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2E-442E-87F5-FD765D311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79312"/>
        <c:axId val="152572112"/>
      </c:lineChart>
      <c:catAx>
        <c:axId val="15257931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2572112"/>
        <c:crosses val="autoZero"/>
        <c:auto val="1"/>
        <c:lblAlgn val="ctr"/>
        <c:lblOffset val="100"/>
        <c:noMultiLvlLbl val="0"/>
      </c:catAx>
      <c:valAx>
        <c:axId val="152572112"/>
        <c:scaling>
          <c:orientation val="minMax"/>
        </c:scaling>
        <c:delete val="1"/>
        <c:axPos val="l"/>
        <c:numFmt formatCode="#,##0.0" sourceLinked="0"/>
        <c:majorTickMark val="none"/>
        <c:minorTickMark val="none"/>
        <c:tickLblPos val="nextTo"/>
        <c:crossAx val="152579312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6835138881139"/>
          <c:y val="4.5706366206473031E-2"/>
          <c:w val="0.79190469367253691"/>
          <c:h val="0.70024279666687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Forcasting '!$D$11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'Revenue Forcasting '!$B$12:$C$28</c:f>
              <c:multiLvlStrCache>
                <c:ptCount val="16"/>
                <c:lvl>
                  <c:pt idx="0">
                    <c:v>Mar-16A</c:v>
                  </c:pt>
                  <c:pt idx="1">
                    <c:v>Mar-17A</c:v>
                  </c:pt>
                  <c:pt idx="2">
                    <c:v>Mar-18A</c:v>
                  </c:pt>
                  <c:pt idx="3">
                    <c:v>Mar-19A</c:v>
                  </c:pt>
                  <c:pt idx="4">
                    <c:v>Mar-20A</c:v>
                  </c:pt>
                  <c:pt idx="5">
                    <c:v>Mar-21A</c:v>
                  </c:pt>
                  <c:pt idx="6">
                    <c:v>Mar-22A</c:v>
                  </c:pt>
                  <c:pt idx="7">
                    <c:v>Mar-23A</c:v>
                  </c:pt>
                  <c:pt idx="8">
                    <c:v>Mar-24A</c:v>
                  </c:pt>
                  <c:pt idx="9">
                    <c:v>Mar-25A</c:v>
                  </c:pt>
                  <c:pt idx="10">
                    <c:v>Mar-26F</c:v>
                  </c:pt>
                  <c:pt idx="11">
                    <c:v>Mar-27F</c:v>
                  </c:pt>
                  <c:pt idx="12">
                    <c:v>Mar-28F</c:v>
                  </c:pt>
                  <c:pt idx="13">
                    <c:v>Mar-29F</c:v>
                  </c:pt>
                  <c:pt idx="14">
                    <c:v>Mar-30F</c:v>
                  </c:pt>
                  <c:pt idx="15">
                    <c:v>Mar-31F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'Revenue Forcasting '!$D$12:$D$28</c:f>
              <c:numCache>
                <c:formatCode>#,##0.0</c:formatCode>
                <c:ptCount val="17"/>
                <c:pt idx="0">
                  <c:v>6173.46</c:v>
                </c:pt>
                <c:pt idx="1">
                  <c:v>7033.36</c:v>
                </c:pt>
                <c:pt idx="2">
                  <c:v>8964.9599999999991</c:v>
                </c:pt>
                <c:pt idx="3">
                  <c:v>9797.06</c:v>
                </c:pt>
                <c:pt idx="4">
                  <c:v>9153.58</c:v>
                </c:pt>
                <c:pt idx="5">
                  <c:v>8720.35</c:v>
                </c:pt>
                <c:pt idx="6">
                  <c:v>10297.83</c:v>
                </c:pt>
                <c:pt idx="7">
                  <c:v>14442.18</c:v>
                </c:pt>
                <c:pt idx="8">
                  <c:v>16535.78</c:v>
                </c:pt>
                <c:pt idx="9">
                  <c:v>18870.349999999999</c:v>
                </c:pt>
                <c:pt idx="10">
                  <c:v>17973.695333333333</c:v>
                </c:pt>
                <c:pt idx="11">
                  <c:v>19241.841575757575</c:v>
                </c:pt>
                <c:pt idx="12">
                  <c:v>20509.987818181817</c:v>
                </c:pt>
                <c:pt idx="13">
                  <c:v>21778.134060606062</c:v>
                </c:pt>
                <c:pt idx="14">
                  <c:v>23046.280303030304</c:v>
                </c:pt>
                <c:pt idx="15">
                  <c:v>24314.426545454546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B-476C-87A6-F31084783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020175"/>
        <c:axId val="497020655"/>
      </c:barChart>
      <c:lineChart>
        <c:grouping val="standard"/>
        <c:varyColors val="0"/>
        <c:ser>
          <c:idx val="1"/>
          <c:order val="1"/>
          <c:tx>
            <c:strRef>
              <c:f>'Revenue Forcasting '!$E$11</c:f>
              <c:strCache>
                <c:ptCount val="1"/>
                <c:pt idx="0">
                  <c:v>Sales Growt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'Revenue Forcasting '!$B$12:$C$28</c:f>
              <c:multiLvlStrCache>
                <c:ptCount val="16"/>
                <c:lvl>
                  <c:pt idx="0">
                    <c:v>Mar-16A</c:v>
                  </c:pt>
                  <c:pt idx="1">
                    <c:v>Mar-17A</c:v>
                  </c:pt>
                  <c:pt idx="2">
                    <c:v>Mar-18A</c:v>
                  </c:pt>
                  <c:pt idx="3">
                    <c:v>Mar-19A</c:v>
                  </c:pt>
                  <c:pt idx="4">
                    <c:v>Mar-20A</c:v>
                  </c:pt>
                  <c:pt idx="5">
                    <c:v>Mar-21A</c:v>
                  </c:pt>
                  <c:pt idx="6">
                    <c:v>Mar-22A</c:v>
                  </c:pt>
                  <c:pt idx="7">
                    <c:v>Mar-23A</c:v>
                  </c:pt>
                  <c:pt idx="8">
                    <c:v>Mar-24A</c:v>
                  </c:pt>
                  <c:pt idx="9">
                    <c:v>Mar-25A</c:v>
                  </c:pt>
                  <c:pt idx="10">
                    <c:v>Mar-26F</c:v>
                  </c:pt>
                  <c:pt idx="11">
                    <c:v>Mar-27F</c:v>
                  </c:pt>
                  <c:pt idx="12">
                    <c:v>Mar-28F</c:v>
                  </c:pt>
                  <c:pt idx="13">
                    <c:v>Mar-29F</c:v>
                  </c:pt>
                  <c:pt idx="14">
                    <c:v>Mar-30F</c:v>
                  </c:pt>
                  <c:pt idx="15">
                    <c:v>Mar-31F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'Revenue Forcasting '!$E$12:$E$28</c:f>
              <c:numCache>
                <c:formatCode>0.00%</c:formatCode>
                <c:ptCount val="17"/>
                <c:pt idx="1">
                  <c:v>0.13928979858944568</c:v>
                </c:pt>
                <c:pt idx="2">
                  <c:v>0.27463402982358365</c:v>
                </c:pt>
                <c:pt idx="3">
                  <c:v>9.2816922774892507E-2</c:v>
                </c:pt>
                <c:pt idx="4">
                  <c:v>-6.568092876842635E-2</c:v>
                </c:pt>
                <c:pt idx="5">
                  <c:v>-4.732902318000165E-2</c:v>
                </c:pt>
                <c:pt idx="6">
                  <c:v>0.18089640897441028</c:v>
                </c:pt>
                <c:pt idx="7">
                  <c:v>0.40244886544058311</c:v>
                </c:pt>
                <c:pt idx="8">
                  <c:v>0.14496426439775711</c:v>
                </c:pt>
                <c:pt idx="9">
                  <c:v>0.14118293784750402</c:v>
                </c:pt>
                <c:pt idx="10">
                  <c:v>-4.751658907580758E-2</c:v>
                </c:pt>
                <c:pt idx="11">
                  <c:v>7.0555676999397354E-2</c:v>
                </c:pt>
                <c:pt idx="12">
                  <c:v>6.5905658636227216E-2</c:v>
                </c:pt>
                <c:pt idx="13">
                  <c:v>6.1830667753983271E-2</c:v>
                </c:pt>
                <c:pt idx="14">
                  <c:v>5.8230252366669122E-2</c:v>
                </c:pt>
                <c:pt idx="15">
                  <c:v>5.502607040050167E-2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4B-476C-87A6-F31084783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27855"/>
        <c:axId val="497023055"/>
      </c:lineChart>
      <c:catAx>
        <c:axId val="4970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20655"/>
        <c:crosses val="autoZero"/>
        <c:auto val="1"/>
        <c:lblAlgn val="ctr"/>
        <c:lblOffset val="100"/>
        <c:noMultiLvlLbl val="0"/>
      </c:catAx>
      <c:valAx>
        <c:axId val="497020655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20175"/>
        <c:crosses val="autoZero"/>
        <c:crossBetween val="between"/>
      </c:valAx>
      <c:valAx>
        <c:axId val="49702305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27855"/>
        <c:crosses val="max"/>
        <c:crossBetween val="between"/>
      </c:valAx>
      <c:catAx>
        <c:axId val="4970278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7023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974330149117062"/>
          <c:y val="3.5144825708898549E-2"/>
          <c:w val="0.18163024820263401"/>
          <c:h val="0.140236423295262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6835138881139"/>
          <c:y val="4.5706366206473031E-2"/>
          <c:w val="0.79190469367253691"/>
          <c:h val="0.70024279666687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Forcasting '!$D$31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'Revenue Forcasting '!$B$32:$C$47</c:f>
              <c:multiLvlStrCache>
                <c:ptCount val="16"/>
                <c:lvl>
                  <c:pt idx="0">
                    <c:v>Mar-16A</c:v>
                  </c:pt>
                  <c:pt idx="1">
                    <c:v>Mar-17A</c:v>
                  </c:pt>
                  <c:pt idx="2">
                    <c:v>Mar-18A</c:v>
                  </c:pt>
                  <c:pt idx="3">
                    <c:v>Mar-19A</c:v>
                  </c:pt>
                  <c:pt idx="4">
                    <c:v>Mar-20A</c:v>
                  </c:pt>
                  <c:pt idx="5">
                    <c:v>Mar-21A</c:v>
                  </c:pt>
                  <c:pt idx="6">
                    <c:v>Mar-22A</c:v>
                  </c:pt>
                  <c:pt idx="7">
                    <c:v>Mar-23A</c:v>
                  </c:pt>
                  <c:pt idx="8">
                    <c:v>Mar-24A</c:v>
                  </c:pt>
                  <c:pt idx="9">
                    <c:v>Mar-25A</c:v>
                  </c:pt>
                  <c:pt idx="10">
                    <c:v>Mar-26F</c:v>
                  </c:pt>
                  <c:pt idx="11">
                    <c:v>Mar-27F</c:v>
                  </c:pt>
                  <c:pt idx="12">
                    <c:v>Mar-28F</c:v>
                  </c:pt>
                  <c:pt idx="13">
                    <c:v>Mar-29F</c:v>
                  </c:pt>
                  <c:pt idx="14">
                    <c:v>Mar-30F</c:v>
                  </c:pt>
                  <c:pt idx="15">
                    <c:v>Mar-31F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'Revenue Forcasting '!$D$32:$D$47</c:f>
              <c:numCache>
                <c:formatCode>#,##0.0</c:formatCode>
                <c:ptCount val="16"/>
                <c:pt idx="0">
                  <c:v>1627.6799999999998</c:v>
                </c:pt>
                <c:pt idx="1">
                  <c:v>2154.6999999999998</c:v>
                </c:pt>
                <c:pt idx="2">
                  <c:v>2774.7599999999993</c:v>
                </c:pt>
                <c:pt idx="3">
                  <c:v>2694.079999999999</c:v>
                </c:pt>
                <c:pt idx="4">
                  <c:v>2266.9800000000005</c:v>
                </c:pt>
                <c:pt idx="5">
                  <c:v>1577.3300000000004</c:v>
                </c:pt>
                <c:pt idx="6">
                  <c:v>2028.98</c:v>
                </c:pt>
                <c:pt idx="7">
                  <c:v>3382.4700000000007</c:v>
                </c:pt>
                <c:pt idx="8">
                  <c:v>4132.3399999999965</c:v>
                </c:pt>
                <c:pt idx="9">
                  <c:v>4559.0599999999977</c:v>
                </c:pt>
                <c:pt idx="10">
                  <c:v>4072.487999999998</c:v>
                </c:pt>
                <c:pt idx="11">
                  <c:v>4322.3058666666639</c:v>
                </c:pt>
                <c:pt idx="12">
                  <c:v>4649.6023466666638</c:v>
                </c:pt>
                <c:pt idx="13">
                  <c:v>5128.6596942222195</c:v>
                </c:pt>
                <c:pt idx="14">
                  <c:v>5652.8358243555513</c:v>
                </c:pt>
                <c:pt idx="15">
                  <c:v>6110.4837602607367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9-4067-8EC6-85760FCBB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020175"/>
        <c:axId val="497020655"/>
      </c:barChart>
      <c:lineChart>
        <c:grouping val="standard"/>
        <c:varyColors val="0"/>
        <c:ser>
          <c:idx val="1"/>
          <c:order val="1"/>
          <c:tx>
            <c:strRef>
              <c:f>'Revenue Forcasting '!$E$31</c:f>
              <c:strCache>
                <c:ptCount val="1"/>
                <c:pt idx="0">
                  <c:v>Sales Growt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'Revenue Forcasting '!$B$32:$C$47</c:f>
              <c:multiLvlStrCache>
                <c:ptCount val="16"/>
                <c:lvl>
                  <c:pt idx="0">
                    <c:v>Mar-16A</c:v>
                  </c:pt>
                  <c:pt idx="1">
                    <c:v>Mar-17A</c:v>
                  </c:pt>
                  <c:pt idx="2">
                    <c:v>Mar-18A</c:v>
                  </c:pt>
                  <c:pt idx="3">
                    <c:v>Mar-19A</c:v>
                  </c:pt>
                  <c:pt idx="4">
                    <c:v>Mar-20A</c:v>
                  </c:pt>
                  <c:pt idx="5">
                    <c:v>Mar-21A</c:v>
                  </c:pt>
                  <c:pt idx="6">
                    <c:v>Mar-22A</c:v>
                  </c:pt>
                  <c:pt idx="7">
                    <c:v>Mar-23A</c:v>
                  </c:pt>
                  <c:pt idx="8">
                    <c:v>Mar-24A</c:v>
                  </c:pt>
                  <c:pt idx="9">
                    <c:v>Mar-25A</c:v>
                  </c:pt>
                  <c:pt idx="10">
                    <c:v>Mar-26F</c:v>
                  </c:pt>
                  <c:pt idx="11">
                    <c:v>Mar-27F</c:v>
                  </c:pt>
                  <c:pt idx="12">
                    <c:v>Mar-28F</c:v>
                  </c:pt>
                  <c:pt idx="13">
                    <c:v>Mar-29F</c:v>
                  </c:pt>
                  <c:pt idx="14">
                    <c:v>Mar-30F</c:v>
                  </c:pt>
                  <c:pt idx="15">
                    <c:v>Mar-31F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'Revenue Forcasting '!$E$32:$E$47</c:f>
              <c:numCache>
                <c:formatCode>0.00%</c:formatCode>
                <c:ptCount val="16"/>
                <c:pt idx="1">
                  <c:v>0.32378600216258735</c:v>
                </c:pt>
                <c:pt idx="2">
                  <c:v>0.28777091938552912</c:v>
                </c:pt>
                <c:pt idx="3">
                  <c:v>-2.9076388588562763E-2</c:v>
                </c:pt>
                <c:pt idx="4">
                  <c:v>-0.15853278299085349</c:v>
                </c:pt>
                <c:pt idx="5">
                  <c:v>-0.30421529964975424</c:v>
                </c:pt>
                <c:pt idx="6">
                  <c:v>0.28633830587131381</c:v>
                </c:pt>
                <c:pt idx="7">
                  <c:v>0.66707902492878235</c:v>
                </c:pt>
                <c:pt idx="8">
                  <c:v>0.2216930231458063</c:v>
                </c:pt>
                <c:pt idx="9">
                  <c:v>0.10326352623453094</c:v>
                </c:pt>
                <c:pt idx="10">
                  <c:v>-0.10672638657968969</c:v>
                </c:pt>
                <c:pt idx="11">
                  <c:v>6.1342812223551313E-2</c:v>
                </c:pt>
                <c:pt idx="12">
                  <c:v>7.5722655937907835E-2</c:v>
                </c:pt>
                <c:pt idx="13">
                  <c:v>0.10303189645862854</c:v>
                </c:pt>
                <c:pt idx="14">
                  <c:v>0.10220528586130428</c:v>
                </c:pt>
                <c:pt idx="15">
                  <c:v>8.0959000070970566E-2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79-4067-8EC6-85760FCBB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27855"/>
        <c:axId val="497023055"/>
      </c:lineChart>
      <c:catAx>
        <c:axId val="4970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20655"/>
        <c:crosses val="autoZero"/>
        <c:auto val="1"/>
        <c:lblAlgn val="ctr"/>
        <c:lblOffset val="100"/>
        <c:noMultiLvlLbl val="0"/>
      </c:catAx>
      <c:valAx>
        <c:axId val="497020655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20175"/>
        <c:crosses val="autoZero"/>
        <c:crossBetween val="between"/>
      </c:valAx>
      <c:valAx>
        <c:axId val="49702305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27855"/>
        <c:crosses val="max"/>
        <c:crossBetween val="between"/>
      </c:valAx>
      <c:catAx>
        <c:axId val="4970278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7023055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16974330149117062"/>
          <c:y val="3.5144825708898549E-2"/>
          <c:w val="0.18163024820263401"/>
          <c:h val="0.140236423295262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36835138881139"/>
          <c:y val="4.5706366206473031E-2"/>
          <c:w val="0.79190469367253691"/>
          <c:h val="0.700242796666870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'Revenue Forcasting '!$D$52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'Revenue Forcasting '!$B$53:$C$68</c:f>
              <c:multiLvlStrCache>
                <c:ptCount val="16"/>
                <c:lvl>
                  <c:pt idx="0">
                    <c:v>Mar-16A</c:v>
                  </c:pt>
                  <c:pt idx="1">
                    <c:v>Mar-17A</c:v>
                  </c:pt>
                  <c:pt idx="2">
                    <c:v>Mar-18A</c:v>
                  </c:pt>
                  <c:pt idx="3">
                    <c:v>Mar-19A</c:v>
                  </c:pt>
                  <c:pt idx="4">
                    <c:v>Mar-20A</c:v>
                  </c:pt>
                  <c:pt idx="5">
                    <c:v>Mar-21A</c:v>
                  </c:pt>
                  <c:pt idx="6">
                    <c:v>Mar-22A</c:v>
                  </c:pt>
                  <c:pt idx="7">
                    <c:v>Mar-23A</c:v>
                  </c:pt>
                  <c:pt idx="8">
                    <c:v>Mar-24A</c:v>
                  </c:pt>
                  <c:pt idx="9">
                    <c:v>Mar-25A</c:v>
                  </c:pt>
                  <c:pt idx="10">
                    <c:v>Mar-26F</c:v>
                  </c:pt>
                  <c:pt idx="11">
                    <c:v>Mar-27F</c:v>
                  </c:pt>
                  <c:pt idx="12">
                    <c:v>Mar-28F</c:v>
                  </c:pt>
                  <c:pt idx="13">
                    <c:v>Mar-29F</c:v>
                  </c:pt>
                  <c:pt idx="14">
                    <c:v>Mar-30F</c:v>
                  </c:pt>
                  <c:pt idx="15">
                    <c:v>Mar-31F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'Revenue Forcasting '!$D$53:$D$68</c:f>
              <c:numCache>
                <c:formatCode>#,##0.0</c:formatCode>
                <c:ptCount val="16"/>
                <c:pt idx="0">
                  <c:v>34.980026863723211</c:v>
                </c:pt>
                <c:pt idx="1">
                  <c:v>46.931555501775691</c:v>
                </c:pt>
                <c:pt idx="2">
                  <c:v>59.066929429970578</c:v>
                </c:pt>
                <c:pt idx="3">
                  <c:v>47.998482470858889</c:v>
                </c:pt>
                <c:pt idx="4">
                  <c:v>49.032085513246173</c:v>
                </c:pt>
                <c:pt idx="5">
                  <c:v>24.097929983982475</c:v>
                </c:pt>
                <c:pt idx="6">
                  <c:v>37.758386626551321</c:v>
                </c:pt>
                <c:pt idx="7">
                  <c:v>71.024191013331887</c:v>
                </c:pt>
                <c:pt idx="8">
                  <c:v>83.375119913177556</c:v>
                </c:pt>
                <c:pt idx="9">
                  <c:v>93.972227236636471</c:v>
                </c:pt>
                <c:pt idx="10">
                  <c:v>81.162580758347161</c:v>
                </c:pt>
                <c:pt idx="11">
                  <c:v>86.406491255128614</c:v>
                </c:pt>
                <c:pt idx="12">
                  <c:v>93.856203327795043</c:v>
                </c:pt>
                <c:pt idx="13">
                  <c:v>104.89023756015644</c:v>
                </c:pt>
                <c:pt idx="14">
                  <c:v>115.06701470317769</c:v>
                </c:pt>
                <c:pt idx="15">
                  <c:v>125.79734650875756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B1-491A-B5ED-A8235C21E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020175"/>
        <c:axId val="497020655"/>
      </c:barChart>
      <c:lineChart>
        <c:grouping val="standard"/>
        <c:varyColors val="0"/>
        <c:ser>
          <c:idx val="1"/>
          <c:order val="1"/>
          <c:tx>
            <c:strRef>
              <c:f>'Revenue Forcasting '!$E$52</c:f>
              <c:strCache>
                <c:ptCount val="1"/>
                <c:pt idx="0">
                  <c:v>Sales Growt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'Revenue Forcasting '!$B$53:$C$68</c:f>
              <c:multiLvlStrCache>
                <c:ptCount val="16"/>
                <c:lvl>
                  <c:pt idx="0">
                    <c:v>Mar-16A</c:v>
                  </c:pt>
                  <c:pt idx="1">
                    <c:v>Mar-17A</c:v>
                  </c:pt>
                  <c:pt idx="2">
                    <c:v>Mar-18A</c:v>
                  </c:pt>
                  <c:pt idx="3">
                    <c:v>Mar-19A</c:v>
                  </c:pt>
                  <c:pt idx="4">
                    <c:v>Mar-20A</c:v>
                  </c:pt>
                  <c:pt idx="5">
                    <c:v>Mar-21A</c:v>
                  </c:pt>
                  <c:pt idx="6">
                    <c:v>Mar-22A</c:v>
                  </c:pt>
                  <c:pt idx="7">
                    <c:v>Mar-23A</c:v>
                  </c:pt>
                  <c:pt idx="8">
                    <c:v>Mar-24A</c:v>
                  </c:pt>
                  <c:pt idx="9">
                    <c:v>Mar-25A</c:v>
                  </c:pt>
                  <c:pt idx="10">
                    <c:v>Mar-26F</c:v>
                  </c:pt>
                  <c:pt idx="11">
                    <c:v>Mar-27F</c:v>
                  </c:pt>
                  <c:pt idx="12">
                    <c:v>Mar-28F</c:v>
                  </c:pt>
                  <c:pt idx="13">
                    <c:v>Mar-29F</c:v>
                  </c:pt>
                  <c:pt idx="14">
                    <c:v>Mar-30F</c:v>
                  </c:pt>
                  <c:pt idx="15">
                    <c:v>Mar-31F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</c:lvl>
              </c:multiLvlStrCache>
            </c:multiLvlStrRef>
          </c:cat>
          <c:val>
            <c:numRef>
              <c:f>'Revenue Forcasting '!$E$53:$E$68</c:f>
              <c:numCache>
                <c:formatCode>0.00%</c:formatCode>
                <c:ptCount val="16"/>
                <c:pt idx="1">
                  <c:v>0.34166722297309238</c:v>
                </c:pt>
                <c:pt idx="2">
                  <c:v>0.25857600069820275</c:v>
                </c:pt>
                <c:pt idx="3">
                  <c:v>-0.18738822325671045</c:v>
                </c:pt>
                <c:pt idx="4">
                  <c:v>2.1534077520363404E-2</c:v>
                </c:pt>
                <c:pt idx="5">
                  <c:v>-0.50852732997717709</c:v>
                </c:pt>
                <c:pt idx="6">
                  <c:v>0.56687261734301431</c:v>
                </c:pt>
                <c:pt idx="7">
                  <c:v>0.88101763234206576</c:v>
                </c:pt>
                <c:pt idx="8">
                  <c:v>0.17389749497501894</c:v>
                </c:pt>
                <c:pt idx="9">
                  <c:v>0.12710155421058689</c:v>
                </c:pt>
                <c:pt idx="10">
                  <c:v>-0.13631310925548945</c:v>
                </c:pt>
                <c:pt idx="11">
                  <c:v>6.4609952613441823E-2</c:v>
                </c:pt>
                <c:pt idx="12">
                  <c:v>8.6217041850131348E-2</c:v>
                </c:pt>
                <c:pt idx="13">
                  <c:v>0.11756318539569266</c:v>
                </c:pt>
                <c:pt idx="14">
                  <c:v>9.7023110822727299E-2</c:v>
                </c:pt>
                <c:pt idx="15">
                  <c:v>9.3252891223948087E-2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B1-491A-B5ED-A8235C21E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27855"/>
        <c:axId val="497023055"/>
      </c:lineChart>
      <c:catAx>
        <c:axId val="4970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20655"/>
        <c:crosses val="autoZero"/>
        <c:auto val="1"/>
        <c:lblAlgn val="ctr"/>
        <c:lblOffset val="100"/>
        <c:noMultiLvlLbl val="0"/>
      </c:catAx>
      <c:valAx>
        <c:axId val="497020655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20175"/>
        <c:crosses val="autoZero"/>
        <c:crossBetween val="between"/>
      </c:valAx>
      <c:valAx>
        <c:axId val="49702305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27855"/>
        <c:crosses val="max"/>
        <c:crossBetween val="between"/>
      </c:valAx>
      <c:catAx>
        <c:axId val="4970278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7023055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16974330149117062"/>
          <c:y val="3.5144825708898549E-2"/>
          <c:w val="0.18163024820263401"/>
          <c:h val="0.140236423295262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58705161854774E-2"/>
          <c:y val="0.13903361344537818"/>
          <c:w val="0.87753018372703417"/>
          <c:h val="0.74668795077085948"/>
        </c:manualLayout>
      </c:layout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  <a:alpha val="8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5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237D-447E-954A-ED026F1E0F48}"/>
              </c:ext>
            </c:extLst>
          </c:dPt>
          <c:dPt>
            <c:idx val="120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237D-447E-954A-ED026F1E0F48}"/>
              </c:ext>
            </c:extLst>
          </c:dPt>
          <c:cat>
            <c:numRef>
              <c:f>data!$R$2:$R$1523</c:f>
              <c:numCache>
                <c:formatCode>m/d/yyyy</c:formatCode>
                <c:ptCount val="1522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43836</c:v>
                </c:pt>
                <c:pt idx="4">
                  <c:v>43837</c:v>
                </c:pt>
                <c:pt idx="5">
                  <c:v>43838</c:v>
                </c:pt>
                <c:pt idx="6">
                  <c:v>43839</c:v>
                </c:pt>
                <c:pt idx="7">
                  <c:v>43840</c:v>
                </c:pt>
                <c:pt idx="8">
                  <c:v>43843</c:v>
                </c:pt>
                <c:pt idx="9">
                  <c:v>43844</c:v>
                </c:pt>
                <c:pt idx="10">
                  <c:v>43845</c:v>
                </c:pt>
                <c:pt idx="11">
                  <c:v>43846</c:v>
                </c:pt>
                <c:pt idx="12">
                  <c:v>43847</c:v>
                </c:pt>
                <c:pt idx="13">
                  <c:v>43850</c:v>
                </c:pt>
                <c:pt idx="14">
                  <c:v>43851</c:v>
                </c:pt>
                <c:pt idx="15">
                  <c:v>43852</c:v>
                </c:pt>
                <c:pt idx="16">
                  <c:v>43853</c:v>
                </c:pt>
                <c:pt idx="17">
                  <c:v>43854</c:v>
                </c:pt>
                <c:pt idx="18">
                  <c:v>43857</c:v>
                </c:pt>
                <c:pt idx="19">
                  <c:v>43858</c:v>
                </c:pt>
                <c:pt idx="20">
                  <c:v>43859</c:v>
                </c:pt>
                <c:pt idx="21">
                  <c:v>43860</c:v>
                </c:pt>
                <c:pt idx="22">
                  <c:v>43861</c:v>
                </c:pt>
                <c:pt idx="23">
                  <c:v>43862</c:v>
                </c:pt>
                <c:pt idx="24">
                  <c:v>43864</c:v>
                </c:pt>
                <c:pt idx="25">
                  <c:v>43865</c:v>
                </c:pt>
                <c:pt idx="26">
                  <c:v>43866</c:v>
                </c:pt>
                <c:pt idx="27">
                  <c:v>43867</c:v>
                </c:pt>
                <c:pt idx="28">
                  <c:v>43868</c:v>
                </c:pt>
                <c:pt idx="29">
                  <c:v>43871</c:v>
                </c:pt>
                <c:pt idx="30">
                  <c:v>43872</c:v>
                </c:pt>
                <c:pt idx="31">
                  <c:v>43873</c:v>
                </c:pt>
                <c:pt idx="32">
                  <c:v>43874</c:v>
                </c:pt>
                <c:pt idx="33">
                  <c:v>43875</c:v>
                </c:pt>
                <c:pt idx="34">
                  <c:v>43878</c:v>
                </c:pt>
                <c:pt idx="35">
                  <c:v>43879</c:v>
                </c:pt>
                <c:pt idx="36">
                  <c:v>43880</c:v>
                </c:pt>
                <c:pt idx="37">
                  <c:v>43881</c:v>
                </c:pt>
                <c:pt idx="38">
                  <c:v>43885</c:v>
                </c:pt>
                <c:pt idx="39">
                  <c:v>43886</c:v>
                </c:pt>
                <c:pt idx="40">
                  <c:v>43887</c:v>
                </c:pt>
                <c:pt idx="41">
                  <c:v>43888</c:v>
                </c:pt>
                <c:pt idx="42">
                  <c:v>43889</c:v>
                </c:pt>
                <c:pt idx="43">
                  <c:v>43892</c:v>
                </c:pt>
                <c:pt idx="44">
                  <c:v>43893</c:v>
                </c:pt>
                <c:pt idx="45">
                  <c:v>43894</c:v>
                </c:pt>
                <c:pt idx="46">
                  <c:v>43895</c:v>
                </c:pt>
                <c:pt idx="47">
                  <c:v>43896</c:v>
                </c:pt>
                <c:pt idx="48">
                  <c:v>43899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43906</c:v>
                </c:pt>
                <c:pt idx="53">
                  <c:v>43907</c:v>
                </c:pt>
                <c:pt idx="54">
                  <c:v>43908</c:v>
                </c:pt>
                <c:pt idx="55">
                  <c:v>43909</c:v>
                </c:pt>
                <c:pt idx="56">
                  <c:v>43910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43920</c:v>
                </c:pt>
                <c:pt idx="63">
                  <c:v>43921</c:v>
                </c:pt>
                <c:pt idx="64">
                  <c:v>43922</c:v>
                </c:pt>
                <c:pt idx="65">
                  <c:v>43924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43936</c:v>
                </c:pt>
                <c:pt idx="71">
                  <c:v>43937</c:v>
                </c:pt>
                <c:pt idx="72">
                  <c:v>43938</c:v>
                </c:pt>
                <c:pt idx="73">
                  <c:v>43941</c:v>
                </c:pt>
                <c:pt idx="74">
                  <c:v>43942</c:v>
                </c:pt>
                <c:pt idx="75">
                  <c:v>43943</c:v>
                </c:pt>
                <c:pt idx="76">
                  <c:v>43944</c:v>
                </c:pt>
                <c:pt idx="77">
                  <c:v>43945</c:v>
                </c:pt>
                <c:pt idx="78">
                  <c:v>43948</c:v>
                </c:pt>
                <c:pt idx="79">
                  <c:v>43949</c:v>
                </c:pt>
                <c:pt idx="80">
                  <c:v>43950</c:v>
                </c:pt>
                <c:pt idx="81">
                  <c:v>43951</c:v>
                </c:pt>
                <c:pt idx="82">
                  <c:v>43955</c:v>
                </c:pt>
                <c:pt idx="83">
                  <c:v>43956</c:v>
                </c:pt>
                <c:pt idx="84">
                  <c:v>43957</c:v>
                </c:pt>
                <c:pt idx="85">
                  <c:v>43958</c:v>
                </c:pt>
                <c:pt idx="86">
                  <c:v>43959</c:v>
                </c:pt>
                <c:pt idx="87">
                  <c:v>43962</c:v>
                </c:pt>
                <c:pt idx="88">
                  <c:v>43963</c:v>
                </c:pt>
                <c:pt idx="89">
                  <c:v>43964</c:v>
                </c:pt>
                <c:pt idx="90">
                  <c:v>43965</c:v>
                </c:pt>
                <c:pt idx="91">
                  <c:v>43966</c:v>
                </c:pt>
                <c:pt idx="92">
                  <c:v>43969</c:v>
                </c:pt>
                <c:pt idx="93">
                  <c:v>43970</c:v>
                </c:pt>
                <c:pt idx="94">
                  <c:v>43971</c:v>
                </c:pt>
                <c:pt idx="95">
                  <c:v>43972</c:v>
                </c:pt>
                <c:pt idx="96">
                  <c:v>43973</c:v>
                </c:pt>
                <c:pt idx="97">
                  <c:v>43977</c:v>
                </c:pt>
                <c:pt idx="98">
                  <c:v>43978</c:v>
                </c:pt>
                <c:pt idx="99">
                  <c:v>43979</c:v>
                </c:pt>
                <c:pt idx="100">
                  <c:v>43980</c:v>
                </c:pt>
                <c:pt idx="101">
                  <c:v>43983</c:v>
                </c:pt>
                <c:pt idx="102">
                  <c:v>43984</c:v>
                </c:pt>
                <c:pt idx="103">
                  <c:v>43985</c:v>
                </c:pt>
                <c:pt idx="104">
                  <c:v>43986</c:v>
                </c:pt>
                <c:pt idx="105">
                  <c:v>43987</c:v>
                </c:pt>
                <c:pt idx="106">
                  <c:v>43990</c:v>
                </c:pt>
                <c:pt idx="107">
                  <c:v>43991</c:v>
                </c:pt>
                <c:pt idx="108">
                  <c:v>43992</c:v>
                </c:pt>
                <c:pt idx="109">
                  <c:v>43993</c:v>
                </c:pt>
                <c:pt idx="110">
                  <c:v>43994</c:v>
                </c:pt>
                <c:pt idx="111">
                  <c:v>43997</c:v>
                </c:pt>
                <c:pt idx="112">
                  <c:v>43998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44004</c:v>
                </c:pt>
                <c:pt idx="117">
                  <c:v>44005</c:v>
                </c:pt>
                <c:pt idx="118">
                  <c:v>44006</c:v>
                </c:pt>
                <c:pt idx="119">
                  <c:v>44007</c:v>
                </c:pt>
                <c:pt idx="120">
                  <c:v>44008</c:v>
                </c:pt>
                <c:pt idx="121">
                  <c:v>44011</c:v>
                </c:pt>
                <c:pt idx="122">
                  <c:v>44012</c:v>
                </c:pt>
                <c:pt idx="123">
                  <c:v>44013</c:v>
                </c:pt>
                <c:pt idx="124">
                  <c:v>44014</c:v>
                </c:pt>
                <c:pt idx="125">
                  <c:v>44015</c:v>
                </c:pt>
                <c:pt idx="126">
                  <c:v>44018</c:v>
                </c:pt>
                <c:pt idx="127">
                  <c:v>44019</c:v>
                </c:pt>
                <c:pt idx="128">
                  <c:v>44020</c:v>
                </c:pt>
                <c:pt idx="129">
                  <c:v>44021</c:v>
                </c:pt>
                <c:pt idx="130">
                  <c:v>44022</c:v>
                </c:pt>
                <c:pt idx="131">
                  <c:v>44025</c:v>
                </c:pt>
                <c:pt idx="132">
                  <c:v>44026</c:v>
                </c:pt>
                <c:pt idx="133">
                  <c:v>44027</c:v>
                </c:pt>
                <c:pt idx="134">
                  <c:v>44028</c:v>
                </c:pt>
                <c:pt idx="135">
                  <c:v>44029</c:v>
                </c:pt>
                <c:pt idx="136">
                  <c:v>44032</c:v>
                </c:pt>
                <c:pt idx="137">
                  <c:v>44033</c:v>
                </c:pt>
                <c:pt idx="138">
                  <c:v>44034</c:v>
                </c:pt>
                <c:pt idx="139">
                  <c:v>44035</c:v>
                </c:pt>
                <c:pt idx="140">
                  <c:v>44036</c:v>
                </c:pt>
                <c:pt idx="141">
                  <c:v>44039</c:v>
                </c:pt>
                <c:pt idx="142">
                  <c:v>44040</c:v>
                </c:pt>
                <c:pt idx="143">
                  <c:v>44041</c:v>
                </c:pt>
                <c:pt idx="144">
                  <c:v>44042</c:v>
                </c:pt>
                <c:pt idx="145">
                  <c:v>44043</c:v>
                </c:pt>
                <c:pt idx="146">
                  <c:v>44046</c:v>
                </c:pt>
                <c:pt idx="147">
                  <c:v>44047</c:v>
                </c:pt>
                <c:pt idx="148">
                  <c:v>44048</c:v>
                </c:pt>
                <c:pt idx="149">
                  <c:v>44049</c:v>
                </c:pt>
                <c:pt idx="150">
                  <c:v>44050</c:v>
                </c:pt>
                <c:pt idx="151">
                  <c:v>44053</c:v>
                </c:pt>
                <c:pt idx="152">
                  <c:v>44054</c:v>
                </c:pt>
                <c:pt idx="153">
                  <c:v>44055</c:v>
                </c:pt>
                <c:pt idx="154">
                  <c:v>44056</c:v>
                </c:pt>
                <c:pt idx="155">
                  <c:v>44057</c:v>
                </c:pt>
                <c:pt idx="156">
                  <c:v>44060</c:v>
                </c:pt>
                <c:pt idx="157">
                  <c:v>44061</c:v>
                </c:pt>
                <c:pt idx="158">
                  <c:v>44062</c:v>
                </c:pt>
                <c:pt idx="159">
                  <c:v>44063</c:v>
                </c:pt>
                <c:pt idx="160">
                  <c:v>44064</c:v>
                </c:pt>
                <c:pt idx="161">
                  <c:v>44067</c:v>
                </c:pt>
                <c:pt idx="162">
                  <c:v>44068</c:v>
                </c:pt>
                <c:pt idx="163">
                  <c:v>44069</c:v>
                </c:pt>
                <c:pt idx="164">
                  <c:v>44070</c:v>
                </c:pt>
                <c:pt idx="165">
                  <c:v>44071</c:v>
                </c:pt>
                <c:pt idx="166">
                  <c:v>44074</c:v>
                </c:pt>
                <c:pt idx="167">
                  <c:v>44075</c:v>
                </c:pt>
                <c:pt idx="168">
                  <c:v>44076</c:v>
                </c:pt>
                <c:pt idx="169">
                  <c:v>44077</c:v>
                </c:pt>
                <c:pt idx="170">
                  <c:v>44078</c:v>
                </c:pt>
                <c:pt idx="171">
                  <c:v>44081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44109</c:v>
                </c:pt>
                <c:pt idx="191">
                  <c:v>44110</c:v>
                </c:pt>
                <c:pt idx="192">
                  <c:v>44111</c:v>
                </c:pt>
                <c:pt idx="193">
                  <c:v>44112</c:v>
                </c:pt>
                <c:pt idx="194">
                  <c:v>44113</c:v>
                </c:pt>
                <c:pt idx="195">
                  <c:v>44116</c:v>
                </c:pt>
                <c:pt idx="196">
                  <c:v>44117</c:v>
                </c:pt>
                <c:pt idx="197">
                  <c:v>44118</c:v>
                </c:pt>
                <c:pt idx="198">
                  <c:v>44119</c:v>
                </c:pt>
                <c:pt idx="199">
                  <c:v>44120</c:v>
                </c:pt>
                <c:pt idx="200">
                  <c:v>44123</c:v>
                </c:pt>
                <c:pt idx="201">
                  <c:v>44124</c:v>
                </c:pt>
                <c:pt idx="202">
                  <c:v>44125</c:v>
                </c:pt>
                <c:pt idx="203">
                  <c:v>44126</c:v>
                </c:pt>
                <c:pt idx="204">
                  <c:v>44127</c:v>
                </c:pt>
                <c:pt idx="205">
                  <c:v>44130</c:v>
                </c:pt>
                <c:pt idx="206">
                  <c:v>44131</c:v>
                </c:pt>
                <c:pt idx="207">
                  <c:v>44132</c:v>
                </c:pt>
                <c:pt idx="208">
                  <c:v>44133</c:v>
                </c:pt>
                <c:pt idx="209">
                  <c:v>44134</c:v>
                </c:pt>
                <c:pt idx="210">
                  <c:v>44137</c:v>
                </c:pt>
                <c:pt idx="211">
                  <c:v>44138</c:v>
                </c:pt>
                <c:pt idx="212">
                  <c:v>44139</c:v>
                </c:pt>
                <c:pt idx="213">
                  <c:v>44140</c:v>
                </c:pt>
                <c:pt idx="214">
                  <c:v>44141</c:v>
                </c:pt>
                <c:pt idx="215">
                  <c:v>44144</c:v>
                </c:pt>
                <c:pt idx="216">
                  <c:v>44145</c:v>
                </c:pt>
                <c:pt idx="217">
                  <c:v>44146</c:v>
                </c:pt>
                <c:pt idx="218">
                  <c:v>44147</c:v>
                </c:pt>
                <c:pt idx="219">
                  <c:v>44148</c:v>
                </c:pt>
                <c:pt idx="220">
                  <c:v>44152</c:v>
                </c:pt>
                <c:pt idx="221">
                  <c:v>44153</c:v>
                </c:pt>
                <c:pt idx="222">
                  <c:v>44154</c:v>
                </c:pt>
                <c:pt idx="223">
                  <c:v>44155</c:v>
                </c:pt>
                <c:pt idx="224">
                  <c:v>44158</c:v>
                </c:pt>
                <c:pt idx="225">
                  <c:v>44159</c:v>
                </c:pt>
                <c:pt idx="226">
                  <c:v>44160</c:v>
                </c:pt>
                <c:pt idx="227">
                  <c:v>44161</c:v>
                </c:pt>
                <c:pt idx="228">
                  <c:v>44162</c:v>
                </c:pt>
                <c:pt idx="229">
                  <c:v>44166</c:v>
                </c:pt>
                <c:pt idx="230">
                  <c:v>44167</c:v>
                </c:pt>
                <c:pt idx="231">
                  <c:v>44168</c:v>
                </c:pt>
                <c:pt idx="232">
                  <c:v>44169</c:v>
                </c:pt>
                <c:pt idx="233">
                  <c:v>44172</c:v>
                </c:pt>
                <c:pt idx="234">
                  <c:v>44173</c:v>
                </c:pt>
                <c:pt idx="235">
                  <c:v>44174</c:v>
                </c:pt>
                <c:pt idx="236">
                  <c:v>44175</c:v>
                </c:pt>
                <c:pt idx="237">
                  <c:v>44176</c:v>
                </c:pt>
                <c:pt idx="238">
                  <c:v>44179</c:v>
                </c:pt>
                <c:pt idx="239">
                  <c:v>44180</c:v>
                </c:pt>
                <c:pt idx="240">
                  <c:v>44181</c:v>
                </c:pt>
                <c:pt idx="241">
                  <c:v>44182</c:v>
                </c:pt>
                <c:pt idx="242">
                  <c:v>44183</c:v>
                </c:pt>
                <c:pt idx="243">
                  <c:v>44186</c:v>
                </c:pt>
                <c:pt idx="244">
                  <c:v>44187</c:v>
                </c:pt>
                <c:pt idx="245">
                  <c:v>44188</c:v>
                </c:pt>
                <c:pt idx="246">
                  <c:v>44189</c:v>
                </c:pt>
                <c:pt idx="247">
                  <c:v>44193</c:v>
                </c:pt>
                <c:pt idx="248">
                  <c:v>44194</c:v>
                </c:pt>
                <c:pt idx="249">
                  <c:v>44195</c:v>
                </c:pt>
                <c:pt idx="250">
                  <c:v>44196</c:v>
                </c:pt>
                <c:pt idx="251">
                  <c:v>44197</c:v>
                </c:pt>
                <c:pt idx="252">
                  <c:v>44200</c:v>
                </c:pt>
                <c:pt idx="253">
                  <c:v>44201</c:v>
                </c:pt>
                <c:pt idx="254">
                  <c:v>44202</c:v>
                </c:pt>
                <c:pt idx="255">
                  <c:v>44203</c:v>
                </c:pt>
                <c:pt idx="256">
                  <c:v>44204</c:v>
                </c:pt>
                <c:pt idx="257">
                  <c:v>44207</c:v>
                </c:pt>
                <c:pt idx="258">
                  <c:v>44208</c:v>
                </c:pt>
                <c:pt idx="259">
                  <c:v>44209</c:v>
                </c:pt>
                <c:pt idx="260">
                  <c:v>44210</c:v>
                </c:pt>
                <c:pt idx="261">
                  <c:v>44211</c:v>
                </c:pt>
                <c:pt idx="262">
                  <c:v>44214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44223</c:v>
                </c:pt>
                <c:pt idx="269">
                  <c:v>44224</c:v>
                </c:pt>
                <c:pt idx="270">
                  <c:v>44225</c:v>
                </c:pt>
                <c:pt idx="271">
                  <c:v>44228</c:v>
                </c:pt>
                <c:pt idx="272">
                  <c:v>44229</c:v>
                </c:pt>
                <c:pt idx="273">
                  <c:v>44230</c:v>
                </c:pt>
                <c:pt idx="274">
                  <c:v>44231</c:v>
                </c:pt>
                <c:pt idx="275">
                  <c:v>44232</c:v>
                </c:pt>
                <c:pt idx="276">
                  <c:v>44235</c:v>
                </c:pt>
                <c:pt idx="277">
                  <c:v>44236</c:v>
                </c:pt>
                <c:pt idx="278">
                  <c:v>44237</c:v>
                </c:pt>
                <c:pt idx="279">
                  <c:v>44238</c:v>
                </c:pt>
                <c:pt idx="280">
                  <c:v>44239</c:v>
                </c:pt>
                <c:pt idx="281">
                  <c:v>44242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44267</c:v>
                </c:pt>
                <c:pt idx="300">
                  <c:v>44270</c:v>
                </c:pt>
                <c:pt idx="301">
                  <c:v>44271</c:v>
                </c:pt>
                <c:pt idx="302">
                  <c:v>44272</c:v>
                </c:pt>
                <c:pt idx="303">
                  <c:v>44273</c:v>
                </c:pt>
                <c:pt idx="304">
                  <c:v>44274</c:v>
                </c:pt>
                <c:pt idx="305">
                  <c:v>44277</c:v>
                </c:pt>
                <c:pt idx="306">
                  <c:v>44278</c:v>
                </c:pt>
                <c:pt idx="307">
                  <c:v>44279</c:v>
                </c:pt>
                <c:pt idx="308">
                  <c:v>44280</c:v>
                </c:pt>
                <c:pt idx="309">
                  <c:v>44281</c:v>
                </c:pt>
                <c:pt idx="310">
                  <c:v>44285</c:v>
                </c:pt>
                <c:pt idx="311">
                  <c:v>44286</c:v>
                </c:pt>
                <c:pt idx="312">
                  <c:v>44287</c:v>
                </c:pt>
                <c:pt idx="313">
                  <c:v>44291</c:v>
                </c:pt>
                <c:pt idx="314">
                  <c:v>44292</c:v>
                </c:pt>
                <c:pt idx="315">
                  <c:v>44293</c:v>
                </c:pt>
                <c:pt idx="316">
                  <c:v>44294</c:v>
                </c:pt>
                <c:pt idx="317">
                  <c:v>44295</c:v>
                </c:pt>
                <c:pt idx="318">
                  <c:v>44298</c:v>
                </c:pt>
                <c:pt idx="319">
                  <c:v>44299</c:v>
                </c:pt>
                <c:pt idx="320">
                  <c:v>44301</c:v>
                </c:pt>
                <c:pt idx="321">
                  <c:v>44302</c:v>
                </c:pt>
                <c:pt idx="322">
                  <c:v>44305</c:v>
                </c:pt>
                <c:pt idx="323">
                  <c:v>44306</c:v>
                </c:pt>
                <c:pt idx="324">
                  <c:v>44308</c:v>
                </c:pt>
                <c:pt idx="325">
                  <c:v>44309</c:v>
                </c:pt>
                <c:pt idx="326">
                  <c:v>44312</c:v>
                </c:pt>
                <c:pt idx="327">
                  <c:v>44313</c:v>
                </c:pt>
                <c:pt idx="328">
                  <c:v>44314</c:v>
                </c:pt>
                <c:pt idx="329">
                  <c:v>44315</c:v>
                </c:pt>
                <c:pt idx="330">
                  <c:v>44316</c:v>
                </c:pt>
                <c:pt idx="331">
                  <c:v>44319</c:v>
                </c:pt>
                <c:pt idx="332">
                  <c:v>44320</c:v>
                </c:pt>
                <c:pt idx="333">
                  <c:v>44321</c:v>
                </c:pt>
                <c:pt idx="334">
                  <c:v>44322</c:v>
                </c:pt>
                <c:pt idx="335">
                  <c:v>44323</c:v>
                </c:pt>
                <c:pt idx="336">
                  <c:v>44326</c:v>
                </c:pt>
                <c:pt idx="337">
                  <c:v>44327</c:v>
                </c:pt>
                <c:pt idx="338">
                  <c:v>44328</c:v>
                </c:pt>
                <c:pt idx="339">
                  <c:v>44330</c:v>
                </c:pt>
                <c:pt idx="340">
                  <c:v>44333</c:v>
                </c:pt>
                <c:pt idx="341">
                  <c:v>44334</c:v>
                </c:pt>
                <c:pt idx="342">
                  <c:v>44335</c:v>
                </c:pt>
                <c:pt idx="343">
                  <c:v>44336</c:v>
                </c:pt>
                <c:pt idx="344">
                  <c:v>44337</c:v>
                </c:pt>
                <c:pt idx="345">
                  <c:v>44340</c:v>
                </c:pt>
                <c:pt idx="346">
                  <c:v>44341</c:v>
                </c:pt>
                <c:pt idx="347">
                  <c:v>44342</c:v>
                </c:pt>
                <c:pt idx="348">
                  <c:v>44343</c:v>
                </c:pt>
                <c:pt idx="349">
                  <c:v>44344</c:v>
                </c:pt>
                <c:pt idx="350">
                  <c:v>44347</c:v>
                </c:pt>
                <c:pt idx="351">
                  <c:v>44348</c:v>
                </c:pt>
                <c:pt idx="352">
                  <c:v>44349</c:v>
                </c:pt>
                <c:pt idx="353">
                  <c:v>44350</c:v>
                </c:pt>
                <c:pt idx="354">
                  <c:v>44351</c:v>
                </c:pt>
                <c:pt idx="355">
                  <c:v>44354</c:v>
                </c:pt>
                <c:pt idx="356">
                  <c:v>44355</c:v>
                </c:pt>
                <c:pt idx="357">
                  <c:v>44356</c:v>
                </c:pt>
                <c:pt idx="358">
                  <c:v>44357</c:v>
                </c:pt>
                <c:pt idx="359">
                  <c:v>44358</c:v>
                </c:pt>
                <c:pt idx="360">
                  <c:v>44361</c:v>
                </c:pt>
                <c:pt idx="361">
                  <c:v>44362</c:v>
                </c:pt>
                <c:pt idx="362">
                  <c:v>44363</c:v>
                </c:pt>
                <c:pt idx="363">
                  <c:v>44364</c:v>
                </c:pt>
                <c:pt idx="364">
                  <c:v>44365</c:v>
                </c:pt>
                <c:pt idx="365">
                  <c:v>44368</c:v>
                </c:pt>
                <c:pt idx="366">
                  <c:v>44369</c:v>
                </c:pt>
                <c:pt idx="367">
                  <c:v>44370</c:v>
                </c:pt>
                <c:pt idx="368">
                  <c:v>44371</c:v>
                </c:pt>
                <c:pt idx="369">
                  <c:v>44372</c:v>
                </c:pt>
                <c:pt idx="370">
                  <c:v>44375</c:v>
                </c:pt>
                <c:pt idx="371">
                  <c:v>44376</c:v>
                </c:pt>
                <c:pt idx="372">
                  <c:v>44377</c:v>
                </c:pt>
                <c:pt idx="373">
                  <c:v>44378</c:v>
                </c:pt>
                <c:pt idx="374">
                  <c:v>44379</c:v>
                </c:pt>
                <c:pt idx="375">
                  <c:v>44382</c:v>
                </c:pt>
                <c:pt idx="376">
                  <c:v>44383</c:v>
                </c:pt>
                <c:pt idx="377">
                  <c:v>44384</c:v>
                </c:pt>
                <c:pt idx="378">
                  <c:v>44385</c:v>
                </c:pt>
                <c:pt idx="379">
                  <c:v>44386</c:v>
                </c:pt>
                <c:pt idx="380">
                  <c:v>44389</c:v>
                </c:pt>
                <c:pt idx="381">
                  <c:v>44390</c:v>
                </c:pt>
                <c:pt idx="382">
                  <c:v>44391</c:v>
                </c:pt>
                <c:pt idx="383">
                  <c:v>44392</c:v>
                </c:pt>
                <c:pt idx="384">
                  <c:v>44393</c:v>
                </c:pt>
                <c:pt idx="385">
                  <c:v>44396</c:v>
                </c:pt>
                <c:pt idx="386">
                  <c:v>44397</c:v>
                </c:pt>
                <c:pt idx="387">
                  <c:v>44399</c:v>
                </c:pt>
                <c:pt idx="388">
                  <c:v>44400</c:v>
                </c:pt>
                <c:pt idx="389">
                  <c:v>44403</c:v>
                </c:pt>
                <c:pt idx="390">
                  <c:v>44404</c:v>
                </c:pt>
                <c:pt idx="391">
                  <c:v>44405</c:v>
                </c:pt>
                <c:pt idx="392">
                  <c:v>44406</c:v>
                </c:pt>
                <c:pt idx="393">
                  <c:v>44407</c:v>
                </c:pt>
                <c:pt idx="394">
                  <c:v>44410</c:v>
                </c:pt>
                <c:pt idx="395">
                  <c:v>44411</c:v>
                </c:pt>
                <c:pt idx="396">
                  <c:v>44412</c:v>
                </c:pt>
                <c:pt idx="397">
                  <c:v>44413</c:v>
                </c:pt>
                <c:pt idx="398">
                  <c:v>44414</c:v>
                </c:pt>
                <c:pt idx="399">
                  <c:v>44417</c:v>
                </c:pt>
                <c:pt idx="400">
                  <c:v>44418</c:v>
                </c:pt>
                <c:pt idx="401">
                  <c:v>44419</c:v>
                </c:pt>
                <c:pt idx="402">
                  <c:v>44420</c:v>
                </c:pt>
                <c:pt idx="403">
                  <c:v>44421</c:v>
                </c:pt>
                <c:pt idx="404">
                  <c:v>44424</c:v>
                </c:pt>
                <c:pt idx="405">
                  <c:v>44425</c:v>
                </c:pt>
                <c:pt idx="406">
                  <c:v>44426</c:v>
                </c:pt>
                <c:pt idx="407">
                  <c:v>44428</c:v>
                </c:pt>
                <c:pt idx="408">
                  <c:v>44431</c:v>
                </c:pt>
                <c:pt idx="409">
                  <c:v>44432</c:v>
                </c:pt>
                <c:pt idx="410">
                  <c:v>44433</c:v>
                </c:pt>
                <c:pt idx="411">
                  <c:v>44434</c:v>
                </c:pt>
                <c:pt idx="412">
                  <c:v>44435</c:v>
                </c:pt>
                <c:pt idx="413">
                  <c:v>44438</c:v>
                </c:pt>
                <c:pt idx="414">
                  <c:v>44439</c:v>
                </c:pt>
                <c:pt idx="415">
                  <c:v>44440</c:v>
                </c:pt>
                <c:pt idx="416">
                  <c:v>44441</c:v>
                </c:pt>
                <c:pt idx="417">
                  <c:v>44442</c:v>
                </c:pt>
                <c:pt idx="418">
                  <c:v>44445</c:v>
                </c:pt>
                <c:pt idx="419">
                  <c:v>44446</c:v>
                </c:pt>
                <c:pt idx="420">
                  <c:v>44447</c:v>
                </c:pt>
                <c:pt idx="421">
                  <c:v>44448</c:v>
                </c:pt>
                <c:pt idx="422">
                  <c:v>44452</c:v>
                </c:pt>
                <c:pt idx="423">
                  <c:v>44453</c:v>
                </c:pt>
                <c:pt idx="424">
                  <c:v>44454</c:v>
                </c:pt>
                <c:pt idx="425">
                  <c:v>44455</c:v>
                </c:pt>
                <c:pt idx="426">
                  <c:v>44456</c:v>
                </c:pt>
                <c:pt idx="427">
                  <c:v>44459</c:v>
                </c:pt>
                <c:pt idx="428">
                  <c:v>44460</c:v>
                </c:pt>
                <c:pt idx="429">
                  <c:v>44461</c:v>
                </c:pt>
                <c:pt idx="430">
                  <c:v>44462</c:v>
                </c:pt>
                <c:pt idx="431">
                  <c:v>44463</c:v>
                </c:pt>
                <c:pt idx="432">
                  <c:v>44466</c:v>
                </c:pt>
                <c:pt idx="433">
                  <c:v>44467</c:v>
                </c:pt>
                <c:pt idx="434">
                  <c:v>44468</c:v>
                </c:pt>
                <c:pt idx="435">
                  <c:v>44469</c:v>
                </c:pt>
                <c:pt idx="436">
                  <c:v>44470</c:v>
                </c:pt>
                <c:pt idx="437">
                  <c:v>44473</c:v>
                </c:pt>
                <c:pt idx="438">
                  <c:v>44474</c:v>
                </c:pt>
                <c:pt idx="439">
                  <c:v>44475</c:v>
                </c:pt>
                <c:pt idx="440">
                  <c:v>44476</c:v>
                </c:pt>
                <c:pt idx="441">
                  <c:v>44477</c:v>
                </c:pt>
                <c:pt idx="442">
                  <c:v>44480</c:v>
                </c:pt>
                <c:pt idx="443">
                  <c:v>44481</c:v>
                </c:pt>
                <c:pt idx="444">
                  <c:v>44482</c:v>
                </c:pt>
                <c:pt idx="445">
                  <c:v>44483</c:v>
                </c:pt>
                <c:pt idx="446">
                  <c:v>44487</c:v>
                </c:pt>
                <c:pt idx="447">
                  <c:v>44488</c:v>
                </c:pt>
                <c:pt idx="448">
                  <c:v>44489</c:v>
                </c:pt>
                <c:pt idx="449">
                  <c:v>44490</c:v>
                </c:pt>
                <c:pt idx="450">
                  <c:v>44491</c:v>
                </c:pt>
                <c:pt idx="451">
                  <c:v>44494</c:v>
                </c:pt>
                <c:pt idx="452">
                  <c:v>44495</c:v>
                </c:pt>
                <c:pt idx="453">
                  <c:v>44496</c:v>
                </c:pt>
                <c:pt idx="454">
                  <c:v>44497</c:v>
                </c:pt>
                <c:pt idx="455">
                  <c:v>44498</c:v>
                </c:pt>
                <c:pt idx="456">
                  <c:v>44501</c:v>
                </c:pt>
                <c:pt idx="457">
                  <c:v>44502</c:v>
                </c:pt>
                <c:pt idx="458">
                  <c:v>44503</c:v>
                </c:pt>
                <c:pt idx="459">
                  <c:v>44504</c:v>
                </c:pt>
                <c:pt idx="460">
                  <c:v>44508</c:v>
                </c:pt>
                <c:pt idx="461">
                  <c:v>44509</c:v>
                </c:pt>
                <c:pt idx="462">
                  <c:v>44510</c:v>
                </c:pt>
                <c:pt idx="463">
                  <c:v>44511</c:v>
                </c:pt>
                <c:pt idx="464">
                  <c:v>44512</c:v>
                </c:pt>
                <c:pt idx="465">
                  <c:v>44515</c:v>
                </c:pt>
                <c:pt idx="466">
                  <c:v>44516</c:v>
                </c:pt>
                <c:pt idx="467">
                  <c:v>44517</c:v>
                </c:pt>
                <c:pt idx="468">
                  <c:v>44518</c:v>
                </c:pt>
                <c:pt idx="469">
                  <c:v>44522</c:v>
                </c:pt>
                <c:pt idx="470">
                  <c:v>44523</c:v>
                </c:pt>
                <c:pt idx="471">
                  <c:v>44524</c:v>
                </c:pt>
                <c:pt idx="472">
                  <c:v>44525</c:v>
                </c:pt>
                <c:pt idx="473">
                  <c:v>44526</c:v>
                </c:pt>
                <c:pt idx="474">
                  <c:v>44529</c:v>
                </c:pt>
                <c:pt idx="475">
                  <c:v>44530</c:v>
                </c:pt>
                <c:pt idx="476">
                  <c:v>44531</c:v>
                </c:pt>
                <c:pt idx="477">
                  <c:v>44532</c:v>
                </c:pt>
                <c:pt idx="478">
                  <c:v>44533</c:v>
                </c:pt>
                <c:pt idx="479">
                  <c:v>44536</c:v>
                </c:pt>
                <c:pt idx="480">
                  <c:v>44537</c:v>
                </c:pt>
                <c:pt idx="481">
                  <c:v>44538</c:v>
                </c:pt>
                <c:pt idx="482">
                  <c:v>44539</c:v>
                </c:pt>
                <c:pt idx="483">
                  <c:v>44540</c:v>
                </c:pt>
                <c:pt idx="484">
                  <c:v>44543</c:v>
                </c:pt>
                <c:pt idx="485">
                  <c:v>44544</c:v>
                </c:pt>
                <c:pt idx="486">
                  <c:v>44545</c:v>
                </c:pt>
                <c:pt idx="487">
                  <c:v>44546</c:v>
                </c:pt>
                <c:pt idx="488">
                  <c:v>44547</c:v>
                </c:pt>
                <c:pt idx="489">
                  <c:v>44550</c:v>
                </c:pt>
                <c:pt idx="490">
                  <c:v>44551</c:v>
                </c:pt>
                <c:pt idx="491">
                  <c:v>44552</c:v>
                </c:pt>
                <c:pt idx="492">
                  <c:v>44553</c:v>
                </c:pt>
                <c:pt idx="493">
                  <c:v>44554</c:v>
                </c:pt>
                <c:pt idx="494">
                  <c:v>44557</c:v>
                </c:pt>
                <c:pt idx="495">
                  <c:v>44558</c:v>
                </c:pt>
                <c:pt idx="496">
                  <c:v>44559</c:v>
                </c:pt>
                <c:pt idx="497">
                  <c:v>44560</c:v>
                </c:pt>
                <c:pt idx="498">
                  <c:v>44561</c:v>
                </c:pt>
                <c:pt idx="499">
                  <c:v>44564</c:v>
                </c:pt>
                <c:pt idx="500">
                  <c:v>44565</c:v>
                </c:pt>
                <c:pt idx="501">
                  <c:v>44566</c:v>
                </c:pt>
                <c:pt idx="502">
                  <c:v>44567</c:v>
                </c:pt>
                <c:pt idx="503">
                  <c:v>44568</c:v>
                </c:pt>
                <c:pt idx="504">
                  <c:v>44571</c:v>
                </c:pt>
                <c:pt idx="505">
                  <c:v>44572</c:v>
                </c:pt>
                <c:pt idx="506">
                  <c:v>44573</c:v>
                </c:pt>
                <c:pt idx="507">
                  <c:v>44574</c:v>
                </c:pt>
                <c:pt idx="508">
                  <c:v>44575</c:v>
                </c:pt>
                <c:pt idx="509">
                  <c:v>44578</c:v>
                </c:pt>
                <c:pt idx="510">
                  <c:v>44579</c:v>
                </c:pt>
                <c:pt idx="511">
                  <c:v>44580</c:v>
                </c:pt>
                <c:pt idx="512">
                  <c:v>44581</c:v>
                </c:pt>
                <c:pt idx="513">
                  <c:v>44582</c:v>
                </c:pt>
                <c:pt idx="514">
                  <c:v>44585</c:v>
                </c:pt>
                <c:pt idx="515">
                  <c:v>44586</c:v>
                </c:pt>
                <c:pt idx="516">
                  <c:v>44588</c:v>
                </c:pt>
                <c:pt idx="517">
                  <c:v>44589</c:v>
                </c:pt>
                <c:pt idx="518">
                  <c:v>44592</c:v>
                </c:pt>
                <c:pt idx="519">
                  <c:v>44593</c:v>
                </c:pt>
                <c:pt idx="520">
                  <c:v>44594</c:v>
                </c:pt>
                <c:pt idx="521">
                  <c:v>44595</c:v>
                </c:pt>
                <c:pt idx="522">
                  <c:v>44596</c:v>
                </c:pt>
                <c:pt idx="523">
                  <c:v>44599</c:v>
                </c:pt>
                <c:pt idx="524">
                  <c:v>44600</c:v>
                </c:pt>
                <c:pt idx="525">
                  <c:v>44601</c:v>
                </c:pt>
                <c:pt idx="526">
                  <c:v>44602</c:v>
                </c:pt>
                <c:pt idx="527">
                  <c:v>44603</c:v>
                </c:pt>
                <c:pt idx="528">
                  <c:v>44606</c:v>
                </c:pt>
                <c:pt idx="529">
                  <c:v>44607</c:v>
                </c:pt>
                <c:pt idx="530">
                  <c:v>44608</c:v>
                </c:pt>
                <c:pt idx="531">
                  <c:v>44609</c:v>
                </c:pt>
                <c:pt idx="532">
                  <c:v>44610</c:v>
                </c:pt>
                <c:pt idx="533">
                  <c:v>44613</c:v>
                </c:pt>
                <c:pt idx="534">
                  <c:v>44614</c:v>
                </c:pt>
                <c:pt idx="535">
                  <c:v>44615</c:v>
                </c:pt>
                <c:pt idx="536">
                  <c:v>44616</c:v>
                </c:pt>
                <c:pt idx="537">
                  <c:v>44617</c:v>
                </c:pt>
                <c:pt idx="538">
                  <c:v>44620</c:v>
                </c:pt>
                <c:pt idx="539">
                  <c:v>44622</c:v>
                </c:pt>
                <c:pt idx="540">
                  <c:v>44623</c:v>
                </c:pt>
                <c:pt idx="541">
                  <c:v>44624</c:v>
                </c:pt>
                <c:pt idx="542">
                  <c:v>44627</c:v>
                </c:pt>
                <c:pt idx="543">
                  <c:v>44628</c:v>
                </c:pt>
                <c:pt idx="544">
                  <c:v>44629</c:v>
                </c:pt>
                <c:pt idx="545">
                  <c:v>44630</c:v>
                </c:pt>
                <c:pt idx="546">
                  <c:v>44631</c:v>
                </c:pt>
                <c:pt idx="547">
                  <c:v>44634</c:v>
                </c:pt>
                <c:pt idx="548">
                  <c:v>44635</c:v>
                </c:pt>
                <c:pt idx="549">
                  <c:v>44636</c:v>
                </c:pt>
                <c:pt idx="550">
                  <c:v>44637</c:v>
                </c:pt>
                <c:pt idx="551">
                  <c:v>44641</c:v>
                </c:pt>
                <c:pt idx="552">
                  <c:v>44642</c:v>
                </c:pt>
                <c:pt idx="553">
                  <c:v>44643</c:v>
                </c:pt>
                <c:pt idx="554">
                  <c:v>44644</c:v>
                </c:pt>
                <c:pt idx="555">
                  <c:v>44645</c:v>
                </c:pt>
                <c:pt idx="556">
                  <c:v>44648</c:v>
                </c:pt>
                <c:pt idx="557">
                  <c:v>44649</c:v>
                </c:pt>
                <c:pt idx="558">
                  <c:v>44650</c:v>
                </c:pt>
                <c:pt idx="559">
                  <c:v>44651</c:v>
                </c:pt>
                <c:pt idx="560">
                  <c:v>44652</c:v>
                </c:pt>
                <c:pt idx="561">
                  <c:v>44655</c:v>
                </c:pt>
                <c:pt idx="562">
                  <c:v>44656</c:v>
                </c:pt>
                <c:pt idx="563">
                  <c:v>44657</c:v>
                </c:pt>
                <c:pt idx="564">
                  <c:v>44658</c:v>
                </c:pt>
                <c:pt idx="565">
                  <c:v>44659</c:v>
                </c:pt>
                <c:pt idx="566">
                  <c:v>44662</c:v>
                </c:pt>
                <c:pt idx="567">
                  <c:v>44663</c:v>
                </c:pt>
                <c:pt idx="568">
                  <c:v>44664</c:v>
                </c:pt>
                <c:pt idx="569">
                  <c:v>44669</c:v>
                </c:pt>
                <c:pt idx="570">
                  <c:v>44670</c:v>
                </c:pt>
                <c:pt idx="571">
                  <c:v>44671</c:v>
                </c:pt>
                <c:pt idx="572">
                  <c:v>44672</c:v>
                </c:pt>
                <c:pt idx="573">
                  <c:v>44673</c:v>
                </c:pt>
                <c:pt idx="574">
                  <c:v>44676</c:v>
                </c:pt>
                <c:pt idx="575">
                  <c:v>44677</c:v>
                </c:pt>
                <c:pt idx="576">
                  <c:v>44678</c:v>
                </c:pt>
                <c:pt idx="577">
                  <c:v>44679</c:v>
                </c:pt>
                <c:pt idx="578">
                  <c:v>44680</c:v>
                </c:pt>
                <c:pt idx="579">
                  <c:v>44683</c:v>
                </c:pt>
                <c:pt idx="580">
                  <c:v>44685</c:v>
                </c:pt>
                <c:pt idx="581">
                  <c:v>44686</c:v>
                </c:pt>
                <c:pt idx="582">
                  <c:v>44687</c:v>
                </c:pt>
                <c:pt idx="583">
                  <c:v>44690</c:v>
                </c:pt>
                <c:pt idx="584">
                  <c:v>44691</c:v>
                </c:pt>
                <c:pt idx="585">
                  <c:v>44692</c:v>
                </c:pt>
                <c:pt idx="586">
                  <c:v>44693</c:v>
                </c:pt>
                <c:pt idx="587">
                  <c:v>44694</c:v>
                </c:pt>
                <c:pt idx="588">
                  <c:v>44697</c:v>
                </c:pt>
                <c:pt idx="589">
                  <c:v>44698</c:v>
                </c:pt>
                <c:pt idx="590">
                  <c:v>44699</c:v>
                </c:pt>
                <c:pt idx="591">
                  <c:v>44700</c:v>
                </c:pt>
                <c:pt idx="592">
                  <c:v>44701</c:v>
                </c:pt>
                <c:pt idx="593">
                  <c:v>44704</c:v>
                </c:pt>
                <c:pt idx="594">
                  <c:v>44705</c:v>
                </c:pt>
                <c:pt idx="595">
                  <c:v>44706</c:v>
                </c:pt>
                <c:pt idx="596">
                  <c:v>44707</c:v>
                </c:pt>
                <c:pt idx="597">
                  <c:v>44708</c:v>
                </c:pt>
                <c:pt idx="598">
                  <c:v>44711</c:v>
                </c:pt>
                <c:pt idx="599">
                  <c:v>44712</c:v>
                </c:pt>
                <c:pt idx="600">
                  <c:v>44713</c:v>
                </c:pt>
                <c:pt idx="601">
                  <c:v>44714</c:v>
                </c:pt>
                <c:pt idx="602">
                  <c:v>44715</c:v>
                </c:pt>
                <c:pt idx="603">
                  <c:v>44718</c:v>
                </c:pt>
                <c:pt idx="604">
                  <c:v>44719</c:v>
                </c:pt>
                <c:pt idx="605">
                  <c:v>44720</c:v>
                </c:pt>
                <c:pt idx="606">
                  <c:v>44721</c:v>
                </c:pt>
                <c:pt idx="607">
                  <c:v>44722</c:v>
                </c:pt>
                <c:pt idx="608">
                  <c:v>44725</c:v>
                </c:pt>
                <c:pt idx="609">
                  <c:v>44726</c:v>
                </c:pt>
                <c:pt idx="610">
                  <c:v>44727</c:v>
                </c:pt>
                <c:pt idx="611">
                  <c:v>44728</c:v>
                </c:pt>
                <c:pt idx="612">
                  <c:v>44729</c:v>
                </c:pt>
                <c:pt idx="613">
                  <c:v>44732</c:v>
                </c:pt>
                <c:pt idx="614">
                  <c:v>44733</c:v>
                </c:pt>
                <c:pt idx="615">
                  <c:v>44734</c:v>
                </c:pt>
                <c:pt idx="616">
                  <c:v>44735</c:v>
                </c:pt>
                <c:pt idx="617">
                  <c:v>44736</c:v>
                </c:pt>
                <c:pt idx="618">
                  <c:v>44739</c:v>
                </c:pt>
                <c:pt idx="619">
                  <c:v>44740</c:v>
                </c:pt>
                <c:pt idx="620">
                  <c:v>44741</c:v>
                </c:pt>
                <c:pt idx="621">
                  <c:v>44742</c:v>
                </c:pt>
                <c:pt idx="622">
                  <c:v>44743</c:v>
                </c:pt>
                <c:pt idx="623">
                  <c:v>44746</c:v>
                </c:pt>
                <c:pt idx="624">
                  <c:v>44747</c:v>
                </c:pt>
                <c:pt idx="625">
                  <c:v>44748</c:v>
                </c:pt>
                <c:pt idx="626">
                  <c:v>44749</c:v>
                </c:pt>
                <c:pt idx="627">
                  <c:v>44750</c:v>
                </c:pt>
                <c:pt idx="628">
                  <c:v>44753</c:v>
                </c:pt>
                <c:pt idx="629">
                  <c:v>44754</c:v>
                </c:pt>
                <c:pt idx="630">
                  <c:v>44755</c:v>
                </c:pt>
                <c:pt idx="631">
                  <c:v>44756</c:v>
                </c:pt>
                <c:pt idx="632">
                  <c:v>44757</c:v>
                </c:pt>
                <c:pt idx="633">
                  <c:v>44760</c:v>
                </c:pt>
                <c:pt idx="634">
                  <c:v>44761</c:v>
                </c:pt>
                <c:pt idx="635">
                  <c:v>44762</c:v>
                </c:pt>
                <c:pt idx="636">
                  <c:v>44763</c:v>
                </c:pt>
                <c:pt idx="637">
                  <c:v>44764</c:v>
                </c:pt>
                <c:pt idx="638">
                  <c:v>44767</c:v>
                </c:pt>
                <c:pt idx="639">
                  <c:v>44768</c:v>
                </c:pt>
                <c:pt idx="640">
                  <c:v>44769</c:v>
                </c:pt>
                <c:pt idx="641">
                  <c:v>44770</c:v>
                </c:pt>
                <c:pt idx="642">
                  <c:v>44771</c:v>
                </c:pt>
                <c:pt idx="643">
                  <c:v>44774</c:v>
                </c:pt>
                <c:pt idx="644">
                  <c:v>44775</c:v>
                </c:pt>
                <c:pt idx="645">
                  <c:v>44776</c:v>
                </c:pt>
                <c:pt idx="646">
                  <c:v>44777</c:v>
                </c:pt>
                <c:pt idx="647">
                  <c:v>44778</c:v>
                </c:pt>
                <c:pt idx="648">
                  <c:v>44781</c:v>
                </c:pt>
                <c:pt idx="649">
                  <c:v>44783</c:v>
                </c:pt>
                <c:pt idx="650">
                  <c:v>44784</c:v>
                </c:pt>
                <c:pt idx="651">
                  <c:v>44785</c:v>
                </c:pt>
                <c:pt idx="652">
                  <c:v>44789</c:v>
                </c:pt>
                <c:pt idx="653">
                  <c:v>44790</c:v>
                </c:pt>
                <c:pt idx="654">
                  <c:v>44791</c:v>
                </c:pt>
                <c:pt idx="655">
                  <c:v>44792</c:v>
                </c:pt>
                <c:pt idx="656">
                  <c:v>44795</c:v>
                </c:pt>
                <c:pt idx="657">
                  <c:v>44796</c:v>
                </c:pt>
                <c:pt idx="658">
                  <c:v>44797</c:v>
                </c:pt>
                <c:pt idx="659">
                  <c:v>44798</c:v>
                </c:pt>
                <c:pt idx="660">
                  <c:v>44799</c:v>
                </c:pt>
                <c:pt idx="661">
                  <c:v>44802</c:v>
                </c:pt>
                <c:pt idx="662">
                  <c:v>44803</c:v>
                </c:pt>
                <c:pt idx="663">
                  <c:v>44805</c:v>
                </c:pt>
                <c:pt idx="664">
                  <c:v>44806</c:v>
                </c:pt>
                <c:pt idx="665">
                  <c:v>44809</c:v>
                </c:pt>
                <c:pt idx="666">
                  <c:v>44810</c:v>
                </c:pt>
                <c:pt idx="667">
                  <c:v>44811</c:v>
                </c:pt>
                <c:pt idx="668">
                  <c:v>44812</c:v>
                </c:pt>
                <c:pt idx="669">
                  <c:v>44813</c:v>
                </c:pt>
                <c:pt idx="670">
                  <c:v>44816</c:v>
                </c:pt>
                <c:pt idx="671">
                  <c:v>44817</c:v>
                </c:pt>
                <c:pt idx="672">
                  <c:v>44818</c:v>
                </c:pt>
                <c:pt idx="673">
                  <c:v>44819</c:v>
                </c:pt>
                <c:pt idx="674">
                  <c:v>44820</c:v>
                </c:pt>
                <c:pt idx="675">
                  <c:v>44823</c:v>
                </c:pt>
                <c:pt idx="676">
                  <c:v>44824</c:v>
                </c:pt>
                <c:pt idx="677">
                  <c:v>44825</c:v>
                </c:pt>
                <c:pt idx="678">
                  <c:v>44826</c:v>
                </c:pt>
                <c:pt idx="679">
                  <c:v>44827</c:v>
                </c:pt>
                <c:pt idx="680">
                  <c:v>44830</c:v>
                </c:pt>
                <c:pt idx="681">
                  <c:v>44831</c:v>
                </c:pt>
                <c:pt idx="682">
                  <c:v>44832</c:v>
                </c:pt>
                <c:pt idx="683">
                  <c:v>44833</c:v>
                </c:pt>
                <c:pt idx="684">
                  <c:v>44834</c:v>
                </c:pt>
                <c:pt idx="685">
                  <c:v>44837</c:v>
                </c:pt>
                <c:pt idx="686">
                  <c:v>44838</c:v>
                </c:pt>
                <c:pt idx="687">
                  <c:v>44840</c:v>
                </c:pt>
                <c:pt idx="688">
                  <c:v>44841</c:v>
                </c:pt>
                <c:pt idx="689">
                  <c:v>44844</c:v>
                </c:pt>
                <c:pt idx="690">
                  <c:v>44845</c:v>
                </c:pt>
                <c:pt idx="691">
                  <c:v>44846</c:v>
                </c:pt>
                <c:pt idx="692">
                  <c:v>44847</c:v>
                </c:pt>
                <c:pt idx="693">
                  <c:v>44848</c:v>
                </c:pt>
                <c:pt idx="694">
                  <c:v>44851</c:v>
                </c:pt>
                <c:pt idx="695">
                  <c:v>44852</c:v>
                </c:pt>
                <c:pt idx="696">
                  <c:v>44853</c:v>
                </c:pt>
                <c:pt idx="697">
                  <c:v>44854</c:v>
                </c:pt>
                <c:pt idx="698">
                  <c:v>44855</c:v>
                </c:pt>
                <c:pt idx="699">
                  <c:v>44858</c:v>
                </c:pt>
                <c:pt idx="700">
                  <c:v>44859</c:v>
                </c:pt>
                <c:pt idx="701">
                  <c:v>44861</c:v>
                </c:pt>
                <c:pt idx="702">
                  <c:v>44862</c:v>
                </c:pt>
                <c:pt idx="703">
                  <c:v>44865</c:v>
                </c:pt>
                <c:pt idx="704">
                  <c:v>44866</c:v>
                </c:pt>
                <c:pt idx="705">
                  <c:v>44867</c:v>
                </c:pt>
                <c:pt idx="706">
                  <c:v>44868</c:v>
                </c:pt>
                <c:pt idx="707">
                  <c:v>44869</c:v>
                </c:pt>
                <c:pt idx="708">
                  <c:v>44872</c:v>
                </c:pt>
                <c:pt idx="709">
                  <c:v>44874</c:v>
                </c:pt>
                <c:pt idx="710">
                  <c:v>44875</c:v>
                </c:pt>
                <c:pt idx="711">
                  <c:v>44876</c:v>
                </c:pt>
                <c:pt idx="712">
                  <c:v>44879</c:v>
                </c:pt>
                <c:pt idx="713">
                  <c:v>44880</c:v>
                </c:pt>
                <c:pt idx="714">
                  <c:v>44881</c:v>
                </c:pt>
                <c:pt idx="715">
                  <c:v>44882</c:v>
                </c:pt>
                <c:pt idx="716">
                  <c:v>44883</c:v>
                </c:pt>
                <c:pt idx="717">
                  <c:v>44886</c:v>
                </c:pt>
                <c:pt idx="718">
                  <c:v>44887</c:v>
                </c:pt>
                <c:pt idx="719">
                  <c:v>44888</c:v>
                </c:pt>
                <c:pt idx="720">
                  <c:v>44889</c:v>
                </c:pt>
                <c:pt idx="721">
                  <c:v>44890</c:v>
                </c:pt>
                <c:pt idx="722">
                  <c:v>44893</c:v>
                </c:pt>
                <c:pt idx="723">
                  <c:v>44894</c:v>
                </c:pt>
                <c:pt idx="724">
                  <c:v>44895</c:v>
                </c:pt>
                <c:pt idx="725">
                  <c:v>44896</c:v>
                </c:pt>
                <c:pt idx="726">
                  <c:v>44897</c:v>
                </c:pt>
                <c:pt idx="727">
                  <c:v>44900</c:v>
                </c:pt>
                <c:pt idx="728">
                  <c:v>44901</c:v>
                </c:pt>
                <c:pt idx="729">
                  <c:v>44902</c:v>
                </c:pt>
                <c:pt idx="730">
                  <c:v>44903</c:v>
                </c:pt>
                <c:pt idx="731">
                  <c:v>44904</c:v>
                </c:pt>
                <c:pt idx="732">
                  <c:v>44907</c:v>
                </c:pt>
                <c:pt idx="733">
                  <c:v>44908</c:v>
                </c:pt>
                <c:pt idx="734">
                  <c:v>44909</c:v>
                </c:pt>
                <c:pt idx="735">
                  <c:v>44910</c:v>
                </c:pt>
                <c:pt idx="736">
                  <c:v>44911</c:v>
                </c:pt>
                <c:pt idx="737">
                  <c:v>44914</c:v>
                </c:pt>
                <c:pt idx="738">
                  <c:v>44915</c:v>
                </c:pt>
                <c:pt idx="739">
                  <c:v>44916</c:v>
                </c:pt>
                <c:pt idx="740">
                  <c:v>44917</c:v>
                </c:pt>
                <c:pt idx="741">
                  <c:v>44918</c:v>
                </c:pt>
                <c:pt idx="742">
                  <c:v>44921</c:v>
                </c:pt>
                <c:pt idx="743">
                  <c:v>44922</c:v>
                </c:pt>
                <c:pt idx="744">
                  <c:v>44923</c:v>
                </c:pt>
                <c:pt idx="745">
                  <c:v>44924</c:v>
                </c:pt>
                <c:pt idx="746">
                  <c:v>44925</c:v>
                </c:pt>
                <c:pt idx="747">
                  <c:v>44928</c:v>
                </c:pt>
                <c:pt idx="748">
                  <c:v>44929</c:v>
                </c:pt>
                <c:pt idx="749">
                  <c:v>44930</c:v>
                </c:pt>
                <c:pt idx="750">
                  <c:v>44931</c:v>
                </c:pt>
                <c:pt idx="751">
                  <c:v>44932</c:v>
                </c:pt>
                <c:pt idx="752">
                  <c:v>44935</c:v>
                </c:pt>
                <c:pt idx="753">
                  <c:v>44936</c:v>
                </c:pt>
                <c:pt idx="754">
                  <c:v>44937</c:v>
                </c:pt>
                <c:pt idx="755">
                  <c:v>44938</c:v>
                </c:pt>
                <c:pt idx="756">
                  <c:v>44939</c:v>
                </c:pt>
                <c:pt idx="757">
                  <c:v>44942</c:v>
                </c:pt>
                <c:pt idx="758">
                  <c:v>44943</c:v>
                </c:pt>
                <c:pt idx="759">
                  <c:v>44944</c:v>
                </c:pt>
                <c:pt idx="760">
                  <c:v>44945</c:v>
                </c:pt>
                <c:pt idx="761">
                  <c:v>44946</c:v>
                </c:pt>
                <c:pt idx="762">
                  <c:v>44949</c:v>
                </c:pt>
                <c:pt idx="763">
                  <c:v>44950</c:v>
                </c:pt>
                <c:pt idx="764">
                  <c:v>44951</c:v>
                </c:pt>
                <c:pt idx="765">
                  <c:v>44953</c:v>
                </c:pt>
                <c:pt idx="766">
                  <c:v>44956</c:v>
                </c:pt>
                <c:pt idx="767">
                  <c:v>44957</c:v>
                </c:pt>
                <c:pt idx="768">
                  <c:v>44958</c:v>
                </c:pt>
                <c:pt idx="769">
                  <c:v>44959</c:v>
                </c:pt>
                <c:pt idx="770">
                  <c:v>44960</c:v>
                </c:pt>
                <c:pt idx="771">
                  <c:v>44963</c:v>
                </c:pt>
                <c:pt idx="772">
                  <c:v>44964</c:v>
                </c:pt>
                <c:pt idx="773">
                  <c:v>44965</c:v>
                </c:pt>
                <c:pt idx="774">
                  <c:v>44966</c:v>
                </c:pt>
                <c:pt idx="775">
                  <c:v>44967</c:v>
                </c:pt>
                <c:pt idx="776">
                  <c:v>44970</c:v>
                </c:pt>
                <c:pt idx="777">
                  <c:v>44971</c:v>
                </c:pt>
                <c:pt idx="778">
                  <c:v>44972</c:v>
                </c:pt>
                <c:pt idx="779">
                  <c:v>44973</c:v>
                </c:pt>
                <c:pt idx="780">
                  <c:v>44974</c:v>
                </c:pt>
                <c:pt idx="781">
                  <c:v>44977</c:v>
                </c:pt>
                <c:pt idx="782">
                  <c:v>44978</c:v>
                </c:pt>
                <c:pt idx="783">
                  <c:v>44979</c:v>
                </c:pt>
                <c:pt idx="784">
                  <c:v>44980</c:v>
                </c:pt>
                <c:pt idx="785">
                  <c:v>44981</c:v>
                </c:pt>
                <c:pt idx="786">
                  <c:v>44984</c:v>
                </c:pt>
                <c:pt idx="787">
                  <c:v>44985</c:v>
                </c:pt>
                <c:pt idx="788">
                  <c:v>44986</c:v>
                </c:pt>
                <c:pt idx="789">
                  <c:v>44987</c:v>
                </c:pt>
                <c:pt idx="790">
                  <c:v>44988</c:v>
                </c:pt>
                <c:pt idx="791">
                  <c:v>44991</c:v>
                </c:pt>
                <c:pt idx="792">
                  <c:v>44993</c:v>
                </c:pt>
                <c:pt idx="793">
                  <c:v>44994</c:v>
                </c:pt>
                <c:pt idx="794">
                  <c:v>44995</c:v>
                </c:pt>
                <c:pt idx="795">
                  <c:v>44998</c:v>
                </c:pt>
                <c:pt idx="796">
                  <c:v>44999</c:v>
                </c:pt>
                <c:pt idx="797">
                  <c:v>45000</c:v>
                </c:pt>
                <c:pt idx="798">
                  <c:v>45001</c:v>
                </c:pt>
                <c:pt idx="799">
                  <c:v>45002</c:v>
                </c:pt>
                <c:pt idx="800">
                  <c:v>45005</c:v>
                </c:pt>
                <c:pt idx="801">
                  <c:v>45006</c:v>
                </c:pt>
                <c:pt idx="802">
                  <c:v>45007</c:v>
                </c:pt>
                <c:pt idx="803">
                  <c:v>45008</c:v>
                </c:pt>
                <c:pt idx="804">
                  <c:v>45009</c:v>
                </c:pt>
                <c:pt idx="805">
                  <c:v>45012</c:v>
                </c:pt>
                <c:pt idx="806">
                  <c:v>45013</c:v>
                </c:pt>
                <c:pt idx="807">
                  <c:v>45014</c:v>
                </c:pt>
                <c:pt idx="808">
                  <c:v>45016</c:v>
                </c:pt>
                <c:pt idx="809">
                  <c:v>45019</c:v>
                </c:pt>
                <c:pt idx="810">
                  <c:v>45021</c:v>
                </c:pt>
                <c:pt idx="811">
                  <c:v>45022</c:v>
                </c:pt>
                <c:pt idx="812">
                  <c:v>45026</c:v>
                </c:pt>
                <c:pt idx="813">
                  <c:v>45027</c:v>
                </c:pt>
                <c:pt idx="814">
                  <c:v>45028</c:v>
                </c:pt>
                <c:pt idx="815">
                  <c:v>45029</c:v>
                </c:pt>
                <c:pt idx="816">
                  <c:v>45033</c:v>
                </c:pt>
                <c:pt idx="817">
                  <c:v>45034</c:v>
                </c:pt>
                <c:pt idx="818">
                  <c:v>45035</c:v>
                </c:pt>
                <c:pt idx="819">
                  <c:v>45036</c:v>
                </c:pt>
                <c:pt idx="820">
                  <c:v>45037</c:v>
                </c:pt>
                <c:pt idx="821">
                  <c:v>45040</c:v>
                </c:pt>
                <c:pt idx="822">
                  <c:v>45041</c:v>
                </c:pt>
                <c:pt idx="823">
                  <c:v>45042</c:v>
                </c:pt>
                <c:pt idx="824">
                  <c:v>45043</c:v>
                </c:pt>
                <c:pt idx="825">
                  <c:v>45044</c:v>
                </c:pt>
                <c:pt idx="826">
                  <c:v>45048</c:v>
                </c:pt>
                <c:pt idx="827">
                  <c:v>45049</c:v>
                </c:pt>
                <c:pt idx="828">
                  <c:v>45050</c:v>
                </c:pt>
                <c:pt idx="829">
                  <c:v>45051</c:v>
                </c:pt>
                <c:pt idx="830">
                  <c:v>45054</c:v>
                </c:pt>
                <c:pt idx="831">
                  <c:v>45055</c:v>
                </c:pt>
                <c:pt idx="832">
                  <c:v>45056</c:v>
                </c:pt>
                <c:pt idx="833">
                  <c:v>45057</c:v>
                </c:pt>
                <c:pt idx="834">
                  <c:v>45058</c:v>
                </c:pt>
                <c:pt idx="835">
                  <c:v>45061</c:v>
                </c:pt>
                <c:pt idx="836">
                  <c:v>45062</c:v>
                </c:pt>
                <c:pt idx="837">
                  <c:v>45063</c:v>
                </c:pt>
                <c:pt idx="838">
                  <c:v>45064</c:v>
                </c:pt>
                <c:pt idx="839">
                  <c:v>45065</c:v>
                </c:pt>
                <c:pt idx="840">
                  <c:v>45068</c:v>
                </c:pt>
                <c:pt idx="841">
                  <c:v>45069</c:v>
                </c:pt>
                <c:pt idx="842">
                  <c:v>45070</c:v>
                </c:pt>
                <c:pt idx="843">
                  <c:v>45071</c:v>
                </c:pt>
                <c:pt idx="844">
                  <c:v>45072</c:v>
                </c:pt>
                <c:pt idx="845">
                  <c:v>45075</c:v>
                </c:pt>
                <c:pt idx="846">
                  <c:v>45076</c:v>
                </c:pt>
                <c:pt idx="847">
                  <c:v>45077</c:v>
                </c:pt>
                <c:pt idx="848">
                  <c:v>45078</c:v>
                </c:pt>
                <c:pt idx="849">
                  <c:v>45079</c:v>
                </c:pt>
                <c:pt idx="850">
                  <c:v>45082</c:v>
                </c:pt>
                <c:pt idx="851">
                  <c:v>45083</c:v>
                </c:pt>
                <c:pt idx="852">
                  <c:v>45084</c:v>
                </c:pt>
                <c:pt idx="853">
                  <c:v>45085</c:v>
                </c:pt>
                <c:pt idx="854">
                  <c:v>45086</c:v>
                </c:pt>
                <c:pt idx="855">
                  <c:v>45089</c:v>
                </c:pt>
                <c:pt idx="856">
                  <c:v>45090</c:v>
                </c:pt>
                <c:pt idx="857">
                  <c:v>45091</c:v>
                </c:pt>
                <c:pt idx="858">
                  <c:v>45092</c:v>
                </c:pt>
                <c:pt idx="859">
                  <c:v>45093</c:v>
                </c:pt>
                <c:pt idx="860">
                  <c:v>45096</c:v>
                </c:pt>
                <c:pt idx="861">
                  <c:v>45097</c:v>
                </c:pt>
                <c:pt idx="862">
                  <c:v>45098</c:v>
                </c:pt>
                <c:pt idx="863">
                  <c:v>45099</c:v>
                </c:pt>
                <c:pt idx="864">
                  <c:v>45100</c:v>
                </c:pt>
                <c:pt idx="865">
                  <c:v>45103</c:v>
                </c:pt>
                <c:pt idx="866">
                  <c:v>45104</c:v>
                </c:pt>
                <c:pt idx="867">
                  <c:v>45105</c:v>
                </c:pt>
                <c:pt idx="868">
                  <c:v>45107</c:v>
                </c:pt>
                <c:pt idx="869">
                  <c:v>45110</c:v>
                </c:pt>
                <c:pt idx="870">
                  <c:v>45111</c:v>
                </c:pt>
                <c:pt idx="871">
                  <c:v>45112</c:v>
                </c:pt>
                <c:pt idx="872">
                  <c:v>45113</c:v>
                </c:pt>
                <c:pt idx="873">
                  <c:v>45114</c:v>
                </c:pt>
                <c:pt idx="874">
                  <c:v>45117</c:v>
                </c:pt>
                <c:pt idx="875">
                  <c:v>45118</c:v>
                </c:pt>
                <c:pt idx="876">
                  <c:v>45119</c:v>
                </c:pt>
                <c:pt idx="877">
                  <c:v>45120</c:v>
                </c:pt>
                <c:pt idx="878">
                  <c:v>45121</c:v>
                </c:pt>
                <c:pt idx="879">
                  <c:v>45124</c:v>
                </c:pt>
                <c:pt idx="880">
                  <c:v>45125</c:v>
                </c:pt>
                <c:pt idx="881">
                  <c:v>45126</c:v>
                </c:pt>
                <c:pt idx="882">
                  <c:v>45127</c:v>
                </c:pt>
                <c:pt idx="883">
                  <c:v>45128</c:v>
                </c:pt>
                <c:pt idx="884">
                  <c:v>45131</c:v>
                </c:pt>
                <c:pt idx="885">
                  <c:v>45132</c:v>
                </c:pt>
                <c:pt idx="886">
                  <c:v>45133</c:v>
                </c:pt>
                <c:pt idx="887">
                  <c:v>45134</c:v>
                </c:pt>
                <c:pt idx="888">
                  <c:v>45135</c:v>
                </c:pt>
                <c:pt idx="889">
                  <c:v>45138</c:v>
                </c:pt>
                <c:pt idx="890">
                  <c:v>45139</c:v>
                </c:pt>
                <c:pt idx="891">
                  <c:v>45140</c:v>
                </c:pt>
                <c:pt idx="892">
                  <c:v>45141</c:v>
                </c:pt>
                <c:pt idx="893">
                  <c:v>45142</c:v>
                </c:pt>
                <c:pt idx="894">
                  <c:v>45145</c:v>
                </c:pt>
                <c:pt idx="895">
                  <c:v>45146</c:v>
                </c:pt>
                <c:pt idx="896">
                  <c:v>45147</c:v>
                </c:pt>
                <c:pt idx="897">
                  <c:v>45148</c:v>
                </c:pt>
                <c:pt idx="898">
                  <c:v>45149</c:v>
                </c:pt>
                <c:pt idx="899">
                  <c:v>45152</c:v>
                </c:pt>
                <c:pt idx="900">
                  <c:v>45154</c:v>
                </c:pt>
                <c:pt idx="901">
                  <c:v>45155</c:v>
                </c:pt>
                <c:pt idx="902">
                  <c:v>45156</c:v>
                </c:pt>
                <c:pt idx="903">
                  <c:v>45159</c:v>
                </c:pt>
                <c:pt idx="904">
                  <c:v>45160</c:v>
                </c:pt>
                <c:pt idx="905">
                  <c:v>45161</c:v>
                </c:pt>
                <c:pt idx="906">
                  <c:v>45162</c:v>
                </c:pt>
                <c:pt idx="907">
                  <c:v>45163</c:v>
                </c:pt>
                <c:pt idx="908">
                  <c:v>45166</c:v>
                </c:pt>
                <c:pt idx="909">
                  <c:v>45167</c:v>
                </c:pt>
                <c:pt idx="910">
                  <c:v>45168</c:v>
                </c:pt>
                <c:pt idx="911">
                  <c:v>45169</c:v>
                </c:pt>
                <c:pt idx="912">
                  <c:v>45170</c:v>
                </c:pt>
                <c:pt idx="913">
                  <c:v>45173</c:v>
                </c:pt>
                <c:pt idx="914">
                  <c:v>45174</c:v>
                </c:pt>
                <c:pt idx="915">
                  <c:v>45175</c:v>
                </c:pt>
                <c:pt idx="916">
                  <c:v>45176</c:v>
                </c:pt>
                <c:pt idx="917">
                  <c:v>45177</c:v>
                </c:pt>
                <c:pt idx="918">
                  <c:v>45180</c:v>
                </c:pt>
                <c:pt idx="919">
                  <c:v>45181</c:v>
                </c:pt>
                <c:pt idx="920">
                  <c:v>45182</c:v>
                </c:pt>
                <c:pt idx="921">
                  <c:v>45183</c:v>
                </c:pt>
                <c:pt idx="922">
                  <c:v>45184</c:v>
                </c:pt>
                <c:pt idx="923">
                  <c:v>45187</c:v>
                </c:pt>
                <c:pt idx="924">
                  <c:v>45189</c:v>
                </c:pt>
                <c:pt idx="925">
                  <c:v>45190</c:v>
                </c:pt>
                <c:pt idx="926">
                  <c:v>45191</c:v>
                </c:pt>
                <c:pt idx="927">
                  <c:v>45194</c:v>
                </c:pt>
                <c:pt idx="928">
                  <c:v>45195</c:v>
                </c:pt>
                <c:pt idx="929">
                  <c:v>45196</c:v>
                </c:pt>
                <c:pt idx="930">
                  <c:v>45197</c:v>
                </c:pt>
                <c:pt idx="931">
                  <c:v>45198</c:v>
                </c:pt>
                <c:pt idx="932">
                  <c:v>45202</c:v>
                </c:pt>
                <c:pt idx="933">
                  <c:v>45203</c:v>
                </c:pt>
                <c:pt idx="934">
                  <c:v>45204</c:v>
                </c:pt>
                <c:pt idx="935">
                  <c:v>45205</c:v>
                </c:pt>
                <c:pt idx="936">
                  <c:v>45208</c:v>
                </c:pt>
                <c:pt idx="937">
                  <c:v>45209</c:v>
                </c:pt>
                <c:pt idx="938">
                  <c:v>45210</c:v>
                </c:pt>
                <c:pt idx="939">
                  <c:v>45211</c:v>
                </c:pt>
                <c:pt idx="940">
                  <c:v>45212</c:v>
                </c:pt>
                <c:pt idx="941">
                  <c:v>45215</c:v>
                </c:pt>
                <c:pt idx="942">
                  <c:v>45216</c:v>
                </c:pt>
                <c:pt idx="943">
                  <c:v>45217</c:v>
                </c:pt>
                <c:pt idx="944">
                  <c:v>45218</c:v>
                </c:pt>
                <c:pt idx="945">
                  <c:v>45219</c:v>
                </c:pt>
                <c:pt idx="946">
                  <c:v>45222</c:v>
                </c:pt>
                <c:pt idx="947">
                  <c:v>45224</c:v>
                </c:pt>
                <c:pt idx="948">
                  <c:v>45225</c:v>
                </c:pt>
                <c:pt idx="949">
                  <c:v>45226</c:v>
                </c:pt>
                <c:pt idx="950">
                  <c:v>45229</c:v>
                </c:pt>
                <c:pt idx="951">
                  <c:v>45230</c:v>
                </c:pt>
                <c:pt idx="952">
                  <c:v>45231</c:v>
                </c:pt>
                <c:pt idx="953">
                  <c:v>45232</c:v>
                </c:pt>
                <c:pt idx="954">
                  <c:v>45233</c:v>
                </c:pt>
                <c:pt idx="955">
                  <c:v>45236</c:v>
                </c:pt>
                <c:pt idx="956">
                  <c:v>45237</c:v>
                </c:pt>
                <c:pt idx="957">
                  <c:v>45238</c:v>
                </c:pt>
                <c:pt idx="958">
                  <c:v>45239</c:v>
                </c:pt>
                <c:pt idx="959">
                  <c:v>45240</c:v>
                </c:pt>
                <c:pt idx="960">
                  <c:v>45242</c:v>
                </c:pt>
                <c:pt idx="961">
                  <c:v>45243</c:v>
                </c:pt>
                <c:pt idx="962">
                  <c:v>45245</c:v>
                </c:pt>
                <c:pt idx="963">
                  <c:v>45246</c:v>
                </c:pt>
                <c:pt idx="964">
                  <c:v>45247</c:v>
                </c:pt>
                <c:pt idx="965">
                  <c:v>45250</c:v>
                </c:pt>
                <c:pt idx="966">
                  <c:v>45251</c:v>
                </c:pt>
                <c:pt idx="967">
                  <c:v>45252</c:v>
                </c:pt>
                <c:pt idx="968">
                  <c:v>45253</c:v>
                </c:pt>
                <c:pt idx="969">
                  <c:v>45254</c:v>
                </c:pt>
                <c:pt idx="970">
                  <c:v>45258</c:v>
                </c:pt>
                <c:pt idx="971">
                  <c:v>45259</c:v>
                </c:pt>
                <c:pt idx="972">
                  <c:v>45260</c:v>
                </c:pt>
                <c:pt idx="973">
                  <c:v>45261</c:v>
                </c:pt>
                <c:pt idx="974">
                  <c:v>45264</c:v>
                </c:pt>
                <c:pt idx="975">
                  <c:v>45265</c:v>
                </c:pt>
                <c:pt idx="976">
                  <c:v>45266</c:v>
                </c:pt>
                <c:pt idx="977">
                  <c:v>45267</c:v>
                </c:pt>
                <c:pt idx="978">
                  <c:v>45268</c:v>
                </c:pt>
                <c:pt idx="979">
                  <c:v>45271</c:v>
                </c:pt>
                <c:pt idx="980">
                  <c:v>45272</c:v>
                </c:pt>
                <c:pt idx="981">
                  <c:v>45273</c:v>
                </c:pt>
                <c:pt idx="982">
                  <c:v>45274</c:v>
                </c:pt>
                <c:pt idx="983">
                  <c:v>45275</c:v>
                </c:pt>
                <c:pt idx="984">
                  <c:v>45278</c:v>
                </c:pt>
                <c:pt idx="985">
                  <c:v>45279</c:v>
                </c:pt>
                <c:pt idx="986">
                  <c:v>45280</c:v>
                </c:pt>
                <c:pt idx="987">
                  <c:v>45281</c:v>
                </c:pt>
                <c:pt idx="988">
                  <c:v>45282</c:v>
                </c:pt>
                <c:pt idx="989">
                  <c:v>45286</c:v>
                </c:pt>
                <c:pt idx="990">
                  <c:v>45287</c:v>
                </c:pt>
                <c:pt idx="991">
                  <c:v>45288</c:v>
                </c:pt>
                <c:pt idx="992">
                  <c:v>45289</c:v>
                </c:pt>
                <c:pt idx="993">
                  <c:v>45292</c:v>
                </c:pt>
                <c:pt idx="994">
                  <c:v>45293</c:v>
                </c:pt>
                <c:pt idx="995">
                  <c:v>45294</c:v>
                </c:pt>
                <c:pt idx="996">
                  <c:v>45295</c:v>
                </c:pt>
                <c:pt idx="997">
                  <c:v>45296</c:v>
                </c:pt>
                <c:pt idx="998">
                  <c:v>45299</c:v>
                </c:pt>
                <c:pt idx="999">
                  <c:v>45300</c:v>
                </c:pt>
                <c:pt idx="1000">
                  <c:v>45301</c:v>
                </c:pt>
                <c:pt idx="1001">
                  <c:v>45302</c:v>
                </c:pt>
                <c:pt idx="1002">
                  <c:v>45303</c:v>
                </c:pt>
                <c:pt idx="1003">
                  <c:v>45306</c:v>
                </c:pt>
                <c:pt idx="1004">
                  <c:v>45307</c:v>
                </c:pt>
                <c:pt idx="1005">
                  <c:v>45308</c:v>
                </c:pt>
                <c:pt idx="1006">
                  <c:v>45309</c:v>
                </c:pt>
                <c:pt idx="1007">
                  <c:v>45310</c:v>
                </c:pt>
                <c:pt idx="1008">
                  <c:v>45311</c:v>
                </c:pt>
                <c:pt idx="1009">
                  <c:v>45314</c:v>
                </c:pt>
                <c:pt idx="1010">
                  <c:v>45315</c:v>
                </c:pt>
                <c:pt idx="1011">
                  <c:v>45316</c:v>
                </c:pt>
                <c:pt idx="1012">
                  <c:v>45320</c:v>
                </c:pt>
                <c:pt idx="1013">
                  <c:v>45321</c:v>
                </c:pt>
                <c:pt idx="1014">
                  <c:v>45322</c:v>
                </c:pt>
                <c:pt idx="1015">
                  <c:v>45323</c:v>
                </c:pt>
                <c:pt idx="1016">
                  <c:v>45324</c:v>
                </c:pt>
                <c:pt idx="1017">
                  <c:v>45327</c:v>
                </c:pt>
                <c:pt idx="1018">
                  <c:v>45328</c:v>
                </c:pt>
                <c:pt idx="1019">
                  <c:v>45329</c:v>
                </c:pt>
                <c:pt idx="1020">
                  <c:v>45330</c:v>
                </c:pt>
                <c:pt idx="1021">
                  <c:v>45331</c:v>
                </c:pt>
                <c:pt idx="1022">
                  <c:v>45334</c:v>
                </c:pt>
                <c:pt idx="1023">
                  <c:v>45335</c:v>
                </c:pt>
                <c:pt idx="1024">
                  <c:v>45336</c:v>
                </c:pt>
                <c:pt idx="1025">
                  <c:v>45337</c:v>
                </c:pt>
                <c:pt idx="1026">
                  <c:v>45338</c:v>
                </c:pt>
                <c:pt idx="1027">
                  <c:v>45341</c:v>
                </c:pt>
                <c:pt idx="1028">
                  <c:v>45342</c:v>
                </c:pt>
                <c:pt idx="1029">
                  <c:v>45343</c:v>
                </c:pt>
                <c:pt idx="1030">
                  <c:v>45344</c:v>
                </c:pt>
                <c:pt idx="1031">
                  <c:v>45345</c:v>
                </c:pt>
                <c:pt idx="1032">
                  <c:v>45348</c:v>
                </c:pt>
                <c:pt idx="1033">
                  <c:v>45349</c:v>
                </c:pt>
                <c:pt idx="1034">
                  <c:v>45350</c:v>
                </c:pt>
                <c:pt idx="1035">
                  <c:v>45351</c:v>
                </c:pt>
                <c:pt idx="1036">
                  <c:v>45352</c:v>
                </c:pt>
                <c:pt idx="1037">
                  <c:v>45353</c:v>
                </c:pt>
                <c:pt idx="1038">
                  <c:v>45355</c:v>
                </c:pt>
                <c:pt idx="1039">
                  <c:v>45356</c:v>
                </c:pt>
                <c:pt idx="1040">
                  <c:v>45357</c:v>
                </c:pt>
                <c:pt idx="1041">
                  <c:v>45358</c:v>
                </c:pt>
                <c:pt idx="1042">
                  <c:v>45362</c:v>
                </c:pt>
                <c:pt idx="1043">
                  <c:v>45363</c:v>
                </c:pt>
                <c:pt idx="1044">
                  <c:v>45364</c:v>
                </c:pt>
                <c:pt idx="1045">
                  <c:v>45365</c:v>
                </c:pt>
                <c:pt idx="1046">
                  <c:v>45366</c:v>
                </c:pt>
                <c:pt idx="1047">
                  <c:v>45369</c:v>
                </c:pt>
                <c:pt idx="1048">
                  <c:v>45370</c:v>
                </c:pt>
                <c:pt idx="1049">
                  <c:v>45371</c:v>
                </c:pt>
                <c:pt idx="1050">
                  <c:v>45372</c:v>
                </c:pt>
                <c:pt idx="1051">
                  <c:v>45373</c:v>
                </c:pt>
                <c:pt idx="1052">
                  <c:v>45377</c:v>
                </c:pt>
                <c:pt idx="1053">
                  <c:v>45378</c:v>
                </c:pt>
                <c:pt idx="1054">
                  <c:v>45379</c:v>
                </c:pt>
                <c:pt idx="1055">
                  <c:v>45383</c:v>
                </c:pt>
                <c:pt idx="1056">
                  <c:v>45384</c:v>
                </c:pt>
                <c:pt idx="1057">
                  <c:v>45385</c:v>
                </c:pt>
                <c:pt idx="1058">
                  <c:v>45386</c:v>
                </c:pt>
                <c:pt idx="1059">
                  <c:v>45387</c:v>
                </c:pt>
                <c:pt idx="1060">
                  <c:v>45390</c:v>
                </c:pt>
                <c:pt idx="1061">
                  <c:v>45391</c:v>
                </c:pt>
                <c:pt idx="1062">
                  <c:v>45392</c:v>
                </c:pt>
                <c:pt idx="1063">
                  <c:v>45394</c:v>
                </c:pt>
                <c:pt idx="1064">
                  <c:v>45397</c:v>
                </c:pt>
                <c:pt idx="1065">
                  <c:v>45398</c:v>
                </c:pt>
                <c:pt idx="1066">
                  <c:v>45400</c:v>
                </c:pt>
                <c:pt idx="1067">
                  <c:v>45401</c:v>
                </c:pt>
                <c:pt idx="1068">
                  <c:v>45404</c:v>
                </c:pt>
                <c:pt idx="1069">
                  <c:v>45405</c:v>
                </c:pt>
                <c:pt idx="1070">
                  <c:v>45406</c:v>
                </c:pt>
                <c:pt idx="1071">
                  <c:v>45407</c:v>
                </c:pt>
                <c:pt idx="1072">
                  <c:v>45408</c:v>
                </c:pt>
                <c:pt idx="1073">
                  <c:v>45411</c:v>
                </c:pt>
                <c:pt idx="1074">
                  <c:v>45412</c:v>
                </c:pt>
                <c:pt idx="1075">
                  <c:v>45414</c:v>
                </c:pt>
                <c:pt idx="1076">
                  <c:v>45415</c:v>
                </c:pt>
                <c:pt idx="1077">
                  <c:v>45418</c:v>
                </c:pt>
                <c:pt idx="1078">
                  <c:v>45419</c:v>
                </c:pt>
                <c:pt idx="1079">
                  <c:v>45420</c:v>
                </c:pt>
                <c:pt idx="1080">
                  <c:v>45421</c:v>
                </c:pt>
                <c:pt idx="1081">
                  <c:v>45422</c:v>
                </c:pt>
                <c:pt idx="1082">
                  <c:v>45425</c:v>
                </c:pt>
                <c:pt idx="1083">
                  <c:v>45426</c:v>
                </c:pt>
                <c:pt idx="1084">
                  <c:v>45427</c:v>
                </c:pt>
                <c:pt idx="1085">
                  <c:v>45428</c:v>
                </c:pt>
                <c:pt idx="1086">
                  <c:v>45429</c:v>
                </c:pt>
                <c:pt idx="1087">
                  <c:v>45430</c:v>
                </c:pt>
                <c:pt idx="1088">
                  <c:v>45433</c:v>
                </c:pt>
                <c:pt idx="1089">
                  <c:v>45434</c:v>
                </c:pt>
                <c:pt idx="1090">
                  <c:v>45435</c:v>
                </c:pt>
                <c:pt idx="1091">
                  <c:v>45436</c:v>
                </c:pt>
                <c:pt idx="1092">
                  <c:v>45439</c:v>
                </c:pt>
                <c:pt idx="1093">
                  <c:v>45440</c:v>
                </c:pt>
                <c:pt idx="1094">
                  <c:v>45441</c:v>
                </c:pt>
                <c:pt idx="1095">
                  <c:v>45442</c:v>
                </c:pt>
                <c:pt idx="1096">
                  <c:v>45443</c:v>
                </c:pt>
                <c:pt idx="1097">
                  <c:v>45446</c:v>
                </c:pt>
                <c:pt idx="1098">
                  <c:v>45447</c:v>
                </c:pt>
                <c:pt idx="1099">
                  <c:v>45448</c:v>
                </c:pt>
                <c:pt idx="1100">
                  <c:v>45449</c:v>
                </c:pt>
                <c:pt idx="1101">
                  <c:v>45450</c:v>
                </c:pt>
                <c:pt idx="1102">
                  <c:v>45453</c:v>
                </c:pt>
                <c:pt idx="1103">
                  <c:v>45454</c:v>
                </c:pt>
                <c:pt idx="1104">
                  <c:v>45455</c:v>
                </c:pt>
                <c:pt idx="1105">
                  <c:v>45456</c:v>
                </c:pt>
                <c:pt idx="1106">
                  <c:v>45457</c:v>
                </c:pt>
                <c:pt idx="1107">
                  <c:v>45461</c:v>
                </c:pt>
                <c:pt idx="1108">
                  <c:v>45462</c:v>
                </c:pt>
                <c:pt idx="1109">
                  <c:v>45463</c:v>
                </c:pt>
                <c:pt idx="1110">
                  <c:v>45464</c:v>
                </c:pt>
                <c:pt idx="1111">
                  <c:v>45467</c:v>
                </c:pt>
                <c:pt idx="1112">
                  <c:v>45468</c:v>
                </c:pt>
                <c:pt idx="1113">
                  <c:v>45469</c:v>
                </c:pt>
                <c:pt idx="1114">
                  <c:v>45470</c:v>
                </c:pt>
                <c:pt idx="1115">
                  <c:v>45471</c:v>
                </c:pt>
                <c:pt idx="1116">
                  <c:v>45474</c:v>
                </c:pt>
                <c:pt idx="1117">
                  <c:v>45475</c:v>
                </c:pt>
                <c:pt idx="1118">
                  <c:v>45476</c:v>
                </c:pt>
                <c:pt idx="1119">
                  <c:v>45477</c:v>
                </c:pt>
                <c:pt idx="1120">
                  <c:v>45478</c:v>
                </c:pt>
                <c:pt idx="1121">
                  <c:v>45481</c:v>
                </c:pt>
                <c:pt idx="1122">
                  <c:v>45482</c:v>
                </c:pt>
                <c:pt idx="1123">
                  <c:v>45483</c:v>
                </c:pt>
                <c:pt idx="1124">
                  <c:v>45484</c:v>
                </c:pt>
                <c:pt idx="1125">
                  <c:v>45485</c:v>
                </c:pt>
                <c:pt idx="1126">
                  <c:v>45488</c:v>
                </c:pt>
                <c:pt idx="1127">
                  <c:v>45489</c:v>
                </c:pt>
                <c:pt idx="1128">
                  <c:v>45491</c:v>
                </c:pt>
                <c:pt idx="1129">
                  <c:v>45492</c:v>
                </c:pt>
                <c:pt idx="1130">
                  <c:v>45495</c:v>
                </c:pt>
                <c:pt idx="1131">
                  <c:v>45496</c:v>
                </c:pt>
                <c:pt idx="1132">
                  <c:v>45497</c:v>
                </c:pt>
                <c:pt idx="1133">
                  <c:v>45498</c:v>
                </c:pt>
                <c:pt idx="1134">
                  <c:v>45499</c:v>
                </c:pt>
                <c:pt idx="1135">
                  <c:v>45502</c:v>
                </c:pt>
                <c:pt idx="1136">
                  <c:v>45503</c:v>
                </c:pt>
                <c:pt idx="1137">
                  <c:v>45504</c:v>
                </c:pt>
                <c:pt idx="1138">
                  <c:v>45505</c:v>
                </c:pt>
                <c:pt idx="1139">
                  <c:v>45506</c:v>
                </c:pt>
                <c:pt idx="1140">
                  <c:v>45509</c:v>
                </c:pt>
                <c:pt idx="1141">
                  <c:v>45510</c:v>
                </c:pt>
                <c:pt idx="1142">
                  <c:v>45511</c:v>
                </c:pt>
                <c:pt idx="1143">
                  <c:v>45512</c:v>
                </c:pt>
                <c:pt idx="1144">
                  <c:v>45513</c:v>
                </c:pt>
                <c:pt idx="1145">
                  <c:v>45516</c:v>
                </c:pt>
                <c:pt idx="1146">
                  <c:v>45517</c:v>
                </c:pt>
                <c:pt idx="1147">
                  <c:v>45518</c:v>
                </c:pt>
                <c:pt idx="1148">
                  <c:v>45520</c:v>
                </c:pt>
                <c:pt idx="1149">
                  <c:v>45523</c:v>
                </c:pt>
                <c:pt idx="1150">
                  <c:v>45524</c:v>
                </c:pt>
                <c:pt idx="1151">
                  <c:v>45525</c:v>
                </c:pt>
                <c:pt idx="1152">
                  <c:v>45526</c:v>
                </c:pt>
                <c:pt idx="1153">
                  <c:v>45527</c:v>
                </c:pt>
                <c:pt idx="1154">
                  <c:v>45530</c:v>
                </c:pt>
                <c:pt idx="1155">
                  <c:v>45531</c:v>
                </c:pt>
                <c:pt idx="1156">
                  <c:v>45532</c:v>
                </c:pt>
                <c:pt idx="1157">
                  <c:v>45533</c:v>
                </c:pt>
                <c:pt idx="1158">
                  <c:v>45534</c:v>
                </c:pt>
                <c:pt idx="1159">
                  <c:v>45537</c:v>
                </c:pt>
                <c:pt idx="1160">
                  <c:v>45538</c:v>
                </c:pt>
                <c:pt idx="1161">
                  <c:v>45539</c:v>
                </c:pt>
                <c:pt idx="1162">
                  <c:v>45540</c:v>
                </c:pt>
                <c:pt idx="1163">
                  <c:v>45541</c:v>
                </c:pt>
                <c:pt idx="1164">
                  <c:v>45544</c:v>
                </c:pt>
                <c:pt idx="1165">
                  <c:v>45545</c:v>
                </c:pt>
                <c:pt idx="1166">
                  <c:v>45546</c:v>
                </c:pt>
                <c:pt idx="1167">
                  <c:v>45547</c:v>
                </c:pt>
                <c:pt idx="1168">
                  <c:v>45548</c:v>
                </c:pt>
                <c:pt idx="1169">
                  <c:v>45551</c:v>
                </c:pt>
                <c:pt idx="1170">
                  <c:v>45552</c:v>
                </c:pt>
                <c:pt idx="1171">
                  <c:v>45553</c:v>
                </c:pt>
                <c:pt idx="1172">
                  <c:v>45554</c:v>
                </c:pt>
                <c:pt idx="1173">
                  <c:v>45555</c:v>
                </c:pt>
                <c:pt idx="1174">
                  <c:v>45558</c:v>
                </c:pt>
                <c:pt idx="1175">
                  <c:v>45559</c:v>
                </c:pt>
                <c:pt idx="1176">
                  <c:v>45560</c:v>
                </c:pt>
                <c:pt idx="1177">
                  <c:v>45561</c:v>
                </c:pt>
                <c:pt idx="1178">
                  <c:v>45562</c:v>
                </c:pt>
                <c:pt idx="1179">
                  <c:v>45565</c:v>
                </c:pt>
                <c:pt idx="1180">
                  <c:v>45566</c:v>
                </c:pt>
                <c:pt idx="1181">
                  <c:v>45568</c:v>
                </c:pt>
                <c:pt idx="1182">
                  <c:v>45569</c:v>
                </c:pt>
                <c:pt idx="1183">
                  <c:v>45572</c:v>
                </c:pt>
                <c:pt idx="1184">
                  <c:v>45573</c:v>
                </c:pt>
                <c:pt idx="1185">
                  <c:v>45574</c:v>
                </c:pt>
                <c:pt idx="1186">
                  <c:v>45575</c:v>
                </c:pt>
                <c:pt idx="1187">
                  <c:v>45576</c:v>
                </c:pt>
                <c:pt idx="1188">
                  <c:v>45579</c:v>
                </c:pt>
                <c:pt idx="1189">
                  <c:v>45580</c:v>
                </c:pt>
                <c:pt idx="1190">
                  <c:v>45581</c:v>
                </c:pt>
                <c:pt idx="1191">
                  <c:v>45582</c:v>
                </c:pt>
                <c:pt idx="1192">
                  <c:v>45583</c:v>
                </c:pt>
                <c:pt idx="1193">
                  <c:v>45586</c:v>
                </c:pt>
                <c:pt idx="1194">
                  <c:v>45587</c:v>
                </c:pt>
                <c:pt idx="1195">
                  <c:v>45588</c:v>
                </c:pt>
                <c:pt idx="1196">
                  <c:v>45589</c:v>
                </c:pt>
                <c:pt idx="1197">
                  <c:v>45590</c:v>
                </c:pt>
                <c:pt idx="1198">
                  <c:v>45593</c:v>
                </c:pt>
                <c:pt idx="1199">
                  <c:v>45594</c:v>
                </c:pt>
                <c:pt idx="1200">
                  <c:v>45595</c:v>
                </c:pt>
                <c:pt idx="1201">
                  <c:v>45596</c:v>
                </c:pt>
                <c:pt idx="1202">
                  <c:v>45597</c:v>
                </c:pt>
                <c:pt idx="1203">
                  <c:v>45600</c:v>
                </c:pt>
                <c:pt idx="1204">
                  <c:v>45601</c:v>
                </c:pt>
                <c:pt idx="1205">
                  <c:v>45602</c:v>
                </c:pt>
                <c:pt idx="1206">
                  <c:v>45603</c:v>
                </c:pt>
                <c:pt idx="1207">
                  <c:v>45604</c:v>
                </c:pt>
                <c:pt idx="1208">
                  <c:v>45607</c:v>
                </c:pt>
                <c:pt idx="1209">
                  <c:v>45608</c:v>
                </c:pt>
                <c:pt idx="1210">
                  <c:v>45609</c:v>
                </c:pt>
                <c:pt idx="1211">
                  <c:v>45610</c:v>
                </c:pt>
                <c:pt idx="1212">
                  <c:v>45614</c:v>
                </c:pt>
                <c:pt idx="1213">
                  <c:v>45615</c:v>
                </c:pt>
                <c:pt idx="1214">
                  <c:v>45617</c:v>
                </c:pt>
                <c:pt idx="1215">
                  <c:v>45618</c:v>
                </c:pt>
                <c:pt idx="1216">
                  <c:v>45621</c:v>
                </c:pt>
                <c:pt idx="1217">
                  <c:v>45622</c:v>
                </c:pt>
                <c:pt idx="1218">
                  <c:v>45623</c:v>
                </c:pt>
                <c:pt idx="1219">
                  <c:v>45624</c:v>
                </c:pt>
                <c:pt idx="1220">
                  <c:v>45625</c:v>
                </c:pt>
                <c:pt idx="1221">
                  <c:v>45628</c:v>
                </c:pt>
                <c:pt idx="1222">
                  <c:v>45629</c:v>
                </c:pt>
                <c:pt idx="1223">
                  <c:v>45630</c:v>
                </c:pt>
                <c:pt idx="1224">
                  <c:v>45631</c:v>
                </c:pt>
                <c:pt idx="1225">
                  <c:v>45632</c:v>
                </c:pt>
                <c:pt idx="1226">
                  <c:v>45635</c:v>
                </c:pt>
                <c:pt idx="1227">
                  <c:v>45636</c:v>
                </c:pt>
                <c:pt idx="1228">
                  <c:v>45637</c:v>
                </c:pt>
                <c:pt idx="1229">
                  <c:v>45638</c:v>
                </c:pt>
                <c:pt idx="1230">
                  <c:v>45639</c:v>
                </c:pt>
                <c:pt idx="1231">
                  <c:v>45642</c:v>
                </c:pt>
                <c:pt idx="1232">
                  <c:v>45643</c:v>
                </c:pt>
                <c:pt idx="1233">
                  <c:v>45644</c:v>
                </c:pt>
                <c:pt idx="1234">
                  <c:v>45645</c:v>
                </c:pt>
                <c:pt idx="1235">
                  <c:v>45646</c:v>
                </c:pt>
                <c:pt idx="1236">
                  <c:v>45649</c:v>
                </c:pt>
                <c:pt idx="1237">
                  <c:v>45650</c:v>
                </c:pt>
                <c:pt idx="1238">
                  <c:v>45652</c:v>
                </c:pt>
                <c:pt idx="1239">
                  <c:v>45653</c:v>
                </c:pt>
                <c:pt idx="1240">
                  <c:v>45656</c:v>
                </c:pt>
                <c:pt idx="1241">
                  <c:v>45657</c:v>
                </c:pt>
                <c:pt idx="1242">
                  <c:v>45658</c:v>
                </c:pt>
                <c:pt idx="1243">
                  <c:v>45659</c:v>
                </c:pt>
                <c:pt idx="1244">
                  <c:v>45660</c:v>
                </c:pt>
                <c:pt idx="1245">
                  <c:v>45663</c:v>
                </c:pt>
                <c:pt idx="1246">
                  <c:v>45664</c:v>
                </c:pt>
                <c:pt idx="1247">
                  <c:v>45665</c:v>
                </c:pt>
                <c:pt idx="1248">
                  <c:v>45666</c:v>
                </c:pt>
                <c:pt idx="1249">
                  <c:v>45667</c:v>
                </c:pt>
                <c:pt idx="1250">
                  <c:v>45670</c:v>
                </c:pt>
                <c:pt idx="1251">
                  <c:v>45671</c:v>
                </c:pt>
                <c:pt idx="1252">
                  <c:v>45672</c:v>
                </c:pt>
                <c:pt idx="1253">
                  <c:v>45673</c:v>
                </c:pt>
                <c:pt idx="1254">
                  <c:v>45674</c:v>
                </c:pt>
                <c:pt idx="1255">
                  <c:v>45677</c:v>
                </c:pt>
                <c:pt idx="1256">
                  <c:v>45678</c:v>
                </c:pt>
                <c:pt idx="1257">
                  <c:v>45679</c:v>
                </c:pt>
                <c:pt idx="1258">
                  <c:v>45680</c:v>
                </c:pt>
                <c:pt idx="1259">
                  <c:v>45681</c:v>
                </c:pt>
                <c:pt idx="1260">
                  <c:v>45684</c:v>
                </c:pt>
                <c:pt idx="1261">
                  <c:v>45685</c:v>
                </c:pt>
                <c:pt idx="1262">
                  <c:v>45686</c:v>
                </c:pt>
                <c:pt idx="1263">
                  <c:v>45687</c:v>
                </c:pt>
                <c:pt idx="1264">
                  <c:v>45688</c:v>
                </c:pt>
                <c:pt idx="1265">
                  <c:v>45689</c:v>
                </c:pt>
                <c:pt idx="1266">
                  <c:v>45691</c:v>
                </c:pt>
                <c:pt idx="1267">
                  <c:v>45692</c:v>
                </c:pt>
                <c:pt idx="1268">
                  <c:v>45693</c:v>
                </c:pt>
                <c:pt idx="1269">
                  <c:v>45694</c:v>
                </c:pt>
                <c:pt idx="1270">
                  <c:v>45695</c:v>
                </c:pt>
                <c:pt idx="1271">
                  <c:v>45698</c:v>
                </c:pt>
                <c:pt idx="1272">
                  <c:v>45699</c:v>
                </c:pt>
                <c:pt idx="1273">
                  <c:v>45700</c:v>
                </c:pt>
                <c:pt idx="1274">
                  <c:v>45701</c:v>
                </c:pt>
                <c:pt idx="1275">
                  <c:v>45702</c:v>
                </c:pt>
                <c:pt idx="1276">
                  <c:v>45705</c:v>
                </c:pt>
                <c:pt idx="1277">
                  <c:v>45706</c:v>
                </c:pt>
                <c:pt idx="1278">
                  <c:v>45707</c:v>
                </c:pt>
                <c:pt idx="1279">
                  <c:v>45708</c:v>
                </c:pt>
                <c:pt idx="1280">
                  <c:v>45709</c:v>
                </c:pt>
                <c:pt idx="1281">
                  <c:v>45712</c:v>
                </c:pt>
                <c:pt idx="1282">
                  <c:v>45713</c:v>
                </c:pt>
                <c:pt idx="1283">
                  <c:v>45715</c:v>
                </c:pt>
                <c:pt idx="1284">
                  <c:v>45716</c:v>
                </c:pt>
                <c:pt idx="1285">
                  <c:v>45719</c:v>
                </c:pt>
                <c:pt idx="1286">
                  <c:v>45720</c:v>
                </c:pt>
                <c:pt idx="1287">
                  <c:v>45721</c:v>
                </c:pt>
                <c:pt idx="1288">
                  <c:v>45722</c:v>
                </c:pt>
                <c:pt idx="1289">
                  <c:v>45723</c:v>
                </c:pt>
                <c:pt idx="1290">
                  <c:v>45726</c:v>
                </c:pt>
                <c:pt idx="1291">
                  <c:v>45727</c:v>
                </c:pt>
                <c:pt idx="1292">
                  <c:v>45728</c:v>
                </c:pt>
                <c:pt idx="1293">
                  <c:v>45729</c:v>
                </c:pt>
                <c:pt idx="1294">
                  <c:v>45733</c:v>
                </c:pt>
                <c:pt idx="1295">
                  <c:v>45734</c:v>
                </c:pt>
                <c:pt idx="1296">
                  <c:v>45735</c:v>
                </c:pt>
                <c:pt idx="1297">
                  <c:v>45736</c:v>
                </c:pt>
                <c:pt idx="1298">
                  <c:v>45737</c:v>
                </c:pt>
                <c:pt idx="1299">
                  <c:v>45740</c:v>
                </c:pt>
                <c:pt idx="1300">
                  <c:v>45741</c:v>
                </c:pt>
                <c:pt idx="1301">
                  <c:v>45742</c:v>
                </c:pt>
                <c:pt idx="1302">
                  <c:v>45743</c:v>
                </c:pt>
                <c:pt idx="1303">
                  <c:v>45744</c:v>
                </c:pt>
                <c:pt idx="1304">
                  <c:v>45748</c:v>
                </c:pt>
                <c:pt idx="1305">
                  <c:v>45749</c:v>
                </c:pt>
                <c:pt idx="1306">
                  <c:v>45750</c:v>
                </c:pt>
                <c:pt idx="1307">
                  <c:v>45751</c:v>
                </c:pt>
                <c:pt idx="1308">
                  <c:v>45754</c:v>
                </c:pt>
                <c:pt idx="1309">
                  <c:v>45755</c:v>
                </c:pt>
                <c:pt idx="1310">
                  <c:v>45756</c:v>
                </c:pt>
                <c:pt idx="1311">
                  <c:v>45758</c:v>
                </c:pt>
                <c:pt idx="1312">
                  <c:v>45762</c:v>
                </c:pt>
                <c:pt idx="1313">
                  <c:v>45763</c:v>
                </c:pt>
                <c:pt idx="1314">
                  <c:v>45764</c:v>
                </c:pt>
                <c:pt idx="1315">
                  <c:v>45768</c:v>
                </c:pt>
                <c:pt idx="1316">
                  <c:v>45769</c:v>
                </c:pt>
                <c:pt idx="1317">
                  <c:v>45770</c:v>
                </c:pt>
                <c:pt idx="1318">
                  <c:v>45771</c:v>
                </c:pt>
                <c:pt idx="1319">
                  <c:v>45772</c:v>
                </c:pt>
                <c:pt idx="1320">
                  <c:v>45775</c:v>
                </c:pt>
                <c:pt idx="1321">
                  <c:v>45776</c:v>
                </c:pt>
                <c:pt idx="1322">
                  <c:v>45777</c:v>
                </c:pt>
                <c:pt idx="1323">
                  <c:v>45779</c:v>
                </c:pt>
                <c:pt idx="1324">
                  <c:v>45782</c:v>
                </c:pt>
                <c:pt idx="1325">
                  <c:v>45783</c:v>
                </c:pt>
                <c:pt idx="1326">
                  <c:v>45784</c:v>
                </c:pt>
                <c:pt idx="1327">
                  <c:v>45785</c:v>
                </c:pt>
                <c:pt idx="1328">
                  <c:v>45786</c:v>
                </c:pt>
                <c:pt idx="1329">
                  <c:v>45789</c:v>
                </c:pt>
                <c:pt idx="1330">
                  <c:v>45790</c:v>
                </c:pt>
                <c:pt idx="1331">
                  <c:v>45791</c:v>
                </c:pt>
                <c:pt idx="1332">
                  <c:v>45792</c:v>
                </c:pt>
                <c:pt idx="1333">
                  <c:v>45793</c:v>
                </c:pt>
                <c:pt idx="1334">
                  <c:v>45796</c:v>
                </c:pt>
                <c:pt idx="1335">
                  <c:v>45797</c:v>
                </c:pt>
                <c:pt idx="1336">
                  <c:v>45798</c:v>
                </c:pt>
                <c:pt idx="1337">
                  <c:v>45799</c:v>
                </c:pt>
                <c:pt idx="1338">
                  <c:v>45800</c:v>
                </c:pt>
                <c:pt idx="1339">
                  <c:v>45803</c:v>
                </c:pt>
                <c:pt idx="1340">
                  <c:v>45804</c:v>
                </c:pt>
                <c:pt idx="1341">
                  <c:v>45805</c:v>
                </c:pt>
                <c:pt idx="1342">
                  <c:v>45806</c:v>
                </c:pt>
                <c:pt idx="1343">
                  <c:v>45807</c:v>
                </c:pt>
                <c:pt idx="1344">
                  <c:v>45810</c:v>
                </c:pt>
                <c:pt idx="1345">
                  <c:v>45811</c:v>
                </c:pt>
                <c:pt idx="1346">
                  <c:v>45812</c:v>
                </c:pt>
                <c:pt idx="1347">
                  <c:v>45813</c:v>
                </c:pt>
                <c:pt idx="1348">
                  <c:v>45814</c:v>
                </c:pt>
                <c:pt idx="1349">
                  <c:v>45817</c:v>
                </c:pt>
                <c:pt idx="1350">
                  <c:v>45818</c:v>
                </c:pt>
                <c:pt idx="1351">
                  <c:v>45819</c:v>
                </c:pt>
                <c:pt idx="1352">
                  <c:v>45820</c:v>
                </c:pt>
                <c:pt idx="1353">
                  <c:v>45821</c:v>
                </c:pt>
                <c:pt idx="1354">
                  <c:v>45824</c:v>
                </c:pt>
                <c:pt idx="1355">
                  <c:v>45825</c:v>
                </c:pt>
                <c:pt idx="1356">
                  <c:v>45826</c:v>
                </c:pt>
                <c:pt idx="1357">
                  <c:v>45827</c:v>
                </c:pt>
                <c:pt idx="1358">
                  <c:v>45828</c:v>
                </c:pt>
                <c:pt idx="1359">
                  <c:v>45831</c:v>
                </c:pt>
                <c:pt idx="1360">
                  <c:v>45832</c:v>
                </c:pt>
                <c:pt idx="1361">
                  <c:v>45833</c:v>
                </c:pt>
                <c:pt idx="1362">
                  <c:v>45834</c:v>
                </c:pt>
                <c:pt idx="1363">
                  <c:v>45835</c:v>
                </c:pt>
                <c:pt idx="1364">
                  <c:v>45838</c:v>
                </c:pt>
                <c:pt idx="1365">
                  <c:v>45839</c:v>
                </c:pt>
                <c:pt idx="1366">
                  <c:v>45840</c:v>
                </c:pt>
                <c:pt idx="1367">
                  <c:v>45841</c:v>
                </c:pt>
                <c:pt idx="1368">
                  <c:v>45842</c:v>
                </c:pt>
                <c:pt idx="1369">
                  <c:v>45845</c:v>
                </c:pt>
                <c:pt idx="1370">
                  <c:v>45846</c:v>
                </c:pt>
                <c:pt idx="1371">
                  <c:v>45847</c:v>
                </c:pt>
                <c:pt idx="1372">
                  <c:v>45848</c:v>
                </c:pt>
                <c:pt idx="1373">
                  <c:v>45849</c:v>
                </c:pt>
                <c:pt idx="1374">
                  <c:v>45852</c:v>
                </c:pt>
                <c:pt idx="1375">
                  <c:v>45853</c:v>
                </c:pt>
                <c:pt idx="1376">
                  <c:v>45854</c:v>
                </c:pt>
                <c:pt idx="1377">
                  <c:v>45855</c:v>
                </c:pt>
                <c:pt idx="1378">
                  <c:v>45856</c:v>
                </c:pt>
                <c:pt idx="1379">
                  <c:v>45859</c:v>
                </c:pt>
                <c:pt idx="1380">
                  <c:v>45860</c:v>
                </c:pt>
                <c:pt idx="1381">
                  <c:v>45861</c:v>
                </c:pt>
                <c:pt idx="1382">
                  <c:v>45862</c:v>
                </c:pt>
                <c:pt idx="1383">
                  <c:v>45863</c:v>
                </c:pt>
                <c:pt idx="1384">
                  <c:v>45866</c:v>
                </c:pt>
                <c:pt idx="1385">
                  <c:v>45867</c:v>
                </c:pt>
                <c:pt idx="1386">
                  <c:v>45868</c:v>
                </c:pt>
                <c:pt idx="1387">
                  <c:v>45869</c:v>
                </c:pt>
                <c:pt idx="1388">
                  <c:v>45870</c:v>
                </c:pt>
                <c:pt idx="1389">
                  <c:v>45873</c:v>
                </c:pt>
                <c:pt idx="1390">
                  <c:v>45874</c:v>
                </c:pt>
                <c:pt idx="1391">
                  <c:v>45875</c:v>
                </c:pt>
                <c:pt idx="1392">
                  <c:v>45876</c:v>
                </c:pt>
                <c:pt idx="1393">
                  <c:v>45877</c:v>
                </c:pt>
                <c:pt idx="1394">
                  <c:v>45880</c:v>
                </c:pt>
                <c:pt idx="1395">
                  <c:v>45881</c:v>
                </c:pt>
                <c:pt idx="1396">
                  <c:v>45882</c:v>
                </c:pt>
                <c:pt idx="1397">
                  <c:v>45883</c:v>
                </c:pt>
                <c:pt idx="1398">
                  <c:v>45887</c:v>
                </c:pt>
                <c:pt idx="1399">
                  <c:v>45888</c:v>
                </c:pt>
                <c:pt idx="1400">
                  <c:v>45889</c:v>
                </c:pt>
                <c:pt idx="1401">
                  <c:v>45890</c:v>
                </c:pt>
                <c:pt idx="1402">
                  <c:v>45891</c:v>
                </c:pt>
                <c:pt idx="1403">
                  <c:v>45894</c:v>
                </c:pt>
                <c:pt idx="1404">
                  <c:v>45895</c:v>
                </c:pt>
                <c:pt idx="1405">
                  <c:v>45897</c:v>
                </c:pt>
                <c:pt idx="1406">
                  <c:v>45898</c:v>
                </c:pt>
                <c:pt idx="1407">
                  <c:v>45901</c:v>
                </c:pt>
                <c:pt idx="1408">
                  <c:v>45902</c:v>
                </c:pt>
                <c:pt idx="1409">
                  <c:v>45903</c:v>
                </c:pt>
                <c:pt idx="1410">
                  <c:v>45904</c:v>
                </c:pt>
                <c:pt idx="1411">
                  <c:v>45905</c:v>
                </c:pt>
                <c:pt idx="1412">
                  <c:v>45908</c:v>
                </c:pt>
                <c:pt idx="1413">
                  <c:v>45909</c:v>
                </c:pt>
                <c:pt idx="1414">
                  <c:v>45910</c:v>
                </c:pt>
                <c:pt idx="1415">
                  <c:v>45911</c:v>
                </c:pt>
                <c:pt idx="1416">
                  <c:v>45912</c:v>
                </c:pt>
                <c:pt idx="1417">
                  <c:v>45915</c:v>
                </c:pt>
                <c:pt idx="1418">
                  <c:v>45916</c:v>
                </c:pt>
                <c:pt idx="1419">
                  <c:v>45917</c:v>
                </c:pt>
                <c:pt idx="1420">
                  <c:v>45918</c:v>
                </c:pt>
                <c:pt idx="1421">
                  <c:v>45919</c:v>
                </c:pt>
                <c:pt idx="1422">
                  <c:v>45922</c:v>
                </c:pt>
                <c:pt idx="1423">
                  <c:v>45923</c:v>
                </c:pt>
                <c:pt idx="1424">
                  <c:v>45924</c:v>
                </c:pt>
                <c:pt idx="1425">
                  <c:v>45925</c:v>
                </c:pt>
                <c:pt idx="1426">
                  <c:v>45926</c:v>
                </c:pt>
                <c:pt idx="1427">
                  <c:v>45929</c:v>
                </c:pt>
                <c:pt idx="1428">
                  <c:v>45930</c:v>
                </c:pt>
                <c:pt idx="1429">
                  <c:v>45931</c:v>
                </c:pt>
                <c:pt idx="1430">
                  <c:v>45933</c:v>
                </c:pt>
                <c:pt idx="1431">
                  <c:v>45936</c:v>
                </c:pt>
                <c:pt idx="1432">
                  <c:v>45937</c:v>
                </c:pt>
                <c:pt idx="1433">
                  <c:v>45938</c:v>
                </c:pt>
                <c:pt idx="1434">
                  <c:v>45939</c:v>
                </c:pt>
                <c:pt idx="1435">
                  <c:v>45940</c:v>
                </c:pt>
                <c:pt idx="1436">
                  <c:v>45943</c:v>
                </c:pt>
                <c:pt idx="1437">
                  <c:v>45944</c:v>
                </c:pt>
                <c:pt idx="1438">
                  <c:v>45945</c:v>
                </c:pt>
                <c:pt idx="1439">
                  <c:v>45946</c:v>
                </c:pt>
                <c:pt idx="1440">
                  <c:v>45947</c:v>
                </c:pt>
                <c:pt idx="1441">
                  <c:v>45950</c:v>
                </c:pt>
                <c:pt idx="1442">
                  <c:v>45951</c:v>
                </c:pt>
                <c:pt idx="1443">
                  <c:v>45953</c:v>
                </c:pt>
                <c:pt idx="1444">
                  <c:v>45954</c:v>
                </c:pt>
                <c:pt idx="1445">
                  <c:v>45957</c:v>
                </c:pt>
                <c:pt idx="1446">
                  <c:v>45958</c:v>
                </c:pt>
                <c:pt idx="1447">
                  <c:v>45959</c:v>
                </c:pt>
                <c:pt idx="1448">
                  <c:v>45960</c:v>
                </c:pt>
                <c:pt idx="1449">
                  <c:v>45961</c:v>
                </c:pt>
                <c:pt idx="1450">
                  <c:v>45964</c:v>
                </c:pt>
                <c:pt idx="1451">
                  <c:v>45965</c:v>
                </c:pt>
                <c:pt idx="1452">
                  <c:v>45967</c:v>
                </c:pt>
                <c:pt idx="1453">
                  <c:v>45968</c:v>
                </c:pt>
                <c:pt idx="1454">
                  <c:v>45971</c:v>
                </c:pt>
                <c:pt idx="1455">
                  <c:v>45972</c:v>
                </c:pt>
                <c:pt idx="1456">
                  <c:v>45973</c:v>
                </c:pt>
                <c:pt idx="1457">
                  <c:v>45974</c:v>
                </c:pt>
                <c:pt idx="1458">
                  <c:v>45975</c:v>
                </c:pt>
                <c:pt idx="1459">
                  <c:v>45978</c:v>
                </c:pt>
                <c:pt idx="1460">
                  <c:v>45979</c:v>
                </c:pt>
                <c:pt idx="1461">
                  <c:v>45980</c:v>
                </c:pt>
                <c:pt idx="1462">
                  <c:v>45981</c:v>
                </c:pt>
                <c:pt idx="1463">
                  <c:v>45982</c:v>
                </c:pt>
                <c:pt idx="1464">
                  <c:v>45985</c:v>
                </c:pt>
                <c:pt idx="1465">
                  <c:v>45986</c:v>
                </c:pt>
                <c:pt idx="1466">
                  <c:v>45987</c:v>
                </c:pt>
                <c:pt idx="1467">
                  <c:v>45988</c:v>
                </c:pt>
                <c:pt idx="1468">
                  <c:v>45989</c:v>
                </c:pt>
                <c:pt idx="1469">
                  <c:v>45992</c:v>
                </c:pt>
                <c:pt idx="1470">
                  <c:v>45993</c:v>
                </c:pt>
                <c:pt idx="1471">
                  <c:v>45994</c:v>
                </c:pt>
                <c:pt idx="1472">
                  <c:v>45995</c:v>
                </c:pt>
                <c:pt idx="1473">
                  <c:v>45996</c:v>
                </c:pt>
                <c:pt idx="1474">
                  <c:v>45999</c:v>
                </c:pt>
                <c:pt idx="1475">
                  <c:v>46000</c:v>
                </c:pt>
                <c:pt idx="1476">
                  <c:v>46001</c:v>
                </c:pt>
                <c:pt idx="1477">
                  <c:v>46002</c:v>
                </c:pt>
                <c:pt idx="1478">
                  <c:v>46003</c:v>
                </c:pt>
                <c:pt idx="1479">
                  <c:v>46006</c:v>
                </c:pt>
                <c:pt idx="1480">
                  <c:v>46007</c:v>
                </c:pt>
                <c:pt idx="1481">
                  <c:v>46008</c:v>
                </c:pt>
                <c:pt idx="1482">
                  <c:v>46009</c:v>
                </c:pt>
                <c:pt idx="1483">
                  <c:v>46010</c:v>
                </c:pt>
                <c:pt idx="1484">
                  <c:v>46013</c:v>
                </c:pt>
                <c:pt idx="1485">
                  <c:v>46014</c:v>
                </c:pt>
                <c:pt idx="1486">
                  <c:v>46015</c:v>
                </c:pt>
                <c:pt idx="1487">
                  <c:v>46017</c:v>
                </c:pt>
                <c:pt idx="1488">
                  <c:v>46020</c:v>
                </c:pt>
                <c:pt idx="1489">
                  <c:v>46021</c:v>
                </c:pt>
                <c:pt idx="1490">
                  <c:v>46022</c:v>
                </c:pt>
                <c:pt idx="1491">
                  <c:v>46023</c:v>
                </c:pt>
                <c:pt idx="1492">
                  <c:v>46024</c:v>
                </c:pt>
                <c:pt idx="1493">
                  <c:v>46027</c:v>
                </c:pt>
                <c:pt idx="1494">
                  <c:v>46028</c:v>
                </c:pt>
                <c:pt idx="1495">
                  <c:v>46029</c:v>
                </c:pt>
                <c:pt idx="1496">
                  <c:v>46030</c:v>
                </c:pt>
                <c:pt idx="1497">
                  <c:v>46031</c:v>
                </c:pt>
                <c:pt idx="1498">
                  <c:v>46034</c:v>
                </c:pt>
                <c:pt idx="1499">
                  <c:v>46035</c:v>
                </c:pt>
                <c:pt idx="1500">
                  <c:v>46036</c:v>
                </c:pt>
                <c:pt idx="1501">
                  <c:v>46038</c:v>
                </c:pt>
                <c:pt idx="1502">
                  <c:v>46041</c:v>
                </c:pt>
                <c:pt idx="1503">
                  <c:v>46042</c:v>
                </c:pt>
                <c:pt idx="1504">
                  <c:v>46043</c:v>
                </c:pt>
                <c:pt idx="1505">
                  <c:v>46044</c:v>
                </c:pt>
                <c:pt idx="1506">
                  <c:v>46045</c:v>
                </c:pt>
                <c:pt idx="1507">
                  <c:v>46049</c:v>
                </c:pt>
                <c:pt idx="1508">
                  <c:v>46050</c:v>
                </c:pt>
                <c:pt idx="1509">
                  <c:v>46051</c:v>
                </c:pt>
                <c:pt idx="1510">
                  <c:v>46052</c:v>
                </c:pt>
                <c:pt idx="1511">
                  <c:v>46054</c:v>
                </c:pt>
                <c:pt idx="1512">
                  <c:v>46055</c:v>
                </c:pt>
                <c:pt idx="1513">
                  <c:v>46056</c:v>
                </c:pt>
                <c:pt idx="1514">
                  <c:v>46057</c:v>
                </c:pt>
                <c:pt idx="1515">
                  <c:v>46058</c:v>
                </c:pt>
                <c:pt idx="1516">
                  <c:v>46059</c:v>
                </c:pt>
                <c:pt idx="1517">
                  <c:v>46062</c:v>
                </c:pt>
                <c:pt idx="1518">
                  <c:v>46063</c:v>
                </c:pt>
                <c:pt idx="1519">
                  <c:v>46064</c:v>
                </c:pt>
                <c:pt idx="1520">
                  <c:v>46065</c:v>
                </c:pt>
                <c:pt idx="1521">
                  <c:v>46066</c:v>
                </c:pt>
              </c:numCache>
            </c:numRef>
          </c:cat>
          <c:val>
            <c:numRef>
              <c:f>data!$S$2:$S$1523</c:f>
              <c:numCache>
                <c:formatCode>General</c:formatCode>
                <c:ptCount val="1522"/>
                <c:pt idx="0">
                  <c:v>2207.58</c:v>
                </c:pt>
                <c:pt idx="1">
                  <c:v>2160.09</c:v>
                </c:pt>
                <c:pt idx="2">
                  <c:v>2118.9299999999998</c:v>
                </c:pt>
                <c:pt idx="3">
                  <c:v>2086.0500000000002</c:v>
                </c:pt>
                <c:pt idx="4">
                  <c:v>2080.38</c:v>
                </c:pt>
                <c:pt idx="5">
                  <c:v>1989.22</c:v>
                </c:pt>
                <c:pt idx="6">
                  <c:v>2032.89</c:v>
                </c:pt>
                <c:pt idx="7">
                  <c:v>2043.28</c:v>
                </c:pt>
                <c:pt idx="8">
                  <c:v>2028</c:v>
                </c:pt>
                <c:pt idx="9">
                  <c:v>2048.9699999999998</c:v>
                </c:pt>
                <c:pt idx="10">
                  <c:v>2062.48</c:v>
                </c:pt>
                <c:pt idx="11">
                  <c:v>2153.62</c:v>
                </c:pt>
                <c:pt idx="12">
                  <c:v>2129.2199999999998</c:v>
                </c:pt>
                <c:pt idx="13">
                  <c:v>2136.5100000000002</c:v>
                </c:pt>
                <c:pt idx="14">
                  <c:v>2105.66</c:v>
                </c:pt>
                <c:pt idx="15">
                  <c:v>2110</c:v>
                </c:pt>
                <c:pt idx="16">
                  <c:v>2091.5700000000002</c:v>
                </c:pt>
                <c:pt idx="17">
                  <c:v>2093.08</c:v>
                </c:pt>
                <c:pt idx="18">
                  <c:v>2109.52</c:v>
                </c:pt>
                <c:pt idx="19">
                  <c:v>2108.66</c:v>
                </c:pt>
                <c:pt idx="20">
                  <c:v>2019.22</c:v>
                </c:pt>
                <c:pt idx="21">
                  <c:v>2034.03</c:v>
                </c:pt>
                <c:pt idx="22">
                  <c:v>2028.93</c:v>
                </c:pt>
                <c:pt idx="23">
                  <c:v>2005.92</c:v>
                </c:pt>
                <c:pt idx="24">
                  <c:v>1988.35</c:v>
                </c:pt>
                <c:pt idx="25">
                  <c:v>1951.27</c:v>
                </c:pt>
                <c:pt idx="26">
                  <c:v>1948.7</c:v>
                </c:pt>
                <c:pt idx="27">
                  <c:v>2039.12</c:v>
                </c:pt>
                <c:pt idx="28">
                  <c:v>1973.63</c:v>
                </c:pt>
                <c:pt idx="29">
                  <c:v>1905.72</c:v>
                </c:pt>
                <c:pt idx="30">
                  <c:v>1900.92</c:v>
                </c:pt>
                <c:pt idx="31">
                  <c:v>1927.79</c:v>
                </c:pt>
                <c:pt idx="32">
                  <c:v>1935.53</c:v>
                </c:pt>
                <c:pt idx="33">
                  <c:v>1870.36</c:v>
                </c:pt>
                <c:pt idx="34">
                  <c:v>1853.59</c:v>
                </c:pt>
                <c:pt idx="35">
                  <c:v>1876.04</c:v>
                </c:pt>
                <c:pt idx="36">
                  <c:v>1887.52</c:v>
                </c:pt>
                <c:pt idx="37">
                  <c:v>1884.87</c:v>
                </c:pt>
                <c:pt idx="38">
                  <c:v>1794.99</c:v>
                </c:pt>
                <c:pt idx="39">
                  <c:v>1753.23</c:v>
                </c:pt>
                <c:pt idx="40">
                  <c:v>1715.69</c:v>
                </c:pt>
                <c:pt idx="41">
                  <c:v>1705.34</c:v>
                </c:pt>
                <c:pt idx="42">
                  <c:v>1660.23</c:v>
                </c:pt>
                <c:pt idx="43">
                  <c:v>1701.34</c:v>
                </c:pt>
                <c:pt idx="44">
                  <c:v>1788.85</c:v>
                </c:pt>
                <c:pt idx="45">
                  <c:v>1725.42</c:v>
                </c:pt>
                <c:pt idx="46">
                  <c:v>1777.54</c:v>
                </c:pt>
                <c:pt idx="47">
                  <c:v>1774.36</c:v>
                </c:pt>
                <c:pt idx="48">
                  <c:v>1788.58</c:v>
                </c:pt>
                <c:pt idx="49">
                  <c:v>1775.36</c:v>
                </c:pt>
                <c:pt idx="50">
                  <c:v>1687.78</c:v>
                </c:pt>
                <c:pt idx="51">
                  <c:v>1767.21</c:v>
                </c:pt>
                <c:pt idx="52">
                  <c:v>1649.37</c:v>
                </c:pt>
                <c:pt idx="53">
                  <c:v>1706.11</c:v>
                </c:pt>
                <c:pt idx="54">
                  <c:v>1595.41</c:v>
                </c:pt>
                <c:pt idx="55">
                  <c:v>1504.64</c:v>
                </c:pt>
                <c:pt idx="56">
                  <c:v>1567.85</c:v>
                </c:pt>
                <c:pt idx="57">
                  <c:v>1370.59</c:v>
                </c:pt>
                <c:pt idx="58">
                  <c:v>1420.85</c:v>
                </c:pt>
                <c:pt idx="59">
                  <c:v>1451.66</c:v>
                </c:pt>
                <c:pt idx="60">
                  <c:v>1475.8</c:v>
                </c:pt>
                <c:pt idx="61">
                  <c:v>1431.98</c:v>
                </c:pt>
                <c:pt idx="62">
                  <c:v>1333.31</c:v>
                </c:pt>
                <c:pt idx="63">
                  <c:v>1309.5899999999999</c:v>
                </c:pt>
                <c:pt idx="64">
                  <c:v>1300.1600000000001</c:v>
                </c:pt>
                <c:pt idx="65">
                  <c:v>1268.01</c:v>
                </c:pt>
                <c:pt idx="66">
                  <c:v>1309.6099999999999</c:v>
                </c:pt>
                <c:pt idx="67">
                  <c:v>1315.85</c:v>
                </c:pt>
                <c:pt idx="68">
                  <c:v>1374.23</c:v>
                </c:pt>
                <c:pt idx="69">
                  <c:v>1340.06</c:v>
                </c:pt>
                <c:pt idx="70">
                  <c:v>1331.49</c:v>
                </c:pt>
                <c:pt idx="71">
                  <c:v>1337.13</c:v>
                </c:pt>
                <c:pt idx="72">
                  <c:v>1477.04</c:v>
                </c:pt>
                <c:pt idx="73">
                  <c:v>1421.44</c:v>
                </c:pt>
                <c:pt idx="74">
                  <c:v>1349.5</c:v>
                </c:pt>
                <c:pt idx="75">
                  <c:v>1370.33</c:v>
                </c:pt>
                <c:pt idx="76">
                  <c:v>1406.84</c:v>
                </c:pt>
                <c:pt idx="77">
                  <c:v>1358.92</c:v>
                </c:pt>
                <c:pt idx="78">
                  <c:v>1399.95</c:v>
                </c:pt>
                <c:pt idx="79">
                  <c:v>1432.68</c:v>
                </c:pt>
                <c:pt idx="80">
                  <c:v>1431.58</c:v>
                </c:pt>
                <c:pt idx="81">
                  <c:v>1470.8</c:v>
                </c:pt>
                <c:pt idx="82">
                  <c:v>1374.88</c:v>
                </c:pt>
                <c:pt idx="83">
                  <c:v>1381.1</c:v>
                </c:pt>
                <c:pt idx="84">
                  <c:v>1385.99</c:v>
                </c:pt>
                <c:pt idx="85">
                  <c:v>1401.05</c:v>
                </c:pt>
                <c:pt idx="86">
                  <c:v>1385.88</c:v>
                </c:pt>
                <c:pt idx="87">
                  <c:v>1428.89</c:v>
                </c:pt>
                <c:pt idx="88">
                  <c:v>1416.7</c:v>
                </c:pt>
                <c:pt idx="89">
                  <c:v>1427.16</c:v>
                </c:pt>
                <c:pt idx="90">
                  <c:v>1403.18</c:v>
                </c:pt>
                <c:pt idx="91">
                  <c:v>1409.96</c:v>
                </c:pt>
                <c:pt idx="92">
                  <c:v>1298.82</c:v>
                </c:pt>
                <c:pt idx="93">
                  <c:v>1296.6199999999999</c:v>
                </c:pt>
                <c:pt idx="94">
                  <c:v>1367.51</c:v>
                </c:pt>
                <c:pt idx="95">
                  <c:v>1408.76</c:v>
                </c:pt>
                <c:pt idx="96">
                  <c:v>1392.24</c:v>
                </c:pt>
                <c:pt idx="97">
                  <c:v>1480.51</c:v>
                </c:pt>
                <c:pt idx="98">
                  <c:v>1496.69</c:v>
                </c:pt>
                <c:pt idx="99">
                  <c:v>1623.65</c:v>
                </c:pt>
                <c:pt idx="100">
                  <c:v>1654.85</c:v>
                </c:pt>
                <c:pt idx="101">
                  <c:v>1698.58</c:v>
                </c:pt>
                <c:pt idx="102">
                  <c:v>1739.62</c:v>
                </c:pt>
                <c:pt idx="103">
                  <c:v>1754.29</c:v>
                </c:pt>
                <c:pt idx="104">
                  <c:v>1727.3</c:v>
                </c:pt>
                <c:pt idx="105">
                  <c:v>1749.54</c:v>
                </c:pt>
                <c:pt idx="106">
                  <c:v>1689.48</c:v>
                </c:pt>
                <c:pt idx="107">
                  <c:v>1702.68</c:v>
                </c:pt>
                <c:pt idx="108">
                  <c:v>1709.01</c:v>
                </c:pt>
                <c:pt idx="109">
                  <c:v>1644.28</c:v>
                </c:pt>
                <c:pt idx="110">
                  <c:v>1685.73</c:v>
                </c:pt>
                <c:pt idx="111">
                  <c:v>1648.19</c:v>
                </c:pt>
                <c:pt idx="112">
                  <c:v>1670.9</c:v>
                </c:pt>
                <c:pt idx="113">
                  <c:v>1679.68</c:v>
                </c:pt>
                <c:pt idx="114">
                  <c:v>1711.61</c:v>
                </c:pt>
                <c:pt idx="115">
                  <c:v>1734.93</c:v>
                </c:pt>
                <c:pt idx="116">
                  <c:v>1758.89</c:v>
                </c:pt>
                <c:pt idx="117">
                  <c:v>1789.12</c:v>
                </c:pt>
                <c:pt idx="118">
                  <c:v>1843.68</c:v>
                </c:pt>
                <c:pt idx="119">
                  <c:v>1809.07</c:v>
                </c:pt>
                <c:pt idx="120">
                  <c:v>1847.34</c:v>
                </c:pt>
                <c:pt idx="121">
                  <c:v>1811.35</c:v>
                </c:pt>
                <c:pt idx="122">
                  <c:v>1833.43</c:v>
                </c:pt>
                <c:pt idx="123">
                  <c:v>1840.19</c:v>
                </c:pt>
                <c:pt idx="124">
                  <c:v>1835.36</c:v>
                </c:pt>
                <c:pt idx="125">
                  <c:v>1898.35</c:v>
                </c:pt>
                <c:pt idx="126">
                  <c:v>1925.1</c:v>
                </c:pt>
                <c:pt idx="127">
                  <c:v>1993.07</c:v>
                </c:pt>
                <c:pt idx="128">
                  <c:v>1939.17</c:v>
                </c:pt>
                <c:pt idx="129">
                  <c:v>1948.33</c:v>
                </c:pt>
                <c:pt idx="130">
                  <c:v>1944.79</c:v>
                </c:pt>
                <c:pt idx="131">
                  <c:v>1965.5</c:v>
                </c:pt>
                <c:pt idx="132">
                  <c:v>1885.02</c:v>
                </c:pt>
                <c:pt idx="133">
                  <c:v>1856.26</c:v>
                </c:pt>
                <c:pt idx="134">
                  <c:v>1863.95</c:v>
                </c:pt>
                <c:pt idx="135">
                  <c:v>1881.08</c:v>
                </c:pt>
                <c:pt idx="136">
                  <c:v>1918.77</c:v>
                </c:pt>
                <c:pt idx="137">
                  <c:v>2011.66</c:v>
                </c:pt>
                <c:pt idx="138">
                  <c:v>1989.06</c:v>
                </c:pt>
                <c:pt idx="139">
                  <c:v>2088.2399999999998</c:v>
                </c:pt>
                <c:pt idx="140">
                  <c:v>2080.0300000000002</c:v>
                </c:pt>
                <c:pt idx="141">
                  <c:v>2053.77</c:v>
                </c:pt>
                <c:pt idx="142">
                  <c:v>2105.3200000000002</c:v>
                </c:pt>
                <c:pt idx="143">
                  <c:v>2140.09</c:v>
                </c:pt>
                <c:pt idx="144">
                  <c:v>2120.14</c:v>
                </c:pt>
                <c:pt idx="145">
                  <c:v>2063.87</c:v>
                </c:pt>
                <c:pt idx="146">
                  <c:v>2078.2199999999998</c:v>
                </c:pt>
                <c:pt idx="147">
                  <c:v>2101.5700000000002</c:v>
                </c:pt>
                <c:pt idx="148">
                  <c:v>2195.88</c:v>
                </c:pt>
                <c:pt idx="149">
                  <c:v>2168.13</c:v>
                </c:pt>
                <c:pt idx="150">
                  <c:v>2180.7399999999998</c:v>
                </c:pt>
                <c:pt idx="151">
                  <c:v>2135.31</c:v>
                </c:pt>
                <c:pt idx="152">
                  <c:v>2144.2600000000002</c:v>
                </c:pt>
                <c:pt idx="153">
                  <c:v>2211.66</c:v>
                </c:pt>
                <c:pt idx="154">
                  <c:v>2167.3000000000002</c:v>
                </c:pt>
                <c:pt idx="155">
                  <c:v>2014.41</c:v>
                </c:pt>
                <c:pt idx="156">
                  <c:v>2113.4699999999998</c:v>
                </c:pt>
                <c:pt idx="157">
                  <c:v>2140.4699999999998</c:v>
                </c:pt>
                <c:pt idx="158">
                  <c:v>2126.14</c:v>
                </c:pt>
                <c:pt idx="159">
                  <c:v>2137.14</c:v>
                </c:pt>
                <c:pt idx="160">
                  <c:v>2170.2399999999998</c:v>
                </c:pt>
                <c:pt idx="161">
                  <c:v>2176.4499999999998</c:v>
                </c:pt>
                <c:pt idx="162">
                  <c:v>2217.25</c:v>
                </c:pt>
                <c:pt idx="163">
                  <c:v>2248.85</c:v>
                </c:pt>
                <c:pt idx="164">
                  <c:v>2236.35</c:v>
                </c:pt>
                <c:pt idx="165">
                  <c:v>2213.6</c:v>
                </c:pt>
                <c:pt idx="166">
                  <c:v>2092</c:v>
                </c:pt>
                <c:pt idx="167">
                  <c:v>2131.1</c:v>
                </c:pt>
                <c:pt idx="168">
                  <c:v>2169.85</c:v>
                </c:pt>
                <c:pt idx="169">
                  <c:v>2231.15</c:v>
                </c:pt>
                <c:pt idx="170">
                  <c:v>2180.85</c:v>
                </c:pt>
                <c:pt idx="171">
                  <c:v>2192.9</c:v>
                </c:pt>
                <c:pt idx="172">
                  <c:v>2161.5</c:v>
                </c:pt>
                <c:pt idx="173">
                  <c:v>2176.9499999999998</c:v>
                </c:pt>
                <c:pt idx="174">
                  <c:v>2175.6</c:v>
                </c:pt>
                <c:pt idx="175">
                  <c:v>2160.3000000000002</c:v>
                </c:pt>
                <c:pt idx="176">
                  <c:v>2159.4</c:v>
                </c:pt>
                <c:pt idx="177">
                  <c:v>2140.6</c:v>
                </c:pt>
                <c:pt idx="178">
                  <c:v>2163.75</c:v>
                </c:pt>
                <c:pt idx="179">
                  <c:v>2145.4499999999998</c:v>
                </c:pt>
                <c:pt idx="180">
                  <c:v>2152.9499999999998</c:v>
                </c:pt>
                <c:pt idx="181">
                  <c:v>2102.9499999999998</c:v>
                </c:pt>
                <c:pt idx="182">
                  <c:v>2064.35</c:v>
                </c:pt>
                <c:pt idx="183">
                  <c:v>2076.8000000000002</c:v>
                </c:pt>
                <c:pt idx="184">
                  <c:v>2034.45</c:v>
                </c:pt>
                <c:pt idx="185">
                  <c:v>2117.5</c:v>
                </c:pt>
                <c:pt idx="186">
                  <c:v>2180.9499999999998</c:v>
                </c:pt>
                <c:pt idx="187">
                  <c:v>2198.5</c:v>
                </c:pt>
                <c:pt idx="188">
                  <c:v>2202.8000000000002</c:v>
                </c:pt>
                <c:pt idx="189">
                  <c:v>2197.65</c:v>
                </c:pt>
                <c:pt idx="190">
                  <c:v>2210.15</c:v>
                </c:pt>
                <c:pt idx="191">
                  <c:v>2197.6</c:v>
                </c:pt>
                <c:pt idx="192">
                  <c:v>2238</c:v>
                </c:pt>
                <c:pt idx="193">
                  <c:v>2208.8000000000002</c:v>
                </c:pt>
                <c:pt idx="194">
                  <c:v>2217.9499999999998</c:v>
                </c:pt>
                <c:pt idx="195">
                  <c:v>2181.35</c:v>
                </c:pt>
                <c:pt idx="196">
                  <c:v>2219.5500000000002</c:v>
                </c:pt>
                <c:pt idx="197">
                  <c:v>2253.9</c:v>
                </c:pt>
                <c:pt idx="198">
                  <c:v>2248.6</c:v>
                </c:pt>
                <c:pt idx="199">
                  <c:v>2269.9</c:v>
                </c:pt>
                <c:pt idx="200">
                  <c:v>2198.15</c:v>
                </c:pt>
                <c:pt idx="201">
                  <c:v>2194.4499999999998</c:v>
                </c:pt>
                <c:pt idx="202">
                  <c:v>2181.35</c:v>
                </c:pt>
                <c:pt idx="203">
                  <c:v>2159.4499999999998</c:v>
                </c:pt>
                <c:pt idx="204">
                  <c:v>2181.9</c:v>
                </c:pt>
                <c:pt idx="205">
                  <c:v>2108.1</c:v>
                </c:pt>
                <c:pt idx="206">
                  <c:v>2118.25</c:v>
                </c:pt>
                <c:pt idx="207">
                  <c:v>2135</c:v>
                </c:pt>
                <c:pt idx="208">
                  <c:v>2136.85</c:v>
                </c:pt>
                <c:pt idx="209">
                  <c:v>2085.6</c:v>
                </c:pt>
                <c:pt idx="210">
                  <c:v>2029.65</c:v>
                </c:pt>
                <c:pt idx="211">
                  <c:v>2095</c:v>
                </c:pt>
                <c:pt idx="212">
                  <c:v>2097.4</c:v>
                </c:pt>
                <c:pt idx="213">
                  <c:v>2119.8000000000002</c:v>
                </c:pt>
                <c:pt idx="214">
                  <c:v>2139.0500000000002</c:v>
                </c:pt>
                <c:pt idx="215">
                  <c:v>2192.85</c:v>
                </c:pt>
                <c:pt idx="216">
                  <c:v>2234.85</c:v>
                </c:pt>
                <c:pt idx="217">
                  <c:v>2326.6999999999998</c:v>
                </c:pt>
                <c:pt idx="218">
                  <c:v>2350.75</c:v>
                </c:pt>
                <c:pt idx="219">
                  <c:v>2514.6</c:v>
                </c:pt>
                <c:pt idx="220">
                  <c:v>2541.6999999999998</c:v>
                </c:pt>
                <c:pt idx="221">
                  <c:v>2614.15</c:v>
                </c:pt>
                <c:pt idx="222">
                  <c:v>2551.25</c:v>
                </c:pt>
                <c:pt idx="223">
                  <c:v>2590.65</c:v>
                </c:pt>
                <c:pt idx="224">
                  <c:v>2597.35</c:v>
                </c:pt>
                <c:pt idx="225">
                  <c:v>2693.3</c:v>
                </c:pt>
                <c:pt idx="226">
                  <c:v>2595.1</c:v>
                </c:pt>
                <c:pt idx="227">
                  <c:v>2549.1999999999998</c:v>
                </c:pt>
                <c:pt idx="228">
                  <c:v>2534.65</c:v>
                </c:pt>
                <c:pt idx="229">
                  <c:v>2532.6999999999998</c:v>
                </c:pt>
                <c:pt idx="230">
                  <c:v>2532.5</c:v>
                </c:pt>
                <c:pt idx="231">
                  <c:v>2549.5</c:v>
                </c:pt>
                <c:pt idx="232">
                  <c:v>2553.5</c:v>
                </c:pt>
                <c:pt idx="233">
                  <c:v>2561.15</c:v>
                </c:pt>
                <c:pt idx="234">
                  <c:v>2548.1999999999998</c:v>
                </c:pt>
                <c:pt idx="235">
                  <c:v>2547.25</c:v>
                </c:pt>
                <c:pt idx="236">
                  <c:v>2492.65</c:v>
                </c:pt>
                <c:pt idx="237">
                  <c:v>2470.8000000000002</c:v>
                </c:pt>
                <c:pt idx="238">
                  <c:v>2400.4499999999998</c:v>
                </c:pt>
                <c:pt idx="239">
                  <c:v>2475.1999999999998</c:v>
                </c:pt>
                <c:pt idx="240">
                  <c:v>2470.1</c:v>
                </c:pt>
                <c:pt idx="241">
                  <c:v>2466.6</c:v>
                </c:pt>
                <c:pt idx="242">
                  <c:v>2480.9499999999998</c:v>
                </c:pt>
                <c:pt idx="243">
                  <c:v>2396.4</c:v>
                </c:pt>
                <c:pt idx="244">
                  <c:v>2446.6999999999998</c:v>
                </c:pt>
                <c:pt idx="245">
                  <c:v>2446.6999999999998</c:v>
                </c:pt>
                <c:pt idx="246">
                  <c:v>2436.75</c:v>
                </c:pt>
                <c:pt idx="247">
                  <c:v>2451.35</c:v>
                </c:pt>
                <c:pt idx="248">
                  <c:v>2460.5500000000002</c:v>
                </c:pt>
                <c:pt idx="249">
                  <c:v>2517.35</c:v>
                </c:pt>
                <c:pt idx="250">
                  <c:v>2530.9</c:v>
                </c:pt>
                <c:pt idx="251">
                  <c:v>2542.6999999999998</c:v>
                </c:pt>
                <c:pt idx="252">
                  <c:v>2655.7</c:v>
                </c:pt>
                <c:pt idx="253">
                  <c:v>2674.9</c:v>
                </c:pt>
                <c:pt idx="254">
                  <c:v>2645.35</c:v>
                </c:pt>
                <c:pt idx="255">
                  <c:v>2649.8</c:v>
                </c:pt>
                <c:pt idx="256">
                  <c:v>2760.85</c:v>
                </c:pt>
                <c:pt idx="257">
                  <c:v>2777.15</c:v>
                </c:pt>
                <c:pt idx="258">
                  <c:v>2881.65</c:v>
                </c:pt>
                <c:pt idx="259">
                  <c:v>2868.65</c:v>
                </c:pt>
                <c:pt idx="260">
                  <c:v>2886.6</c:v>
                </c:pt>
                <c:pt idx="261">
                  <c:v>2857.3</c:v>
                </c:pt>
                <c:pt idx="262">
                  <c:v>2873</c:v>
                </c:pt>
                <c:pt idx="263">
                  <c:v>2883.5</c:v>
                </c:pt>
                <c:pt idx="264">
                  <c:v>2881.55</c:v>
                </c:pt>
                <c:pt idx="265">
                  <c:v>2926.6</c:v>
                </c:pt>
                <c:pt idx="266">
                  <c:v>2972.6</c:v>
                </c:pt>
                <c:pt idx="267">
                  <c:v>2869.55</c:v>
                </c:pt>
                <c:pt idx="268">
                  <c:v>2789.9</c:v>
                </c:pt>
                <c:pt idx="269">
                  <c:v>2798.45</c:v>
                </c:pt>
                <c:pt idx="270">
                  <c:v>2744.3</c:v>
                </c:pt>
                <c:pt idx="271">
                  <c:v>2842.85</c:v>
                </c:pt>
                <c:pt idx="272">
                  <c:v>2904.85</c:v>
                </c:pt>
                <c:pt idx="273">
                  <c:v>2916.9</c:v>
                </c:pt>
                <c:pt idx="274">
                  <c:v>2963.45</c:v>
                </c:pt>
                <c:pt idx="275">
                  <c:v>2932.15</c:v>
                </c:pt>
                <c:pt idx="276">
                  <c:v>2970.4</c:v>
                </c:pt>
                <c:pt idx="277">
                  <c:v>2947.65</c:v>
                </c:pt>
                <c:pt idx="278">
                  <c:v>2901.3</c:v>
                </c:pt>
                <c:pt idx="279">
                  <c:v>2818.15</c:v>
                </c:pt>
                <c:pt idx="280">
                  <c:v>2781.25</c:v>
                </c:pt>
                <c:pt idx="281">
                  <c:v>2770.05</c:v>
                </c:pt>
                <c:pt idx="282">
                  <c:v>2726.95</c:v>
                </c:pt>
                <c:pt idx="283">
                  <c:v>2695.5</c:v>
                </c:pt>
                <c:pt idx="284">
                  <c:v>2650.2</c:v>
                </c:pt>
                <c:pt idx="285">
                  <c:v>2584.65</c:v>
                </c:pt>
                <c:pt idx="286">
                  <c:v>2482.35</c:v>
                </c:pt>
                <c:pt idx="287">
                  <c:v>2514.6999999999998</c:v>
                </c:pt>
                <c:pt idx="288">
                  <c:v>2535.8000000000002</c:v>
                </c:pt>
                <c:pt idx="289">
                  <c:v>2551.9499999999998</c:v>
                </c:pt>
                <c:pt idx="290">
                  <c:v>2498.6</c:v>
                </c:pt>
                <c:pt idx="291">
                  <c:v>2556.15</c:v>
                </c:pt>
                <c:pt idx="292">
                  <c:v>2602.3000000000002</c:v>
                </c:pt>
                <c:pt idx="293">
                  <c:v>2599.0500000000002</c:v>
                </c:pt>
                <c:pt idx="294">
                  <c:v>2593.1999999999998</c:v>
                </c:pt>
                <c:pt idx="295">
                  <c:v>2587.75</c:v>
                </c:pt>
                <c:pt idx="296">
                  <c:v>2583.25</c:v>
                </c:pt>
                <c:pt idx="297">
                  <c:v>2592.6999999999998</c:v>
                </c:pt>
                <c:pt idx="298">
                  <c:v>2672.3</c:v>
                </c:pt>
                <c:pt idx="299">
                  <c:v>2637.5</c:v>
                </c:pt>
                <c:pt idx="300">
                  <c:v>2669.45</c:v>
                </c:pt>
                <c:pt idx="301">
                  <c:v>2661.05</c:v>
                </c:pt>
                <c:pt idx="302">
                  <c:v>2647</c:v>
                </c:pt>
                <c:pt idx="303">
                  <c:v>2664.6</c:v>
                </c:pt>
                <c:pt idx="304">
                  <c:v>2661.5</c:v>
                </c:pt>
                <c:pt idx="305">
                  <c:v>2676.85</c:v>
                </c:pt>
                <c:pt idx="306">
                  <c:v>2702.75</c:v>
                </c:pt>
                <c:pt idx="307">
                  <c:v>2660.65</c:v>
                </c:pt>
                <c:pt idx="308">
                  <c:v>2580.4499999999998</c:v>
                </c:pt>
                <c:pt idx="309">
                  <c:v>2560.5500000000002</c:v>
                </c:pt>
                <c:pt idx="310">
                  <c:v>2639.95</c:v>
                </c:pt>
                <c:pt idx="311">
                  <c:v>2603.9499999999998</c:v>
                </c:pt>
                <c:pt idx="312">
                  <c:v>2631.15</c:v>
                </c:pt>
                <c:pt idx="313">
                  <c:v>2517.1999999999998</c:v>
                </c:pt>
                <c:pt idx="314">
                  <c:v>2486.6</c:v>
                </c:pt>
                <c:pt idx="315">
                  <c:v>2538.1999999999998</c:v>
                </c:pt>
                <c:pt idx="316">
                  <c:v>2553</c:v>
                </c:pt>
                <c:pt idx="317">
                  <c:v>2521.6</c:v>
                </c:pt>
                <c:pt idx="318">
                  <c:v>2427.1999999999998</c:v>
                </c:pt>
                <c:pt idx="319">
                  <c:v>2493.85</c:v>
                </c:pt>
                <c:pt idx="320">
                  <c:v>2412.6</c:v>
                </c:pt>
                <c:pt idx="321">
                  <c:v>2434.85</c:v>
                </c:pt>
                <c:pt idx="322">
                  <c:v>2370.35</c:v>
                </c:pt>
                <c:pt idx="323">
                  <c:v>2340</c:v>
                </c:pt>
                <c:pt idx="324">
                  <c:v>2337.85</c:v>
                </c:pt>
                <c:pt idx="325">
                  <c:v>2317.3000000000002</c:v>
                </c:pt>
                <c:pt idx="326">
                  <c:v>2369.85</c:v>
                </c:pt>
                <c:pt idx="327">
                  <c:v>2400.1</c:v>
                </c:pt>
                <c:pt idx="328">
                  <c:v>2521.1999999999998</c:v>
                </c:pt>
                <c:pt idx="329">
                  <c:v>2462.9</c:v>
                </c:pt>
                <c:pt idx="330">
                  <c:v>2421.65</c:v>
                </c:pt>
                <c:pt idx="331">
                  <c:v>2396.25</c:v>
                </c:pt>
                <c:pt idx="332">
                  <c:v>2368</c:v>
                </c:pt>
                <c:pt idx="333">
                  <c:v>2372.4</c:v>
                </c:pt>
                <c:pt idx="334">
                  <c:v>2443.25</c:v>
                </c:pt>
                <c:pt idx="335">
                  <c:v>2417.15</c:v>
                </c:pt>
                <c:pt idx="336">
                  <c:v>2447.25</c:v>
                </c:pt>
                <c:pt idx="337">
                  <c:v>2471.1999999999998</c:v>
                </c:pt>
                <c:pt idx="338">
                  <c:v>2456.4499999999998</c:v>
                </c:pt>
                <c:pt idx="339">
                  <c:v>2415.1999999999998</c:v>
                </c:pt>
                <c:pt idx="340">
                  <c:v>2484.35</c:v>
                </c:pt>
                <c:pt idx="341">
                  <c:v>2571.85</c:v>
                </c:pt>
                <c:pt idx="342">
                  <c:v>2564.6999999999998</c:v>
                </c:pt>
                <c:pt idx="343">
                  <c:v>2530.6</c:v>
                </c:pt>
                <c:pt idx="344">
                  <c:v>2522.3000000000002</c:v>
                </c:pt>
                <c:pt idx="345">
                  <c:v>2551.1999999999998</c:v>
                </c:pt>
                <c:pt idx="346">
                  <c:v>2625.05</c:v>
                </c:pt>
                <c:pt idx="347">
                  <c:v>2633.5</c:v>
                </c:pt>
                <c:pt idx="348">
                  <c:v>2604.0500000000002</c:v>
                </c:pt>
                <c:pt idx="349">
                  <c:v>2638.45</c:v>
                </c:pt>
                <c:pt idx="350">
                  <c:v>2676.15</c:v>
                </c:pt>
                <c:pt idx="351">
                  <c:v>2665.8</c:v>
                </c:pt>
                <c:pt idx="352">
                  <c:v>2677.75</c:v>
                </c:pt>
                <c:pt idx="353">
                  <c:v>2767.75</c:v>
                </c:pt>
                <c:pt idx="354">
                  <c:v>2744.6</c:v>
                </c:pt>
                <c:pt idx="355">
                  <c:v>2754.45</c:v>
                </c:pt>
                <c:pt idx="356">
                  <c:v>2763.8</c:v>
                </c:pt>
                <c:pt idx="357">
                  <c:v>2729.05</c:v>
                </c:pt>
                <c:pt idx="358">
                  <c:v>2705.05</c:v>
                </c:pt>
                <c:pt idx="359">
                  <c:v>2746.4</c:v>
                </c:pt>
                <c:pt idx="360">
                  <c:v>2744.95</c:v>
                </c:pt>
                <c:pt idx="361">
                  <c:v>2763.5</c:v>
                </c:pt>
                <c:pt idx="362">
                  <c:v>2741.05</c:v>
                </c:pt>
                <c:pt idx="363">
                  <c:v>2673.75</c:v>
                </c:pt>
                <c:pt idx="364">
                  <c:v>2707.55</c:v>
                </c:pt>
                <c:pt idx="365">
                  <c:v>2698.45</c:v>
                </c:pt>
                <c:pt idx="366">
                  <c:v>2718.2</c:v>
                </c:pt>
                <c:pt idx="367">
                  <c:v>2728.6</c:v>
                </c:pt>
                <c:pt idx="368">
                  <c:v>2706.75</c:v>
                </c:pt>
                <c:pt idx="369">
                  <c:v>2720.8</c:v>
                </c:pt>
                <c:pt idx="370">
                  <c:v>2740.45</c:v>
                </c:pt>
                <c:pt idx="371">
                  <c:v>2705.1</c:v>
                </c:pt>
                <c:pt idx="372">
                  <c:v>2671.15</c:v>
                </c:pt>
                <c:pt idx="373">
                  <c:v>2675.3</c:v>
                </c:pt>
                <c:pt idx="374">
                  <c:v>2661</c:v>
                </c:pt>
                <c:pt idx="375">
                  <c:v>2701.05</c:v>
                </c:pt>
                <c:pt idx="376">
                  <c:v>2711.15</c:v>
                </c:pt>
                <c:pt idx="377">
                  <c:v>2710.85</c:v>
                </c:pt>
                <c:pt idx="378">
                  <c:v>2729.3</c:v>
                </c:pt>
                <c:pt idx="379">
                  <c:v>2712.15</c:v>
                </c:pt>
                <c:pt idx="380">
                  <c:v>2709.5</c:v>
                </c:pt>
                <c:pt idx="381">
                  <c:v>2706.7</c:v>
                </c:pt>
                <c:pt idx="382">
                  <c:v>2700</c:v>
                </c:pt>
                <c:pt idx="383">
                  <c:v>2667.5</c:v>
                </c:pt>
                <c:pt idx="384">
                  <c:v>2617.25</c:v>
                </c:pt>
                <c:pt idx="385">
                  <c:v>2579.75</c:v>
                </c:pt>
                <c:pt idx="386">
                  <c:v>2554.85</c:v>
                </c:pt>
                <c:pt idx="387">
                  <c:v>2560.1</c:v>
                </c:pt>
                <c:pt idx="388">
                  <c:v>2549.65</c:v>
                </c:pt>
                <c:pt idx="389">
                  <c:v>2563.1999999999998</c:v>
                </c:pt>
                <c:pt idx="390">
                  <c:v>2571.35</c:v>
                </c:pt>
                <c:pt idx="391">
                  <c:v>2550.4</c:v>
                </c:pt>
                <c:pt idx="392">
                  <c:v>2528.15</c:v>
                </c:pt>
                <c:pt idx="393">
                  <c:v>2530.25</c:v>
                </c:pt>
                <c:pt idx="394">
                  <c:v>2602.6</c:v>
                </c:pt>
                <c:pt idx="395">
                  <c:v>2649.3</c:v>
                </c:pt>
                <c:pt idx="396">
                  <c:v>2641.8</c:v>
                </c:pt>
                <c:pt idx="397">
                  <c:v>2732.15</c:v>
                </c:pt>
                <c:pt idx="398">
                  <c:v>2747.35</c:v>
                </c:pt>
                <c:pt idx="399">
                  <c:v>2729</c:v>
                </c:pt>
                <c:pt idx="400">
                  <c:v>2734.35</c:v>
                </c:pt>
                <c:pt idx="401">
                  <c:v>2718.25</c:v>
                </c:pt>
                <c:pt idx="402">
                  <c:v>2616.5500000000002</c:v>
                </c:pt>
                <c:pt idx="403">
                  <c:v>2546.8000000000002</c:v>
                </c:pt>
                <c:pt idx="404">
                  <c:v>2495.85</c:v>
                </c:pt>
                <c:pt idx="405">
                  <c:v>2515.65</c:v>
                </c:pt>
                <c:pt idx="406">
                  <c:v>2589.65</c:v>
                </c:pt>
                <c:pt idx="407">
                  <c:v>2601.65</c:v>
                </c:pt>
                <c:pt idx="408">
                  <c:v>2544</c:v>
                </c:pt>
                <c:pt idx="409">
                  <c:v>2547.9</c:v>
                </c:pt>
                <c:pt idx="410">
                  <c:v>2579.5</c:v>
                </c:pt>
                <c:pt idx="411">
                  <c:v>2578.75</c:v>
                </c:pt>
                <c:pt idx="412">
                  <c:v>2576.1</c:v>
                </c:pt>
                <c:pt idx="413">
                  <c:v>2553.9499999999998</c:v>
                </c:pt>
                <c:pt idx="414">
                  <c:v>2679.25</c:v>
                </c:pt>
                <c:pt idx="415">
                  <c:v>2703.15</c:v>
                </c:pt>
                <c:pt idx="416">
                  <c:v>2733.2</c:v>
                </c:pt>
                <c:pt idx="417">
                  <c:v>2802.6</c:v>
                </c:pt>
                <c:pt idx="418">
                  <c:v>2844.9</c:v>
                </c:pt>
                <c:pt idx="419">
                  <c:v>2823.15</c:v>
                </c:pt>
                <c:pt idx="420">
                  <c:v>2800</c:v>
                </c:pt>
                <c:pt idx="421">
                  <c:v>2818.2</c:v>
                </c:pt>
                <c:pt idx="422">
                  <c:v>2805</c:v>
                </c:pt>
                <c:pt idx="423">
                  <c:v>2820.3</c:v>
                </c:pt>
                <c:pt idx="424">
                  <c:v>2841.95</c:v>
                </c:pt>
                <c:pt idx="425">
                  <c:v>2860.2</c:v>
                </c:pt>
                <c:pt idx="426">
                  <c:v>2898.55</c:v>
                </c:pt>
                <c:pt idx="427">
                  <c:v>2813</c:v>
                </c:pt>
                <c:pt idx="428">
                  <c:v>2854.4</c:v>
                </c:pt>
                <c:pt idx="429">
                  <c:v>2842.85</c:v>
                </c:pt>
                <c:pt idx="430">
                  <c:v>2857.05</c:v>
                </c:pt>
                <c:pt idx="431">
                  <c:v>2931</c:v>
                </c:pt>
                <c:pt idx="432">
                  <c:v>2879.35</c:v>
                </c:pt>
                <c:pt idx="433">
                  <c:v>2883.05</c:v>
                </c:pt>
                <c:pt idx="434">
                  <c:v>2843.25</c:v>
                </c:pt>
                <c:pt idx="435">
                  <c:v>2790.2</c:v>
                </c:pt>
                <c:pt idx="436">
                  <c:v>2772.45</c:v>
                </c:pt>
                <c:pt idx="437">
                  <c:v>2745.9</c:v>
                </c:pt>
                <c:pt idx="438">
                  <c:v>2760.1</c:v>
                </c:pt>
                <c:pt idx="439">
                  <c:v>2728.95</c:v>
                </c:pt>
                <c:pt idx="440">
                  <c:v>2820.95</c:v>
                </c:pt>
                <c:pt idx="441">
                  <c:v>2817.95</c:v>
                </c:pt>
                <c:pt idx="442">
                  <c:v>2851.75</c:v>
                </c:pt>
                <c:pt idx="443">
                  <c:v>2909.6</c:v>
                </c:pt>
                <c:pt idx="444">
                  <c:v>2905.75</c:v>
                </c:pt>
                <c:pt idx="445">
                  <c:v>2853.2</c:v>
                </c:pt>
                <c:pt idx="446">
                  <c:v>2826.35</c:v>
                </c:pt>
                <c:pt idx="447">
                  <c:v>2703.7</c:v>
                </c:pt>
                <c:pt idx="448">
                  <c:v>2651.2</c:v>
                </c:pt>
                <c:pt idx="449">
                  <c:v>2663.35</c:v>
                </c:pt>
                <c:pt idx="450">
                  <c:v>2612.5500000000002</c:v>
                </c:pt>
                <c:pt idx="451">
                  <c:v>2561.75</c:v>
                </c:pt>
                <c:pt idx="452">
                  <c:v>2590.25</c:v>
                </c:pt>
                <c:pt idx="453">
                  <c:v>2583.9</c:v>
                </c:pt>
                <c:pt idx="454">
                  <c:v>2527.5</c:v>
                </c:pt>
                <c:pt idx="455">
                  <c:v>2484.8000000000002</c:v>
                </c:pt>
                <c:pt idx="456">
                  <c:v>2560</c:v>
                </c:pt>
                <c:pt idx="457">
                  <c:v>2542.4499999999998</c:v>
                </c:pt>
                <c:pt idx="458">
                  <c:v>2521.85</c:v>
                </c:pt>
                <c:pt idx="459">
                  <c:v>2661.6</c:v>
                </c:pt>
                <c:pt idx="460">
                  <c:v>2711.25</c:v>
                </c:pt>
                <c:pt idx="461">
                  <c:v>2724.25</c:v>
                </c:pt>
                <c:pt idx="462">
                  <c:v>2746.75</c:v>
                </c:pt>
                <c:pt idx="463">
                  <c:v>2704.35</c:v>
                </c:pt>
                <c:pt idx="464">
                  <c:v>2723</c:v>
                </c:pt>
                <c:pt idx="465">
                  <c:v>2684.35</c:v>
                </c:pt>
                <c:pt idx="466">
                  <c:v>2710.3</c:v>
                </c:pt>
                <c:pt idx="467">
                  <c:v>2674.2</c:v>
                </c:pt>
                <c:pt idx="468">
                  <c:v>2603.3000000000002</c:v>
                </c:pt>
                <c:pt idx="469">
                  <c:v>2548.0500000000002</c:v>
                </c:pt>
                <c:pt idx="470">
                  <c:v>2599.1999999999998</c:v>
                </c:pt>
                <c:pt idx="471">
                  <c:v>2536.9499999999998</c:v>
                </c:pt>
                <c:pt idx="472">
                  <c:v>2520.4</c:v>
                </c:pt>
                <c:pt idx="473">
                  <c:v>2433.9</c:v>
                </c:pt>
                <c:pt idx="474">
                  <c:v>2413.4</c:v>
                </c:pt>
                <c:pt idx="475">
                  <c:v>2370.4499999999998</c:v>
                </c:pt>
                <c:pt idx="476">
                  <c:v>2438.3000000000002</c:v>
                </c:pt>
                <c:pt idx="477">
                  <c:v>2451.5500000000002</c:v>
                </c:pt>
                <c:pt idx="478">
                  <c:v>2455.5500000000002</c:v>
                </c:pt>
                <c:pt idx="479">
                  <c:v>2444.1</c:v>
                </c:pt>
                <c:pt idx="480">
                  <c:v>2471.8000000000002</c:v>
                </c:pt>
                <c:pt idx="481">
                  <c:v>2505.5500000000002</c:v>
                </c:pt>
                <c:pt idx="482">
                  <c:v>2542.9499999999998</c:v>
                </c:pt>
                <c:pt idx="483">
                  <c:v>2527.65</c:v>
                </c:pt>
                <c:pt idx="484">
                  <c:v>2496.6999999999998</c:v>
                </c:pt>
                <c:pt idx="485">
                  <c:v>2487.4499999999998</c:v>
                </c:pt>
                <c:pt idx="486">
                  <c:v>2493.35</c:v>
                </c:pt>
                <c:pt idx="487">
                  <c:v>2471.15</c:v>
                </c:pt>
                <c:pt idx="488">
                  <c:v>2459</c:v>
                </c:pt>
                <c:pt idx="489">
                  <c:v>2406.4499999999998</c:v>
                </c:pt>
                <c:pt idx="490">
                  <c:v>2416.65</c:v>
                </c:pt>
                <c:pt idx="491">
                  <c:v>2486.85</c:v>
                </c:pt>
                <c:pt idx="492">
                  <c:v>2480.25</c:v>
                </c:pt>
                <c:pt idx="493">
                  <c:v>2437.9</c:v>
                </c:pt>
                <c:pt idx="494">
                  <c:v>2438.9499999999998</c:v>
                </c:pt>
                <c:pt idx="495">
                  <c:v>2480.4</c:v>
                </c:pt>
                <c:pt idx="496">
                  <c:v>2562.25</c:v>
                </c:pt>
                <c:pt idx="497">
                  <c:v>2557</c:v>
                </c:pt>
                <c:pt idx="498">
                  <c:v>2591.9</c:v>
                </c:pt>
                <c:pt idx="499">
                  <c:v>2718.8</c:v>
                </c:pt>
                <c:pt idx="500">
                  <c:v>2705</c:v>
                </c:pt>
                <c:pt idx="501">
                  <c:v>2778.6</c:v>
                </c:pt>
                <c:pt idx="502">
                  <c:v>2817.15</c:v>
                </c:pt>
                <c:pt idx="503">
                  <c:v>2824.4</c:v>
                </c:pt>
                <c:pt idx="504">
                  <c:v>2815.5</c:v>
                </c:pt>
                <c:pt idx="505">
                  <c:v>2794.35</c:v>
                </c:pt>
                <c:pt idx="506">
                  <c:v>2815.9</c:v>
                </c:pt>
                <c:pt idx="507">
                  <c:v>2832.7</c:v>
                </c:pt>
                <c:pt idx="508">
                  <c:v>2819.7</c:v>
                </c:pt>
                <c:pt idx="509">
                  <c:v>2844.3</c:v>
                </c:pt>
                <c:pt idx="510">
                  <c:v>2736.25</c:v>
                </c:pt>
                <c:pt idx="511">
                  <c:v>2718.7</c:v>
                </c:pt>
                <c:pt idx="512">
                  <c:v>2733.8</c:v>
                </c:pt>
                <c:pt idx="513">
                  <c:v>2711.1</c:v>
                </c:pt>
                <c:pt idx="514">
                  <c:v>2656.4</c:v>
                </c:pt>
                <c:pt idx="515">
                  <c:v>2692</c:v>
                </c:pt>
                <c:pt idx="516">
                  <c:v>2643.85</c:v>
                </c:pt>
                <c:pt idx="517">
                  <c:v>2610.9499999999998</c:v>
                </c:pt>
                <c:pt idx="518">
                  <c:v>2645.5</c:v>
                </c:pt>
                <c:pt idx="519">
                  <c:v>2622.2</c:v>
                </c:pt>
                <c:pt idx="520">
                  <c:v>2669.75</c:v>
                </c:pt>
                <c:pt idx="521">
                  <c:v>2670.85</c:v>
                </c:pt>
                <c:pt idx="522">
                  <c:v>2631.4</c:v>
                </c:pt>
                <c:pt idx="523">
                  <c:v>2601.35</c:v>
                </c:pt>
                <c:pt idx="524">
                  <c:v>2589.15</c:v>
                </c:pt>
                <c:pt idx="525">
                  <c:v>2625.65</c:v>
                </c:pt>
                <c:pt idx="526">
                  <c:v>2640.35</c:v>
                </c:pt>
                <c:pt idx="527">
                  <c:v>2598.15</c:v>
                </c:pt>
                <c:pt idx="528">
                  <c:v>2570.8000000000002</c:v>
                </c:pt>
                <c:pt idx="529">
                  <c:v>2724</c:v>
                </c:pt>
                <c:pt idx="530">
                  <c:v>2706.45</c:v>
                </c:pt>
                <c:pt idx="531">
                  <c:v>2722.75</c:v>
                </c:pt>
                <c:pt idx="532">
                  <c:v>2699.25</c:v>
                </c:pt>
                <c:pt idx="533">
                  <c:v>2699</c:v>
                </c:pt>
                <c:pt idx="534">
                  <c:v>2725.5</c:v>
                </c:pt>
                <c:pt idx="535">
                  <c:v>2706.65</c:v>
                </c:pt>
                <c:pt idx="536">
                  <c:v>2617.15</c:v>
                </c:pt>
                <c:pt idx="537">
                  <c:v>2628.4</c:v>
                </c:pt>
                <c:pt idx="538">
                  <c:v>2589.8000000000002</c:v>
                </c:pt>
                <c:pt idx="539">
                  <c:v>2508.1</c:v>
                </c:pt>
                <c:pt idx="540">
                  <c:v>2409.5</c:v>
                </c:pt>
                <c:pt idx="541">
                  <c:v>2339.25</c:v>
                </c:pt>
                <c:pt idx="542">
                  <c:v>2259.65</c:v>
                </c:pt>
                <c:pt idx="543">
                  <c:v>2256.0500000000002</c:v>
                </c:pt>
                <c:pt idx="544">
                  <c:v>2293.0500000000002</c:v>
                </c:pt>
                <c:pt idx="545">
                  <c:v>2303</c:v>
                </c:pt>
                <c:pt idx="546">
                  <c:v>2290.75</c:v>
                </c:pt>
                <c:pt idx="547">
                  <c:v>2313.5500000000002</c:v>
                </c:pt>
                <c:pt idx="548">
                  <c:v>2305.25</c:v>
                </c:pt>
                <c:pt idx="549">
                  <c:v>2357.9</c:v>
                </c:pt>
                <c:pt idx="550">
                  <c:v>2436.9499999999998</c:v>
                </c:pt>
                <c:pt idx="551">
                  <c:v>2378.75</c:v>
                </c:pt>
                <c:pt idx="552">
                  <c:v>2380.4</c:v>
                </c:pt>
                <c:pt idx="553">
                  <c:v>2394.1</c:v>
                </c:pt>
                <c:pt idx="554">
                  <c:v>2369.65</c:v>
                </c:pt>
                <c:pt idx="555">
                  <c:v>2336.85</c:v>
                </c:pt>
                <c:pt idx="556">
                  <c:v>2380</c:v>
                </c:pt>
                <c:pt idx="557">
                  <c:v>2480.5</c:v>
                </c:pt>
                <c:pt idx="558">
                  <c:v>2486.5500000000002</c:v>
                </c:pt>
                <c:pt idx="559">
                  <c:v>2457.15</c:v>
                </c:pt>
                <c:pt idx="560">
                  <c:v>2481.1999999999998</c:v>
                </c:pt>
                <c:pt idx="561">
                  <c:v>2508.9499999999998</c:v>
                </c:pt>
                <c:pt idx="562">
                  <c:v>2543.4499999999998</c:v>
                </c:pt>
                <c:pt idx="563">
                  <c:v>2530.6999999999998</c:v>
                </c:pt>
                <c:pt idx="564">
                  <c:v>2538.4</c:v>
                </c:pt>
                <c:pt idx="565">
                  <c:v>2555.1999999999998</c:v>
                </c:pt>
                <c:pt idx="566">
                  <c:v>2545.6</c:v>
                </c:pt>
                <c:pt idx="567">
                  <c:v>2521.8000000000002</c:v>
                </c:pt>
                <c:pt idx="568">
                  <c:v>2491.4499999999998</c:v>
                </c:pt>
                <c:pt idx="569">
                  <c:v>2511</c:v>
                </c:pt>
                <c:pt idx="570">
                  <c:v>2454.85</c:v>
                </c:pt>
                <c:pt idx="571">
                  <c:v>2536.8000000000002</c:v>
                </c:pt>
                <c:pt idx="572">
                  <c:v>2651.5</c:v>
                </c:pt>
                <c:pt idx="573">
                  <c:v>2631.5</c:v>
                </c:pt>
                <c:pt idx="574">
                  <c:v>2594.15</c:v>
                </c:pt>
                <c:pt idx="575">
                  <c:v>2649.3</c:v>
                </c:pt>
                <c:pt idx="576">
                  <c:v>2655.45</c:v>
                </c:pt>
                <c:pt idx="577">
                  <c:v>2679.95</c:v>
                </c:pt>
                <c:pt idx="578">
                  <c:v>2630.35</c:v>
                </c:pt>
                <c:pt idx="579">
                  <c:v>2552.5</c:v>
                </c:pt>
                <c:pt idx="580">
                  <c:v>2483.1999999999998</c:v>
                </c:pt>
                <c:pt idx="581">
                  <c:v>2433.5500000000002</c:v>
                </c:pt>
                <c:pt idx="582">
                  <c:v>2362.4499999999998</c:v>
                </c:pt>
                <c:pt idx="583">
                  <c:v>2344.3000000000002</c:v>
                </c:pt>
                <c:pt idx="584">
                  <c:v>2415.5500000000002</c:v>
                </c:pt>
                <c:pt idx="585">
                  <c:v>2389.15</c:v>
                </c:pt>
                <c:pt idx="586">
                  <c:v>2384.65</c:v>
                </c:pt>
                <c:pt idx="587">
                  <c:v>2432.65</c:v>
                </c:pt>
                <c:pt idx="588">
                  <c:v>2617.9499999999998</c:v>
                </c:pt>
                <c:pt idx="589">
                  <c:v>2706.7</c:v>
                </c:pt>
                <c:pt idx="590">
                  <c:v>2696</c:v>
                </c:pt>
                <c:pt idx="591">
                  <c:v>2650.5</c:v>
                </c:pt>
                <c:pt idx="592">
                  <c:v>2707.8</c:v>
                </c:pt>
                <c:pt idx="593">
                  <c:v>2741.3</c:v>
                </c:pt>
                <c:pt idx="594">
                  <c:v>2719.3</c:v>
                </c:pt>
                <c:pt idx="595">
                  <c:v>2686.15</c:v>
                </c:pt>
                <c:pt idx="596">
                  <c:v>2725.1</c:v>
                </c:pt>
                <c:pt idx="597">
                  <c:v>2742.1</c:v>
                </c:pt>
                <c:pt idx="598">
                  <c:v>2758.45</c:v>
                </c:pt>
                <c:pt idx="599">
                  <c:v>2780.75</c:v>
                </c:pt>
                <c:pt idx="600">
                  <c:v>2771.7</c:v>
                </c:pt>
                <c:pt idx="601">
                  <c:v>2723.55</c:v>
                </c:pt>
                <c:pt idx="602">
                  <c:v>2685.25</c:v>
                </c:pt>
                <c:pt idx="603">
                  <c:v>2653.1</c:v>
                </c:pt>
                <c:pt idx="604">
                  <c:v>2647.9</c:v>
                </c:pt>
                <c:pt idx="605">
                  <c:v>2649.15</c:v>
                </c:pt>
                <c:pt idx="606">
                  <c:v>2716</c:v>
                </c:pt>
                <c:pt idx="607">
                  <c:v>2712.85</c:v>
                </c:pt>
                <c:pt idx="608">
                  <c:v>2700.8</c:v>
                </c:pt>
                <c:pt idx="609">
                  <c:v>2722.75</c:v>
                </c:pt>
                <c:pt idx="610">
                  <c:v>2720.1</c:v>
                </c:pt>
                <c:pt idx="611">
                  <c:v>2652.5</c:v>
                </c:pt>
                <c:pt idx="612">
                  <c:v>2604.8000000000002</c:v>
                </c:pt>
                <c:pt idx="613">
                  <c:v>2623.25</c:v>
                </c:pt>
                <c:pt idx="614">
                  <c:v>2702.8</c:v>
                </c:pt>
                <c:pt idx="615">
                  <c:v>2662.75</c:v>
                </c:pt>
                <c:pt idx="616">
                  <c:v>2819.05</c:v>
                </c:pt>
                <c:pt idx="617">
                  <c:v>2877.9</c:v>
                </c:pt>
                <c:pt idx="618">
                  <c:v>2848.3</c:v>
                </c:pt>
                <c:pt idx="619">
                  <c:v>2863.8</c:v>
                </c:pt>
                <c:pt idx="620">
                  <c:v>2886.6</c:v>
                </c:pt>
                <c:pt idx="621">
                  <c:v>2794.35</c:v>
                </c:pt>
                <c:pt idx="622">
                  <c:v>2782.8</c:v>
                </c:pt>
                <c:pt idx="623">
                  <c:v>2796.4</c:v>
                </c:pt>
                <c:pt idx="624">
                  <c:v>2805.6</c:v>
                </c:pt>
                <c:pt idx="625">
                  <c:v>2907.95</c:v>
                </c:pt>
                <c:pt idx="626">
                  <c:v>2944.2</c:v>
                </c:pt>
                <c:pt idx="627">
                  <c:v>2931.6</c:v>
                </c:pt>
                <c:pt idx="628">
                  <c:v>3046.85</c:v>
                </c:pt>
                <c:pt idx="629">
                  <c:v>2954.05</c:v>
                </c:pt>
                <c:pt idx="630">
                  <c:v>2967.4</c:v>
                </c:pt>
                <c:pt idx="631">
                  <c:v>2955.1</c:v>
                </c:pt>
                <c:pt idx="632">
                  <c:v>3034</c:v>
                </c:pt>
                <c:pt idx="633">
                  <c:v>3036.5</c:v>
                </c:pt>
                <c:pt idx="634">
                  <c:v>3077.7</c:v>
                </c:pt>
                <c:pt idx="635">
                  <c:v>3045</c:v>
                </c:pt>
                <c:pt idx="636">
                  <c:v>3081.2</c:v>
                </c:pt>
                <c:pt idx="637">
                  <c:v>3147.6</c:v>
                </c:pt>
                <c:pt idx="638">
                  <c:v>3086.7</c:v>
                </c:pt>
                <c:pt idx="639">
                  <c:v>3023.3</c:v>
                </c:pt>
                <c:pt idx="640">
                  <c:v>3057.4</c:v>
                </c:pt>
                <c:pt idx="641">
                  <c:v>3054</c:v>
                </c:pt>
                <c:pt idx="642">
                  <c:v>3093.45</c:v>
                </c:pt>
                <c:pt idx="643">
                  <c:v>3088.4</c:v>
                </c:pt>
                <c:pt idx="644">
                  <c:v>3120.95</c:v>
                </c:pt>
                <c:pt idx="645">
                  <c:v>3138.2</c:v>
                </c:pt>
                <c:pt idx="646">
                  <c:v>3145.8</c:v>
                </c:pt>
                <c:pt idx="647">
                  <c:v>3089.6</c:v>
                </c:pt>
                <c:pt idx="648">
                  <c:v>3116.75</c:v>
                </c:pt>
                <c:pt idx="649">
                  <c:v>3154.55</c:v>
                </c:pt>
                <c:pt idx="650">
                  <c:v>3176.45</c:v>
                </c:pt>
                <c:pt idx="651">
                  <c:v>3210.15</c:v>
                </c:pt>
                <c:pt idx="652">
                  <c:v>3338.05</c:v>
                </c:pt>
                <c:pt idx="653">
                  <c:v>3397.6</c:v>
                </c:pt>
                <c:pt idx="654">
                  <c:v>3411.4</c:v>
                </c:pt>
                <c:pt idx="655">
                  <c:v>3424.1</c:v>
                </c:pt>
                <c:pt idx="656">
                  <c:v>3363.25</c:v>
                </c:pt>
                <c:pt idx="657">
                  <c:v>3464.75</c:v>
                </c:pt>
                <c:pt idx="658">
                  <c:v>3450.7</c:v>
                </c:pt>
                <c:pt idx="659">
                  <c:v>3481.45</c:v>
                </c:pt>
                <c:pt idx="660">
                  <c:v>3355.1</c:v>
                </c:pt>
                <c:pt idx="661">
                  <c:v>3291.6</c:v>
                </c:pt>
                <c:pt idx="662">
                  <c:v>3358.75</c:v>
                </c:pt>
                <c:pt idx="663">
                  <c:v>3411.6</c:v>
                </c:pt>
                <c:pt idx="664">
                  <c:v>3422.1</c:v>
                </c:pt>
                <c:pt idx="665">
                  <c:v>3400.5</c:v>
                </c:pt>
                <c:pt idx="666">
                  <c:v>3410.35</c:v>
                </c:pt>
                <c:pt idx="667">
                  <c:v>3383.65</c:v>
                </c:pt>
                <c:pt idx="668">
                  <c:v>3425.75</c:v>
                </c:pt>
                <c:pt idx="669">
                  <c:v>3473.15</c:v>
                </c:pt>
                <c:pt idx="670">
                  <c:v>3538.95</c:v>
                </c:pt>
                <c:pt idx="671">
                  <c:v>3522</c:v>
                </c:pt>
                <c:pt idx="672">
                  <c:v>3541.8</c:v>
                </c:pt>
                <c:pt idx="673">
                  <c:v>3622.25</c:v>
                </c:pt>
                <c:pt idx="674">
                  <c:v>3549</c:v>
                </c:pt>
                <c:pt idx="675">
                  <c:v>3590.25</c:v>
                </c:pt>
                <c:pt idx="676">
                  <c:v>3711.55</c:v>
                </c:pt>
                <c:pt idx="677">
                  <c:v>3682.05</c:v>
                </c:pt>
                <c:pt idx="678">
                  <c:v>3748.75</c:v>
                </c:pt>
                <c:pt idx="679">
                  <c:v>3688.45</c:v>
                </c:pt>
                <c:pt idx="680">
                  <c:v>3515.55</c:v>
                </c:pt>
                <c:pt idx="681">
                  <c:v>3570.55</c:v>
                </c:pt>
                <c:pt idx="682">
                  <c:v>3628.3</c:v>
                </c:pt>
                <c:pt idx="683">
                  <c:v>3624.1</c:v>
                </c:pt>
                <c:pt idx="684">
                  <c:v>3671.6</c:v>
                </c:pt>
                <c:pt idx="685">
                  <c:v>3463.35</c:v>
                </c:pt>
                <c:pt idx="686">
                  <c:v>3555</c:v>
                </c:pt>
                <c:pt idx="687">
                  <c:v>3531.35</c:v>
                </c:pt>
                <c:pt idx="688">
                  <c:v>3498.55</c:v>
                </c:pt>
                <c:pt idx="689">
                  <c:v>3531.6</c:v>
                </c:pt>
                <c:pt idx="690">
                  <c:v>3408</c:v>
                </c:pt>
                <c:pt idx="691">
                  <c:v>3458.2</c:v>
                </c:pt>
                <c:pt idx="692">
                  <c:v>3471.2</c:v>
                </c:pt>
                <c:pt idx="693">
                  <c:v>3477.2</c:v>
                </c:pt>
                <c:pt idx="694">
                  <c:v>3514.7</c:v>
                </c:pt>
                <c:pt idx="695">
                  <c:v>3612.5</c:v>
                </c:pt>
                <c:pt idx="696">
                  <c:v>3612.3</c:v>
                </c:pt>
                <c:pt idx="697">
                  <c:v>3651.15</c:v>
                </c:pt>
                <c:pt idx="698">
                  <c:v>3629.5</c:v>
                </c:pt>
                <c:pt idx="699">
                  <c:v>3641.2</c:v>
                </c:pt>
                <c:pt idx="700">
                  <c:v>3710.65</c:v>
                </c:pt>
                <c:pt idx="701">
                  <c:v>3710.65</c:v>
                </c:pt>
                <c:pt idx="702">
                  <c:v>3745.75</c:v>
                </c:pt>
                <c:pt idx="703">
                  <c:v>3850.45</c:v>
                </c:pt>
                <c:pt idx="704">
                  <c:v>3798.4</c:v>
                </c:pt>
                <c:pt idx="705">
                  <c:v>3729.2</c:v>
                </c:pt>
                <c:pt idx="706">
                  <c:v>3675.25</c:v>
                </c:pt>
                <c:pt idx="707">
                  <c:v>3666.9</c:v>
                </c:pt>
                <c:pt idx="708">
                  <c:v>3755.15</c:v>
                </c:pt>
                <c:pt idx="709">
                  <c:v>3732.95</c:v>
                </c:pt>
                <c:pt idx="710">
                  <c:v>3700.85</c:v>
                </c:pt>
                <c:pt idx="711">
                  <c:v>3519.65</c:v>
                </c:pt>
                <c:pt idx="712">
                  <c:v>3516.6</c:v>
                </c:pt>
                <c:pt idx="713">
                  <c:v>3507.95</c:v>
                </c:pt>
                <c:pt idx="714">
                  <c:v>3503.05</c:v>
                </c:pt>
                <c:pt idx="715">
                  <c:v>3441.85</c:v>
                </c:pt>
                <c:pt idx="716">
                  <c:v>3390.25</c:v>
                </c:pt>
                <c:pt idx="717">
                  <c:v>3378.6</c:v>
                </c:pt>
                <c:pt idx="718">
                  <c:v>3375.05</c:v>
                </c:pt>
                <c:pt idx="719">
                  <c:v>3380.9</c:v>
                </c:pt>
                <c:pt idx="720">
                  <c:v>3377.35</c:v>
                </c:pt>
                <c:pt idx="721">
                  <c:v>3414.1</c:v>
                </c:pt>
                <c:pt idx="722">
                  <c:v>3441.4</c:v>
                </c:pt>
                <c:pt idx="723">
                  <c:v>3416.1</c:v>
                </c:pt>
                <c:pt idx="724">
                  <c:v>3484.5</c:v>
                </c:pt>
                <c:pt idx="725">
                  <c:v>3437.45</c:v>
                </c:pt>
                <c:pt idx="726">
                  <c:v>3331.85</c:v>
                </c:pt>
                <c:pt idx="727">
                  <c:v>3344.4</c:v>
                </c:pt>
                <c:pt idx="728">
                  <c:v>3299.7</c:v>
                </c:pt>
                <c:pt idx="729">
                  <c:v>3259.85</c:v>
                </c:pt>
                <c:pt idx="730">
                  <c:v>3322.3</c:v>
                </c:pt>
                <c:pt idx="731">
                  <c:v>3358.2</c:v>
                </c:pt>
                <c:pt idx="732">
                  <c:v>3320.45</c:v>
                </c:pt>
                <c:pt idx="733">
                  <c:v>3313</c:v>
                </c:pt>
                <c:pt idx="734">
                  <c:v>3369.4</c:v>
                </c:pt>
                <c:pt idx="735">
                  <c:v>3303.5</c:v>
                </c:pt>
                <c:pt idx="736">
                  <c:v>3291.45</c:v>
                </c:pt>
                <c:pt idx="737">
                  <c:v>3388.9</c:v>
                </c:pt>
                <c:pt idx="738">
                  <c:v>3313.45</c:v>
                </c:pt>
                <c:pt idx="739">
                  <c:v>3273.25</c:v>
                </c:pt>
                <c:pt idx="740">
                  <c:v>3206.05</c:v>
                </c:pt>
                <c:pt idx="741">
                  <c:v>3113.65</c:v>
                </c:pt>
                <c:pt idx="742">
                  <c:v>3161.25</c:v>
                </c:pt>
                <c:pt idx="743">
                  <c:v>3201.8</c:v>
                </c:pt>
                <c:pt idx="744">
                  <c:v>3211.55</c:v>
                </c:pt>
                <c:pt idx="745">
                  <c:v>3281.2</c:v>
                </c:pt>
                <c:pt idx="746">
                  <c:v>3227.75</c:v>
                </c:pt>
                <c:pt idx="747">
                  <c:v>3228.85</c:v>
                </c:pt>
                <c:pt idx="748">
                  <c:v>3213.45</c:v>
                </c:pt>
                <c:pt idx="749">
                  <c:v>3215.25</c:v>
                </c:pt>
                <c:pt idx="750">
                  <c:v>3257.7</c:v>
                </c:pt>
                <c:pt idx="751">
                  <c:v>3250.6</c:v>
                </c:pt>
                <c:pt idx="752">
                  <c:v>3262.55</c:v>
                </c:pt>
                <c:pt idx="753">
                  <c:v>3167.55</c:v>
                </c:pt>
                <c:pt idx="754">
                  <c:v>3137.25</c:v>
                </c:pt>
                <c:pt idx="755">
                  <c:v>3103.25</c:v>
                </c:pt>
                <c:pt idx="756">
                  <c:v>3162.05</c:v>
                </c:pt>
                <c:pt idx="757">
                  <c:v>3139.05</c:v>
                </c:pt>
                <c:pt idx="758">
                  <c:v>3179.95</c:v>
                </c:pt>
                <c:pt idx="759">
                  <c:v>3177.6</c:v>
                </c:pt>
                <c:pt idx="760">
                  <c:v>3166.7</c:v>
                </c:pt>
                <c:pt idx="761">
                  <c:v>3150.5</c:v>
                </c:pt>
                <c:pt idx="762">
                  <c:v>3203.35</c:v>
                </c:pt>
                <c:pt idx="763">
                  <c:v>3226.55</c:v>
                </c:pt>
                <c:pt idx="764">
                  <c:v>3213.85</c:v>
                </c:pt>
                <c:pt idx="765">
                  <c:v>3169.75</c:v>
                </c:pt>
                <c:pt idx="766">
                  <c:v>3191.45</c:v>
                </c:pt>
                <c:pt idx="767">
                  <c:v>3263.35</c:v>
                </c:pt>
                <c:pt idx="768">
                  <c:v>3303.1</c:v>
                </c:pt>
                <c:pt idx="769">
                  <c:v>3217.3</c:v>
                </c:pt>
                <c:pt idx="770">
                  <c:v>3316.7</c:v>
                </c:pt>
                <c:pt idx="771">
                  <c:v>3260.7</c:v>
                </c:pt>
                <c:pt idx="772">
                  <c:v>3274.7</c:v>
                </c:pt>
                <c:pt idx="773">
                  <c:v>3228</c:v>
                </c:pt>
                <c:pt idx="774">
                  <c:v>3237.15</c:v>
                </c:pt>
                <c:pt idx="775">
                  <c:v>3212.35</c:v>
                </c:pt>
                <c:pt idx="776">
                  <c:v>3252.65</c:v>
                </c:pt>
                <c:pt idx="777">
                  <c:v>3175.7</c:v>
                </c:pt>
                <c:pt idx="778">
                  <c:v>3311.15</c:v>
                </c:pt>
                <c:pt idx="779">
                  <c:v>3289.1</c:v>
                </c:pt>
                <c:pt idx="780">
                  <c:v>3285</c:v>
                </c:pt>
                <c:pt idx="781">
                  <c:v>3290.5</c:v>
                </c:pt>
                <c:pt idx="782">
                  <c:v>3274.15</c:v>
                </c:pt>
                <c:pt idx="783">
                  <c:v>3249.7</c:v>
                </c:pt>
                <c:pt idx="784">
                  <c:v>3241.95</c:v>
                </c:pt>
                <c:pt idx="785">
                  <c:v>3205.6</c:v>
                </c:pt>
                <c:pt idx="786">
                  <c:v>3131.05</c:v>
                </c:pt>
                <c:pt idx="787">
                  <c:v>3105.9</c:v>
                </c:pt>
                <c:pt idx="788">
                  <c:v>3138.8</c:v>
                </c:pt>
                <c:pt idx="789">
                  <c:v>3125.5</c:v>
                </c:pt>
                <c:pt idx="790">
                  <c:v>3127.3</c:v>
                </c:pt>
                <c:pt idx="791">
                  <c:v>3166.2</c:v>
                </c:pt>
                <c:pt idx="792">
                  <c:v>3204.4</c:v>
                </c:pt>
                <c:pt idx="793">
                  <c:v>3146.7</c:v>
                </c:pt>
                <c:pt idx="794">
                  <c:v>3116.1</c:v>
                </c:pt>
                <c:pt idx="795">
                  <c:v>3033.4</c:v>
                </c:pt>
                <c:pt idx="796">
                  <c:v>3016.9</c:v>
                </c:pt>
                <c:pt idx="797">
                  <c:v>3006.9</c:v>
                </c:pt>
                <c:pt idx="798">
                  <c:v>3035.45</c:v>
                </c:pt>
                <c:pt idx="799">
                  <c:v>2974.6</c:v>
                </c:pt>
                <c:pt idx="800">
                  <c:v>2952</c:v>
                </c:pt>
                <c:pt idx="801">
                  <c:v>2934.8</c:v>
                </c:pt>
                <c:pt idx="802">
                  <c:v>2946.55</c:v>
                </c:pt>
                <c:pt idx="803">
                  <c:v>2927.7</c:v>
                </c:pt>
                <c:pt idx="804">
                  <c:v>2909.6</c:v>
                </c:pt>
                <c:pt idx="805">
                  <c:v>2885.55</c:v>
                </c:pt>
                <c:pt idx="806">
                  <c:v>2852.4</c:v>
                </c:pt>
                <c:pt idx="807">
                  <c:v>2933.7</c:v>
                </c:pt>
                <c:pt idx="808">
                  <c:v>2948.85</c:v>
                </c:pt>
                <c:pt idx="809">
                  <c:v>3004.3</c:v>
                </c:pt>
                <c:pt idx="810">
                  <c:v>2933.75</c:v>
                </c:pt>
                <c:pt idx="811">
                  <c:v>2961.7</c:v>
                </c:pt>
                <c:pt idx="812">
                  <c:v>2970.45</c:v>
                </c:pt>
                <c:pt idx="813">
                  <c:v>3054.2</c:v>
                </c:pt>
                <c:pt idx="814">
                  <c:v>3128.35</c:v>
                </c:pt>
                <c:pt idx="815">
                  <c:v>3213.05</c:v>
                </c:pt>
                <c:pt idx="816">
                  <c:v>3229</c:v>
                </c:pt>
                <c:pt idx="817">
                  <c:v>3263.55</c:v>
                </c:pt>
                <c:pt idx="818">
                  <c:v>3289.6</c:v>
                </c:pt>
                <c:pt idx="819">
                  <c:v>3246.95</c:v>
                </c:pt>
                <c:pt idx="820">
                  <c:v>3200.7</c:v>
                </c:pt>
                <c:pt idx="821">
                  <c:v>3182.8</c:v>
                </c:pt>
                <c:pt idx="822">
                  <c:v>3217.95</c:v>
                </c:pt>
                <c:pt idx="823">
                  <c:v>3248.35</c:v>
                </c:pt>
                <c:pt idx="824">
                  <c:v>3263.55</c:v>
                </c:pt>
                <c:pt idx="825">
                  <c:v>3301.1</c:v>
                </c:pt>
                <c:pt idx="826">
                  <c:v>3356.15</c:v>
                </c:pt>
                <c:pt idx="827">
                  <c:v>3348.35</c:v>
                </c:pt>
                <c:pt idx="828">
                  <c:v>3339.3</c:v>
                </c:pt>
                <c:pt idx="829">
                  <c:v>3355.1</c:v>
                </c:pt>
                <c:pt idx="830">
                  <c:v>3392.9</c:v>
                </c:pt>
                <c:pt idx="831">
                  <c:v>3381.9</c:v>
                </c:pt>
                <c:pt idx="832">
                  <c:v>3416.75</c:v>
                </c:pt>
                <c:pt idx="833">
                  <c:v>3405.3</c:v>
                </c:pt>
                <c:pt idx="834">
                  <c:v>3626.35</c:v>
                </c:pt>
                <c:pt idx="835">
                  <c:v>3658.5</c:v>
                </c:pt>
                <c:pt idx="836">
                  <c:v>3633.2</c:v>
                </c:pt>
                <c:pt idx="837">
                  <c:v>3628.75</c:v>
                </c:pt>
                <c:pt idx="838">
                  <c:v>3576.15</c:v>
                </c:pt>
                <c:pt idx="839">
                  <c:v>3570.9</c:v>
                </c:pt>
                <c:pt idx="840">
                  <c:v>3545.45</c:v>
                </c:pt>
                <c:pt idx="841">
                  <c:v>3601.6</c:v>
                </c:pt>
                <c:pt idx="842">
                  <c:v>3610.9</c:v>
                </c:pt>
                <c:pt idx="843">
                  <c:v>3651.5</c:v>
                </c:pt>
                <c:pt idx="844">
                  <c:v>3690.35</c:v>
                </c:pt>
                <c:pt idx="845">
                  <c:v>3711.45</c:v>
                </c:pt>
                <c:pt idx="846">
                  <c:v>3678.35</c:v>
                </c:pt>
                <c:pt idx="847">
                  <c:v>3671.95</c:v>
                </c:pt>
                <c:pt idx="848">
                  <c:v>3716.05</c:v>
                </c:pt>
                <c:pt idx="849">
                  <c:v>3699.4</c:v>
                </c:pt>
                <c:pt idx="850">
                  <c:v>3673.25</c:v>
                </c:pt>
                <c:pt idx="851">
                  <c:v>3705.1</c:v>
                </c:pt>
                <c:pt idx="852">
                  <c:v>3727.4</c:v>
                </c:pt>
                <c:pt idx="853">
                  <c:v>3657.4</c:v>
                </c:pt>
                <c:pt idx="854">
                  <c:v>3581.3</c:v>
                </c:pt>
                <c:pt idx="855">
                  <c:v>3590.6</c:v>
                </c:pt>
                <c:pt idx="856">
                  <c:v>3592.65</c:v>
                </c:pt>
                <c:pt idx="857">
                  <c:v>3572.05</c:v>
                </c:pt>
                <c:pt idx="858">
                  <c:v>3534.7</c:v>
                </c:pt>
                <c:pt idx="859">
                  <c:v>3538.9</c:v>
                </c:pt>
                <c:pt idx="860">
                  <c:v>3496.65</c:v>
                </c:pt>
                <c:pt idx="861">
                  <c:v>3562.1</c:v>
                </c:pt>
                <c:pt idx="862">
                  <c:v>3570.45</c:v>
                </c:pt>
                <c:pt idx="863">
                  <c:v>3558.6</c:v>
                </c:pt>
                <c:pt idx="864">
                  <c:v>3539.2</c:v>
                </c:pt>
                <c:pt idx="865">
                  <c:v>3551.65</c:v>
                </c:pt>
                <c:pt idx="866">
                  <c:v>3535.75</c:v>
                </c:pt>
                <c:pt idx="867">
                  <c:v>3544.85</c:v>
                </c:pt>
                <c:pt idx="868">
                  <c:v>3580.1</c:v>
                </c:pt>
                <c:pt idx="869">
                  <c:v>3630.85</c:v>
                </c:pt>
                <c:pt idx="870">
                  <c:v>3401.8</c:v>
                </c:pt>
                <c:pt idx="871">
                  <c:v>3309.75</c:v>
                </c:pt>
                <c:pt idx="872">
                  <c:v>3222.2</c:v>
                </c:pt>
                <c:pt idx="873">
                  <c:v>3184.8</c:v>
                </c:pt>
                <c:pt idx="874">
                  <c:v>3173.9</c:v>
                </c:pt>
                <c:pt idx="875">
                  <c:v>3253.05</c:v>
                </c:pt>
                <c:pt idx="876">
                  <c:v>3291.65</c:v>
                </c:pt>
                <c:pt idx="877">
                  <c:v>3257.15</c:v>
                </c:pt>
                <c:pt idx="878">
                  <c:v>3347.1</c:v>
                </c:pt>
                <c:pt idx="879">
                  <c:v>3349.9</c:v>
                </c:pt>
                <c:pt idx="880">
                  <c:v>3349.25</c:v>
                </c:pt>
                <c:pt idx="881">
                  <c:v>3330.15</c:v>
                </c:pt>
                <c:pt idx="882">
                  <c:v>3317.1</c:v>
                </c:pt>
                <c:pt idx="883">
                  <c:v>3315.5</c:v>
                </c:pt>
                <c:pt idx="884">
                  <c:v>3307.85</c:v>
                </c:pt>
                <c:pt idx="885">
                  <c:v>3326.2</c:v>
                </c:pt>
                <c:pt idx="886">
                  <c:v>3353.65</c:v>
                </c:pt>
                <c:pt idx="887">
                  <c:v>3327.9</c:v>
                </c:pt>
                <c:pt idx="888">
                  <c:v>3355.2</c:v>
                </c:pt>
                <c:pt idx="889">
                  <c:v>3365.5</c:v>
                </c:pt>
                <c:pt idx="890">
                  <c:v>3415.9</c:v>
                </c:pt>
                <c:pt idx="891">
                  <c:v>3332.7</c:v>
                </c:pt>
                <c:pt idx="892">
                  <c:v>3379.7</c:v>
                </c:pt>
                <c:pt idx="893">
                  <c:v>3359.55</c:v>
                </c:pt>
                <c:pt idx="894">
                  <c:v>3355.85</c:v>
                </c:pt>
                <c:pt idx="895">
                  <c:v>3372</c:v>
                </c:pt>
                <c:pt idx="896">
                  <c:v>3412.6</c:v>
                </c:pt>
                <c:pt idx="897">
                  <c:v>3414.7</c:v>
                </c:pt>
                <c:pt idx="898">
                  <c:v>3389.2</c:v>
                </c:pt>
                <c:pt idx="899">
                  <c:v>3338.7</c:v>
                </c:pt>
                <c:pt idx="900">
                  <c:v>3327.2</c:v>
                </c:pt>
                <c:pt idx="901">
                  <c:v>3298.45</c:v>
                </c:pt>
                <c:pt idx="902">
                  <c:v>3349.6</c:v>
                </c:pt>
                <c:pt idx="903">
                  <c:v>3365.55</c:v>
                </c:pt>
                <c:pt idx="904">
                  <c:v>3343.4</c:v>
                </c:pt>
                <c:pt idx="905">
                  <c:v>3358</c:v>
                </c:pt>
                <c:pt idx="906">
                  <c:v>3341.65</c:v>
                </c:pt>
                <c:pt idx="907">
                  <c:v>3341.15</c:v>
                </c:pt>
                <c:pt idx="908">
                  <c:v>3348.35</c:v>
                </c:pt>
                <c:pt idx="909">
                  <c:v>3355.35</c:v>
                </c:pt>
                <c:pt idx="910">
                  <c:v>3405.75</c:v>
                </c:pt>
                <c:pt idx="911">
                  <c:v>3336.6</c:v>
                </c:pt>
                <c:pt idx="912">
                  <c:v>3400.4</c:v>
                </c:pt>
                <c:pt idx="913">
                  <c:v>3434.15</c:v>
                </c:pt>
                <c:pt idx="914">
                  <c:v>3403.45</c:v>
                </c:pt>
                <c:pt idx="915">
                  <c:v>3391.3</c:v>
                </c:pt>
                <c:pt idx="916">
                  <c:v>3402.45</c:v>
                </c:pt>
                <c:pt idx="917">
                  <c:v>3370.9</c:v>
                </c:pt>
                <c:pt idx="918">
                  <c:v>3404.5</c:v>
                </c:pt>
                <c:pt idx="919">
                  <c:v>3341.25</c:v>
                </c:pt>
                <c:pt idx="920">
                  <c:v>3320.3</c:v>
                </c:pt>
                <c:pt idx="921">
                  <c:v>3381.4</c:v>
                </c:pt>
                <c:pt idx="922">
                  <c:v>3427.2</c:v>
                </c:pt>
                <c:pt idx="923">
                  <c:v>3431.75</c:v>
                </c:pt>
                <c:pt idx="924">
                  <c:v>3441.2</c:v>
                </c:pt>
                <c:pt idx="925">
                  <c:v>3435.85</c:v>
                </c:pt>
                <c:pt idx="926">
                  <c:v>3409.45</c:v>
                </c:pt>
                <c:pt idx="927">
                  <c:v>3386.65</c:v>
                </c:pt>
                <c:pt idx="928">
                  <c:v>3472.15</c:v>
                </c:pt>
                <c:pt idx="929">
                  <c:v>3479.7</c:v>
                </c:pt>
                <c:pt idx="930">
                  <c:v>3440.25</c:v>
                </c:pt>
                <c:pt idx="931">
                  <c:v>3446.95</c:v>
                </c:pt>
                <c:pt idx="932">
                  <c:v>3351.4</c:v>
                </c:pt>
                <c:pt idx="933">
                  <c:v>3400.9</c:v>
                </c:pt>
                <c:pt idx="934">
                  <c:v>3443.6</c:v>
                </c:pt>
                <c:pt idx="935">
                  <c:v>3450.4</c:v>
                </c:pt>
                <c:pt idx="936">
                  <c:v>3445.6</c:v>
                </c:pt>
                <c:pt idx="937">
                  <c:v>3458.75</c:v>
                </c:pt>
                <c:pt idx="938">
                  <c:v>3486.6</c:v>
                </c:pt>
                <c:pt idx="939">
                  <c:v>3494.2</c:v>
                </c:pt>
                <c:pt idx="940">
                  <c:v>3476.4</c:v>
                </c:pt>
                <c:pt idx="941">
                  <c:v>3486.6</c:v>
                </c:pt>
                <c:pt idx="942">
                  <c:v>3500.85</c:v>
                </c:pt>
                <c:pt idx="943">
                  <c:v>3496.1</c:v>
                </c:pt>
                <c:pt idx="944">
                  <c:v>3501.2</c:v>
                </c:pt>
                <c:pt idx="945">
                  <c:v>3480.9</c:v>
                </c:pt>
                <c:pt idx="946">
                  <c:v>3446.35</c:v>
                </c:pt>
                <c:pt idx="947">
                  <c:v>3384.4</c:v>
                </c:pt>
                <c:pt idx="948">
                  <c:v>3326.8</c:v>
                </c:pt>
                <c:pt idx="949">
                  <c:v>3394.85</c:v>
                </c:pt>
                <c:pt idx="950">
                  <c:v>3357.65</c:v>
                </c:pt>
                <c:pt idx="951">
                  <c:v>3295.55</c:v>
                </c:pt>
                <c:pt idx="952">
                  <c:v>3282.25</c:v>
                </c:pt>
                <c:pt idx="953">
                  <c:v>3338.3</c:v>
                </c:pt>
                <c:pt idx="954">
                  <c:v>3428</c:v>
                </c:pt>
                <c:pt idx="955">
                  <c:v>3510.95</c:v>
                </c:pt>
                <c:pt idx="956">
                  <c:v>3509.05</c:v>
                </c:pt>
                <c:pt idx="957">
                  <c:v>3550.3</c:v>
                </c:pt>
                <c:pt idx="958">
                  <c:v>3541.9</c:v>
                </c:pt>
                <c:pt idx="959">
                  <c:v>3540.75</c:v>
                </c:pt>
                <c:pt idx="960">
                  <c:v>3579.3</c:v>
                </c:pt>
                <c:pt idx="961">
                  <c:v>3645.4</c:v>
                </c:pt>
                <c:pt idx="962">
                  <c:v>3848.3</c:v>
                </c:pt>
                <c:pt idx="963">
                  <c:v>3836.75</c:v>
                </c:pt>
                <c:pt idx="964">
                  <c:v>3865.3</c:v>
                </c:pt>
                <c:pt idx="965">
                  <c:v>3846.45</c:v>
                </c:pt>
                <c:pt idx="966">
                  <c:v>3844.2</c:v>
                </c:pt>
                <c:pt idx="967">
                  <c:v>3833.8</c:v>
                </c:pt>
                <c:pt idx="968">
                  <c:v>3883.8</c:v>
                </c:pt>
                <c:pt idx="969">
                  <c:v>3849.05</c:v>
                </c:pt>
                <c:pt idx="970">
                  <c:v>3826.7</c:v>
                </c:pt>
                <c:pt idx="971">
                  <c:v>3812.25</c:v>
                </c:pt>
                <c:pt idx="972">
                  <c:v>3896.9</c:v>
                </c:pt>
                <c:pt idx="973">
                  <c:v>3891.2</c:v>
                </c:pt>
                <c:pt idx="974">
                  <c:v>4180.3500000000004</c:v>
                </c:pt>
                <c:pt idx="975">
                  <c:v>4136.5</c:v>
                </c:pt>
                <c:pt idx="976">
                  <c:v>4047</c:v>
                </c:pt>
                <c:pt idx="977">
                  <c:v>4091</c:v>
                </c:pt>
                <c:pt idx="978">
                  <c:v>4055</c:v>
                </c:pt>
                <c:pt idx="979">
                  <c:v>4025.65</c:v>
                </c:pt>
                <c:pt idx="980">
                  <c:v>3951.75</c:v>
                </c:pt>
                <c:pt idx="981">
                  <c:v>4032.75</c:v>
                </c:pt>
                <c:pt idx="982">
                  <c:v>4086.15</c:v>
                </c:pt>
                <c:pt idx="983">
                  <c:v>4059.9</c:v>
                </c:pt>
                <c:pt idx="984">
                  <c:v>4085.5</c:v>
                </c:pt>
                <c:pt idx="985">
                  <c:v>4039.65</c:v>
                </c:pt>
                <c:pt idx="986">
                  <c:v>3912.4</c:v>
                </c:pt>
                <c:pt idx="987">
                  <c:v>3957.95</c:v>
                </c:pt>
                <c:pt idx="988">
                  <c:v>4006.05</c:v>
                </c:pt>
                <c:pt idx="989">
                  <c:v>4040.4</c:v>
                </c:pt>
                <c:pt idx="990">
                  <c:v>4120</c:v>
                </c:pt>
                <c:pt idx="991">
                  <c:v>4091.9</c:v>
                </c:pt>
                <c:pt idx="992">
                  <c:v>4143.5</c:v>
                </c:pt>
                <c:pt idx="993">
                  <c:v>4038.35</c:v>
                </c:pt>
                <c:pt idx="994">
                  <c:v>3892.5</c:v>
                </c:pt>
                <c:pt idx="995">
                  <c:v>3887.6</c:v>
                </c:pt>
                <c:pt idx="996">
                  <c:v>3861</c:v>
                </c:pt>
                <c:pt idx="997">
                  <c:v>3877.05</c:v>
                </c:pt>
                <c:pt idx="998">
                  <c:v>3884.25</c:v>
                </c:pt>
                <c:pt idx="999">
                  <c:v>3870.45</c:v>
                </c:pt>
                <c:pt idx="1000">
                  <c:v>3842.55</c:v>
                </c:pt>
                <c:pt idx="1001">
                  <c:v>3888.8</c:v>
                </c:pt>
                <c:pt idx="1002">
                  <c:v>3870.85</c:v>
                </c:pt>
                <c:pt idx="1003">
                  <c:v>3832.1</c:v>
                </c:pt>
                <c:pt idx="1004">
                  <c:v>3792.3</c:v>
                </c:pt>
                <c:pt idx="1005">
                  <c:v>3751.1</c:v>
                </c:pt>
                <c:pt idx="1006">
                  <c:v>3691.15</c:v>
                </c:pt>
                <c:pt idx="1007">
                  <c:v>3699.45</c:v>
                </c:pt>
                <c:pt idx="1008">
                  <c:v>3697.6</c:v>
                </c:pt>
                <c:pt idx="1009">
                  <c:v>3616.7</c:v>
                </c:pt>
                <c:pt idx="1010">
                  <c:v>3635</c:v>
                </c:pt>
                <c:pt idx="1011">
                  <c:v>3616.45</c:v>
                </c:pt>
                <c:pt idx="1012">
                  <c:v>3669.05</c:v>
                </c:pt>
                <c:pt idx="1013">
                  <c:v>3704.75</c:v>
                </c:pt>
                <c:pt idx="1014">
                  <c:v>3839.6</c:v>
                </c:pt>
                <c:pt idx="1015">
                  <c:v>3933.2</c:v>
                </c:pt>
                <c:pt idx="1016">
                  <c:v>3825.55</c:v>
                </c:pt>
                <c:pt idx="1017">
                  <c:v>3889.95</c:v>
                </c:pt>
                <c:pt idx="1018">
                  <c:v>3944.6</c:v>
                </c:pt>
                <c:pt idx="1019">
                  <c:v>3927.65</c:v>
                </c:pt>
                <c:pt idx="1020">
                  <c:v>3807.3</c:v>
                </c:pt>
                <c:pt idx="1021">
                  <c:v>3840.95</c:v>
                </c:pt>
                <c:pt idx="1022">
                  <c:v>3871.85</c:v>
                </c:pt>
                <c:pt idx="1023">
                  <c:v>3854.2</c:v>
                </c:pt>
                <c:pt idx="1024">
                  <c:v>3901.55</c:v>
                </c:pt>
                <c:pt idx="1025">
                  <c:v>3916.55</c:v>
                </c:pt>
                <c:pt idx="1026">
                  <c:v>3928.65</c:v>
                </c:pt>
                <c:pt idx="1027">
                  <c:v>3902.85</c:v>
                </c:pt>
                <c:pt idx="1028">
                  <c:v>3828.1</c:v>
                </c:pt>
                <c:pt idx="1029">
                  <c:v>3836.35</c:v>
                </c:pt>
                <c:pt idx="1030">
                  <c:v>3951.4</c:v>
                </c:pt>
                <c:pt idx="1031">
                  <c:v>3927.05</c:v>
                </c:pt>
                <c:pt idx="1032">
                  <c:v>3952.95</c:v>
                </c:pt>
                <c:pt idx="1033">
                  <c:v>4002.75</c:v>
                </c:pt>
                <c:pt idx="1034">
                  <c:v>3863.75</c:v>
                </c:pt>
                <c:pt idx="1035">
                  <c:v>3792.4</c:v>
                </c:pt>
                <c:pt idx="1036">
                  <c:v>3843.55</c:v>
                </c:pt>
                <c:pt idx="1037">
                  <c:v>3860.35</c:v>
                </c:pt>
                <c:pt idx="1038">
                  <c:v>3751.45</c:v>
                </c:pt>
                <c:pt idx="1039">
                  <c:v>3791.9</c:v>
                </c:pt>
                <c:pt idx="1040">
                  <c:v>3793.2</c:v>
                </c:pt>
                <c:pt idx="1041">
                  <c:v>3785.25</c:v>
                </c:pt>
                <c:pt idx="1042">
                  <c:v>3783.9</c:v>
                </c:pt>
                <c:pt idx="1043">
                  <c:v>3810.75</c:v>
                </c:pt>
                <c:pt idx="1044">
                  <c:v>3735.55</c:v>
                </c:pt>
                <c:pt idx="1045">
                  <c:v>3772.65</c:v>
                </c:pt>
                <c:pt idx="1046">
                  <c:v>3745.65</c:v>
                </c:pt>
                <c:pt idx="1047">
                  <c:v>3699.7</c:v>
                </c:pt>
                <c:pt idx="1048">
                  <c:v>3716.85</c:v>
                </c:pt>
                <c:pt idx="1049">
                  <c:v>3873.6</c:v>
                </c:pt>
                <c:pt idx="1050">
                  <c:v>3918.95</c:v>
                </c:pt>
                <c:pt idx="1051">
                  <c:v>3988.4</c:v>
                </c:pt>
                <c:pt idx="1052">
                  <c:v>3911.1</c:v>
                </c:pt>
                <c:pt idx="1053">
                  <c:v>3913.8</c:v>
                </c:pt>
                <c:pt idx="1054">
                  <c:v>4019.3</c:v>
                </c:pt>
                <c:pt idx="1055">
                  <c:v>3946.65</c:v>
                </c:pt>
                <c:pt idx="1056">
                  <c:v>3922.2</c:v>
                </c:pt>
                <c:pt idx="1057">
                  <c:v>3934.2</c:v>
                </c:pt>
                <c:pt idx="1058">
                  <c:v>4014.3</c:v>
                </c:pt>
                <c:pt idx="1059">
                  <c:v>4031.25</c:v>
                </c:pt>
                <c:pt idx="1060">
                  <c:v>4205.75</c:v>
                </c:pt>
                <c:pt idx="1061">
                  <c:v>4248.6499999999996</c:v>
                </c:pt>
                <c:pt idx="1062">
                  <c:v>4315.1000000000004</c:v>
                </c:pt>
                <c:pt idx="1063">
                  <c:v>4302.25</c:v>
                </c:pt>
                <c:pt idx="1064">
                  <c:v>4219.3500000000004</c:v>
                </c:pt>
                <c:pt idx="1065">
                  <c:v>4355.7</c:v>
                </c:pt>
                <c:pt idx="1066">
                  <c:v>4351.2</c:v>
                </c:pt>
                <c:pt idx="1067">
                  <c:v>4344.1499999999996</c:v>
                </c:pt>
                <c:pt idx="1068">
                  <c:v>4466.95</c:v>
                </c:pt>
                <c:pt idx="1069">
                  <c:v>4520.1499999999996</c:v>
                </c:pt>
                <c:pt idx="1070">
                  <c:v>4530.7</c:v>
                </c:pt>
                <c:pt idx="1071">
                  <c:v>4615.2</c:v>
                </c:pt>
                <c:pt idx="1072">
                  <c:v>4601</c:v>
                </c:pt>
                <c:pt idx="1073">
                  <c:v>4571.8500000000004</c:v>
                </c:pt>
                <c:pt idx="1074">
                  <c:v>4597.3999999999996</c:v>
                </c:pt>
                <c:pt idx="1075">
                  <c:v>4602.3999999999996</c:v>
                </c:pt>
                <c:pt idx="1076">
                  <c:v>4599.25</c:v>
                </c:pt>
                <c:pt idx="1077">
                  <c:v>4599</c:v>
                </c:pt>
                <c:pt idx="1078">
                  <c:v>4622.3999999999996</c:v>
                </c:pt>
                <c:pt idx="1079">
                  <c:v>4600.1000000000004</c:v>
                </c:pt>
                <c:pt idx="1080">
                  <c:v>4568.05</c:v>
                </c:pt>
                <c:pt idx="1081">
                  <c:v>4657.8500000000004</c:v>
                </c:pt>
                <c:pt idx="1082">
                  <c:v>4657.45</c:v>
                </c:pt>
                <c:pt idx="1083">
                  <c:v>4730.55</c:v>
                </c:pt>
                <c:pt idx="1084">
                  <c:v>4649.3500000000004</c:v>
                </c:pt>
                <c:pt idx="1085">
                  <c:v>4681.75</c:v>
                </c:pt>
                <c:pt idx="1086">
                  <c:v>4693.8999999999996</c:v>
                </c:pt>
                <c:pt idx="1087">
                  <c:v>4684.3999999999996</c:v>
                </c:pt>
                <c:pt idx="1088">
                  <c:v>4672.95</c:v>
                </c:pt>
                <c:pt idx="1089">
                  <c:v>4695.45</c:v>
                </c:pt>
                <c:pt idx="1090">
                  <c:v>4852.8500000000004</c:v>
                </c:pt>
                <c:pt idx="1091">
                  <c:v>4880.95</c:v>
                </c:pt>
                <c:pt idx="1092">
                  <c:v>4793.3</c:v>
                </c:pt>
                <c:pt idx="1093">
                  <c:v>4770.95</c:v>
                </c:pt>
                <c:pt idx="1094">
                  <c:v>4745.3999999999996</c:v>
                </c:pt>
                <c:pt idx="1095">
                  <c:v>4742.95</c:v>
                </c:pt>
                <c:pt idx="1096">
                  <c:v>4733.45</c:v>
                </c:pt>
                <c:pt idx="1097">
                  <c:v>4670.8500000000004</c:v>
                </c:pt>
                <c:pt idx="1098">
                  <c:v>4495.3999999999996</c:v>
                </c:pt>
                <c:pt idx="1099">
                  <c:v>4579</c:v>
                </c:pt>
                <c:pt idx="1100">
                  <c:v>4719.75</c:v>
                </c:pt>
                <c:pt idx="1101">
                  <c:v>4762</c:v>
                </c:pt>
                <c:pt idx="1102">
                  <c:v>4782.75</c:v>
                </c:pt>
                <c:pt idx="1103">
                  <c:v>4758.6499999999996</c:v>
                </c:pt>
                <c:pt idx="1104">
                  <c:v>4850.6499999999996</c:v>
                </c:pt>
                <c:pt idx="1105">
                  <c:v>4801.5</c:v>
                </c:pt>
                <c:pt idx="1106">
                  <c:v>4935.1000000000004</c:v>
                </c:pt>
                <c:pt idx="1107">
                  <c:v>4936.1000000000004</c:v>
                </c:pt>
                <c:pt idx="1108">
                  <c:v>4880.75</c:v>
                </c:pt>
                <c:pt idx="1109">
                  <c:v>4876.8999999999996</c:v>
                </c:pt>
                <c:pt idx="1110">
                  <c:v>4845.5</c:v>
                </c:pt>
                <c:pt idx="1111">
                  <c:v>4870.8999999999996</c:v>
                </c:pt>
                <c:pt idx="1112">
                  <c:v>4775.05</c:v>
                </c:pt>
                <c:pt idx="1113">
                  <c:v>4739.7</c:v>
                </c:pt>
                <c:pt idx="1114">
                  <c:v>4713.8</c:v>
                </c:pt>
                <c:pt idx="1115">
                  <c:v>4672.95</c:v>
                </c:pt>
                <c:pt idx="1116">
                  <c:v>4635.55</c:v>
                </c:pt>
                <c:pt idx="1117">
                  <c:v>4625.75</c:v>
                </c:pt>
                <c:pt idx="1118">
                  <c:v>4692.3</c:v>
                </c:pt>
                <c:pt idx="1119">
                  <c:v>4689.5</c:v>
                </c:pt>
                <c:pt idx="1120">
                  <c:v>4737.3</c:v>
                </c:pt>
                <c:pt idx="1121">
                  <c:v>4754.45</c:v>
                </c:pt>
                <c:pt idx="1122">
                  <c:v>4828.7</c:v>
                </c:pt>
                <c:pt idx="1123">
                  <c:v>4849.1499999999996</c:v>
                </c:pt>
                <c:pt idx="1124">
                  <c:v>4828.6499999999996</c:v>
                </c:pt>
                <c:pt idx="1125">
                  <c:v>4860.7</c:v>
                </c:pt>
                <c:pt idx="1126">
                  <c:v>4881.3500000000004</c:v>
                </c:pt>
                <c:pt idx="1127">
                  <c:v>4916.1000000000004</c:v>
                </c:pt>
                <c:pt idx="1128">
                  <c:v>4941.1000000000004</c:v>
                </c:pt>
                <c:pt idx="1129">
                  <c:v>4850.7</c:v>
                </c:pt>
                <c:pt idx="1130">
                  <c:v>4857.3500000000004</c:v>
                </c:pt>
                <c:pt idx="1131">
                  <c:v>4919.55</c:v>
                </c:pt>
                <c:pt idx="1132">
                  <c:v>4915.3500000000004</c:v>
                </c:pt>
                <c:pt idx="1133">
                  <c:v>4900.6499999999996</c:v>
                </c:pt>
                <c:pt idx="1134">
                  <c:v>5012.5</c:v>
                </c:pt>
                <c:pt idx="1135">
                  <c:v>4962.25</c:v>
                </c:pt>
                <c:pt idx="1136">
                  <c:v>4951.8500000000004</c:v>
                </c:pt>
                <c:pt idx="1137">
                  <c:v>4962.7</c:v>
                </c:pt>
                <c:pt idx="1138">
                  <c:v>4968.8</c:v>
                </c:pt>
                <c:pt idx="1139">
                  <c:v>4726.7</c:v>
                </c:pt>
                <c:pt idx="1140">
                  <c:v>4675.75</c:v>
                </c:pt>
                <c:pt idx="1141">
                  <c:v>4653.8999999999996</c:v>
                </c:pt>
                <c:pt idx="1142">
                  <c:v>4597.1499999999996</c:v>
                </c:pt>
                <c:pt idx="1143">
                  <c:v>4576.8999999999996</c:v>
                </c:pt>
                <c:pt idx="1144">
                  <c:v>4830.6000000000004</c:v>
                </c:pt>
                <c:pt idx="1145">
                  <c:v>4808.8</c:v>
                </c:pt>
                <c:pt idx="1146">
                  <c:v>4802.25</c:v>
                </c:pt>
                <c:pt idx="1147">
                  <c:v>4733.25</c:v>
                </c:pt>
                <c:pt idx="1148">
                  <c:v>4818</c:v>
                </c:pt>
                <c:pt idx="1149">
                  <c:v>4813.3</c:v>
                </c:pt>
                <c:pt idx="1150">
                  <c:v>4883.25</c:v>
                </c:pt>
                <c:pt idx="1151">
                  <c:v>4913.55</c:v>
                </c:pt>
                <c:pt idx="1152">
                  <c:v>4933.55</c:v>
                </c:pt>
                <c:pt idx="1153">
                  <c:v>4898.1000000000004</c:v>
                </c:pt>
                <c:pt idx="1154">
                  <c:v>4875.2</c:v>
                </c:pt>
                <c:pt idx="1155">
                  <c:v>4868.8500000000004</c:v>
                </c:pt>
                <c:pt idx="1156">
                  <c:v>4946.8500000000004</c:v>
                </c:pt>
                <c:pt idx="1157">
                  <c:v>4915.8999999999996</c:v>
                </c:pt>
                <c:pt idx="1158">
                  <c:v>4960.5</c:v>
                </c:pt>
                <c:pt idx="1159">
                  <c:v>4911.95</c:v>
                </c:pt>
                <c:pt idx="1160">
                  <c:v>4865.8</c:v>
                </c:pt>
                <c:pt idx="1161">
                  <c:v>4833.55</c:v>
                </c:pt>
                <c:pt idx="1162">
                  <c:v>4800.1000000000004</c:v>
                </c:pt>
                <c:pt idx="1163">
                  <c:v>4752.5</c:v>
                </c:pt>
                <c:pt idx="1164">
                  <c:v>4747.3500000000004</c:v>
                </c:pt>
                <c:pt idx="1165">
                  <c:v>4737.2</c:v>
                </c:pt>
                <c:pt idx="1166">
                  <c:v>4726.6499999999996</c:v>
                </c:pt>
                <c:pt idx="1167">
                  <c:v>4875</c:v>
                </c:pt>
                <c:pt idx="1168">
                  <c:v>4858.3</c:v>
                </c:pt>
                <c:pt idx="1169">
                  <c:v>4899.2</c:v>
                </c:pt>
                <c:pt idx="1170">
                  <c:v>4850.2</c:v>
                </c:pt>
                <c:pt idx="1171">
                  <c:v>4850.3500000000004</c:v>
                </c:pt>
                <c:pt idx="1172">
                  <c:v>4864.8999999999996</c:v>
                </c:pt>
                <c:pt idx="1173">
                  <c:v>4963.1499999999996</c:v>
                </c:pt>
                <c:pt idx="1174">
                  <c:v>4879.55</c:v>
                </c:pt>
                <c:pt idx="1175">
                  <c:v>4876.8999999999996</c:v>
                </c:pt>
                <c:pt idx="1176">
                  <c:v>4895.25</c:v>
                </c:pt>
                <c:pt idx="1177">
                  <c:v>4994.25</c:v>
                </c:pt>
                <c:pt idx="1178">
                  <c:v>5062.6000000000004</c:v>
                </c:pt>
                <c:pt idx="1179">
                  <c:v>5026.25</c:v>
                </c:pt>
                <c:pt idx="1180">
                  <c:v>4972.6499999999996</c:v>
                </c:pt>
                <c:pt idx="1181">
                  <c:v>4782.5</c:v>
                </c:pt>
                <c:pt idx="1182">
                  <c:v>4706.8</c:v>
                </c:pt>
                <c:pt idx="1183">
                  <c:v>4667.95</c:v>
                </c:pt>
                <c:pt idx="1184">
                  <c:v>4693.45</c:v>
                </c:pt>
                <c:pt idx="1185">
                  <c:v>4708.8999999999996</c:v>
                </c:pt>
                <c:pt idx="1186">
                  <c:v>4697.8999999999996</c:v>
                </c:pt>
                <c:pt idx="1187">
                  <c:v>4728.05</c:v>
                </c:pt>
                <c:pt idx="1188">
                  <c:v>4779.8</c:v>
                </c:pt>
                <c:pt idx="1189">
                  <c:v>4722.1000000000004</c:v>
                </c:pt>
                <c:pt idx="1190">
                  <c:v>4678.25</c:v>
                </c:pt>
                <c:pt idx="1191">
                  <c:v>4623.8500000000004</c:v>
                </c:pt>
                <c:pt idx="1192">
                  <c:v>4765.6499999999996</c:v>
                </c:pt>
                <c:pt idx="1193">
                  <c:v>4810.45</c:v>
                </c:pt>
                <c:pt idx="1194">
                  <c:v>4759.05</c:v>
                </c:pt>
                <c:pt idx="1195">
                  <c:v>4677.75</c:v>
                </c:pt>
                <c:pt idx="1196">
                  <c:v>4668.5</c:v>
                </c:pt>
                <c:pt idx="1197">
                  <c:v>4591.6000000000004</c:v>
                </c:pt>
                <c:pt idx="1198">
                  <c:v>4720.6499999999996</c:v>
                </c:pt>
                <c:pt idx="1199">
                  <c:v>4898.1499999999996</c:v>
                </c:pt>
                <c:pt idx="1200">
                  <c:v>4869.25</c:v>
                </c:pt>
                <c:pt idx="1201">
                  <c:v>4894.6499999999996</c:v>
                </c:pt>
                <c:pt idx="1202">
                  <c:v>4953.6000000000004</c:v>
                </c:pt>
                <c:pt idx="1203">
                  <c:v>4831.8500000000004</c:v>
                </c:pt>
                <c:pt idx="1204">
                  <c:v>4899.8</c:v>
                </c:pt>
                <c:pt idx="1205">
                  <c:v>4917.1499999999996</c:v>
                </c:pt>
                <c:pt idx="1206">
                  <c:v>4878</c:v>
                </c:pt>
                <c:pt idx="1207">
                  <c:v>4785.25</c:v>
                </c:pt>
                <c:pt idx="1208">
                  <c:v>4793.45</c:v>
                </c:pt>
                <c:pt idx="1209">
                  <c:v>4738.2</c:v>
                </c:pt>
                <c:pt idx="1210">
                  <c:v>4588.7</c:v>
                </c:pt>
                <c:pt idx="1211">
                  <c:v>4883.7</c:v>
                </c:pt>
                <c:pt idx="1212">
                  <c:v>4875.6499999999996</c:v>
                </c:pt>
                <c:pt idx="1213">
                  <c:v>4965.45</c:v>
                </c:pt>
                <c:pt idx="1214">
                  <c:v>4882.1000000000004</c:v>
                </c:pt>
                <c:pt idx="1215">
                  <c:v>4986.2</c:v>
                </c:pt>
                <c:pt idx="1216">
                  <c:v>5002.3500000000004</c:v>
                </c:pt>
                <c:pt idx="1217">
                  <c:v>4931.75</c:v>
                </c:pt>
                <c:pt idx="1218">
                  <c:v>4917.5</c:v>
                </c:pt>
                <c:pt idx="1219">
                  <c:v>4815.7</c:v>
                </c:pt>
                <c:pt idx="1220">
                  <c:v>4831.8500000000004</c:v>
                </c:pt>
                <c:pt idx="1221">
                  <c:v>4820.7</c:v>
                </c:pt>
                <c:pt idx="1222">
                  <c:v>4844.3500000000004</c:v>
                </c:pt>
                <c:pt idx="1223">
                  <c:v>4797.05</c:v>
                </c:pt>
                <c:pt idx="1224">
                  <c:v>4837.55</c:v>
                </c:pt>
                <c:pt idx="1225">
                  <c:v>4877.05</c:v>
                </c:pt>
                <c:pt idx="1226">
                  <c:v>4842.1000000000004</c:v>
                </c:pt>
                <c:pt idx="1227">
                  <c:v>4813.05</c:v>
                </c:pt>
                <c:pt idx="1228">
                  <c:v>4801.95</c:v>
                </c:pt>
                <c:pt idx="1229">
                  <c:v>4807.6499999999996</c:v>
                </c:pt>
                <c:pt idx="1230">
                  <c:v>4825.8999999999996</c:v>
                </c:pt>
                <c:pt idx="1231">
                  <c:v>4838.5</c:v>
                </c:pt>
                <c:pt idx="1232">
                  <c:v>4742.6499999999996</c:v>
                </c:pt>
                <c:pt idx="1233">
                  <c:v>4749.8500000000004</c:v>
                </c:pt>
                <c:pt idx="1234">
                  <c:v>4771.95</c:v>
                </c:pt>
                <c:pt idx="1235">
                  <c:v>4734.5</c:v>
                </c:pt>
                <c:pt idx="1236">
                  <c:v>4750.55</c:v>
                </c:pt>
                <c:pt idx="1237">
                  <c:v>4792.8999999999996</c:v>
                </c:pt>
                <c:pt idx="1238">
                  <c:v>4801.3500000000004</c:v>
                </c:pt>
                <c:pt idx="1239">
                  <c:v>4876.8999999999996</c:v>
                </c:pt>
                <c:pt idx="1240">
                  <c:v>4855.8</c:v>
                </c:pt>
                <c:pt idx="1241">
                  <c:v>4821.8999999999996</c:v>
                </c:pt>
                <c:pt idx="1242">
                  <c:v>4885.3</c:v>
                </c:pt>
                <c:pt idx="1243">
                  <c:v>5308.1</c:v>
                </c:pt>
                <c:pt idx="1244">
                  <c:v>5310.75</c:v>
                </c:pt>
                <c:pt idx="1245">
                  <c:v>5250.1</c:v>
                </c:pt>
                <c:pt idx="1246">
                  <c:v>5177.3</c:v>
                </c:pt>
                <c:pt idx="1247">
                  <c:v>5163.2</c:v>
                </c:pt>
                <c:pt idx="1248">
                  <c:v>5139.8999999999996</c:v>
                </c:pt>
                <c:pt idx="1249">
                  <c:v>5058.45</c:v>
                </c:pt>
                <c:pt idx="1250">
                  <c:v>4939.1000000000004</c:v>
                </c:pt>
                <c:pt idx="1251">
                  <c:v>5029.55</c:v>
                </c:pt>
                <c:pt idx="1252">
                  <c:v>5081.8999999999996</c:v>
                </c:pt>
                <c:pt idx="1253">
                  <c:v>5047.8</c:v>
                </c:pt>
                <c:pt idx="1254">
                  <c:v>5012.3</c:v>
                </c:pt>
                <c:pt idx="1255">
                  <c:v>5016.75</c:v>
                </c:pt>
                <c:pt idx="1256">
                  <c:v>4969.95</c:v>
                </c:pt>
                <c:pt idx="1257">
                  <c:v>5009.7</c:v>
                </c:pt>
                <c:pt idx="1258">
                  <c:v>5116.2</c:v>
                </c:pt>
                <c:pt idx="1259">
                  <c:v>5206.3</c:v>
                </c:pt>
                <c:pt idx="1260">
                  <c:v>5144.5</c:v>
                </c:pt>
                <c:pt idx="1261">
                  <c:v>5105.3999999999996</c:v>
                </c:pt>
                <c:pt idx="1262">
                  <c:v>5182.8999999999996</c:v>
                </c:pt>
                <c:pt idx="1263">
                  <c:v>5164.3500000000004</c:v>
                </c:pt>
                <c:pt idx="1264">
                  <c:v>5194.3</c:v>
                </c:pt>
                <c:pt idx="1265">
                  <c:v>5390.15</c:v>
                </c:pt>
                <c:pt idx="1266">
                  <c:v>5485.25</c:v>
                </c:pt>
                <c:pt idx="1267">
                  <c:v>5450.1</c:v>
                </c:pt>
                <c:pt idx="1268">
                  <c:v>5417.2</c:v>
                </c:pt>
                <c:pt idx="1269">
                  <c:v>5342</c:v>
                </c:pt>
                <c:pt idx="1270">
                  <c:v>5372.55</c:v>
                </c:pt>
                <c:pt idx="1271">
                  <c:v>5335.35</c:v>
                </c:pt>
                <c:pt idx="1272">
                  <c:v>4972.3500000000004</c:v>
                </c:pt>
                <c:pt idx="1273">
                  <c:v>4849.45</c:v>
                </c:pt>
                <c:pt idx="1274">
                  <c:v>4820.3999999999996</c:v>
                </c:pt>
                <c:pt idx="1275">
                  <c:v>4703.3500000000004</c:v>
                </c:pt>
                <c:pt idx="1276">
                  <c:v>4745.2</c:v>
                </c:pt>
                <c:pt idx="1277">
                  <c:v>4719.3999999999996</c:v>
                </c:pt>
                <c:pt idx="1278">
                  <c:v>4810.6000000000004</c:v>
                </c:pt>
                <c:pt idx="1279">
                  <c:v>4888.3999999999996</c:v>
                </c:pt>
                <c:pt idx="1280">
                  <c:v>4962.45</c:v>
                </c:pt>
                <c:pt idx="1281">
                  <c:v>5010.8</c:v>
                </c:pt>
                <c:pt idx="1282">
                  <c:v>4989.8</c:v>
                </c:pt>
                <c:pt idx="1283">
                  <c:v>4935.5</c:v>
                </c:pt>
                <c:pt idx="1284">
                  <c:v>4773.6000000000004</c:v>
                </c:pt>
                <c:pt idx="1285">
                  <c:v>4906.6000000000004</c:v>
                </c:pt>
                <c:pt idx="1286">
                  <c:v>4815.1000000000004</c:v>
                </c:pt>
                <c:pt idx="1287">
                  <c:v>4988.3</c:v>
                </c:pt>
                <c:pt idx="1288">
                  <c:v>5094.3999999999996</c:v>
                </c:pt>
                <c:pt idx="1289">
                  <c:v>5100.7</c:v>
                </c:pt>
                <c:pt idx="1290">
                  <c:v>4990.55</c:v>
                </c:pt>
                <c:pt idx="1291">
                  <c:v>4985.55</c:v>
                </c:pt>
                <c:pt idx="1292">
                  <c:v>5017.45</c:v>
                </c:pt>
                <c:pt idx="1293">
                  <c:v>5015.25</c:v>
                </c:pt>
                <c:pt idx="1294">
                  <c:v>5050.25</c:v>
                </c:pt>
                <c:pt idx="1295">
                  <c:v>5127.3999999999996</c:v>
                </c:pt>
                <c:pt idx="1296">
                  <c:v>5100.8999999999996</c:v>
                </c:pt>
                <c:pt idx="1297">
                  <c:v>5229.3500000000004</c:v>
                </c:pt>
                <c:pt idx="1298">
                  <c:v>5305.95</c:v>
                </c:pt>
                <c:pt idx="1299">
                  <c:v>5424.2</c:v>
                </c:pt>
                <c:pt idx="1300">
                  <c:v>5431.25</c:v>
                </c:pt>
                <c:pt idx="1301">
                  <c:v>5403.3</c:v>
                </c:pt>
                <c:pt idx="1302">
                  <c:v>5345.75</c:v>
                </c:pt>
                <c:pt idx="1303">
                  <c:v>5347.7</c:v>
                </c:pt>
                <c:pt idx="1304">
                  <c:v>5307.2</c:v>
                </c:pt>
                <c:pt idx="1305">
                  <c:v>5355.5</c:v>
                </c:pt>
                <c:pt idx="1306">
                  <c:v>5379.15</c:v>
                </c:pt>
                <c:pt idx="1307">
                  <c:v>5247.9</c:v>
                </c:pt>
                <c:pt idx="1308">
                  <c:v>5065.25</c:v>
                </c:pt>
                <c:pt idx="1309">
                  <c:v>5231.3500000000004</c:v>
                </c:pt>
                <c:pt idx="1310">
                  <c:v>5258.3</c:v>
                </c:pt>
                <c:pt idx="1311">
                  <c:v>5350.9</c:v>
                </c:pt>
                <c:pt idx="1312">
                  <c:v>5529</c:v>
                </c:pt>
                <c:pt idx="1313">
                  <c:v>5615.5</c:v>
                </c:pt>
                <c:pt idx="1314">
                  <c:v>5678.5</c:v>
                </c:pt>
                <c:pt idx="1315">
                  <c:v>5810.5</c:v>
                </c:pt>
                <c:pt idx="1316">
                  <c:v>5784</c:v>
                </c:pt>
                <c:pt idx="1317">
                  <c:v>5740</c:v>
                </c:pt>
                <c:pt idx="1318">
                  <c:v>5650.5</c:v>
                </c:pt>
                <c:pt idx="1319">
                  <c:v>5575.5</c:v>
                </c:pt>
                <c:pt idx="1320">
                  <c:v>5622</c:v>
                </c:pt>
                <c:pt idx="1321">
                  <c:v>5579</c:v>
                </c:pt>
                <c:pt idx="1322">
                  <c:v>5567</c:v>
                </c:pt>
                <c:pt idx="1323">
                  <c:v>5437.5</c:v>
                </c:pt>
                <c:pt idx="1324">
                  <c:v>5460.5</c:v>
                </c:pt>
                <c:pt idx="1325">
                  <c:v>5515</c:v>
                </c:pt>
                <c:pt idx="1326">
                  <c:v>5489</c:v>
                </c:pt>
                <c:pt idx="1327">
                  <c:v>5372.5</c:v>
                </c:pt>
                <c:pt idx="1328">
                  <c:v>5324</c:v>
                </c:pt>
                <c:pt idx="1329">
                  <c:v>5520</c:v>
                </c:pt>
                <c:pt idx="1330">
                  <c:v>5419</c:v>
                </c:pt>
                <c:pt idx="1331">
                  <c:v>5446.5</c:v>
                </c:pt>
                <c:pt idx="1332">
                  <c:v>5466</c:v>
                </c:pt>
                <c:pt idx="1333">
                  <c:v>5509.5</c:v>
                </c:pt>
                <c:pt idx="1334">
                  <c:v>5530</c:v>
                </c:pt>
                <c:pt idx="1335">
                  <c:v>5387.5</c:v>
                </c:pt>
                <c:pt idx="1336">
                  <c:v>5409</c:v>
                </c:pt>
                <c:pt idx="1337">
                  <c:v>5387</c:v>
                </c:pt>
                <c:pt idx="1338">
                  <c:v>5400</c:v>
                </c:pt>
                <c:pt idx="1339">
                  <c:v>5427.5</c:v>
                </c:pt>
                <c:pt idx="1340">
                  <c:v>5389.5</c:v>
                </c:pt>
                <c:pt idx="1341">
                  <c:v>5326.5</c:v>
                </c:pt>
                <c:pt idx="1342">
                  <c:v>5379</c:v>
                </c:pt>
                <c:pt idx="1343">
                  <c:v>5333.5</c:v>
                </c:pt>
                <c:pt idx="1344">
                  <c:v>5361</c:v>
                </c:pt>
                <c:pt idx="1345">
                  <c:v>5354</c:v>
                </c:pt>
                <c:pt idx="1346">
                  <c:v>5319.5</c:v>
                </c:pt>
                <c:pt idx="1347">
                  <c:v>5308.5</c:v>
                </c:pt>
                <c:pt idx="1348">
                  <c:v>5394</c:v>
                </c:pt>
                <c:pt idx="1349">
                  <c:v>5391</c:v>
                </c:pt>
                <c:pt idx="1350">
                  <c:v>5377.5</c:v>
                </c:pt>
                <c:pt idx="1351">
                  <c:v>5352</c:v>
                </c:pt>
                <c:pt idx="1352">
                  <c:v>5315.5</c:v>
                </c:pt>
                <c:pt idx="1353">
                  <c:v>5319</c:v>
                </c:pt>
                <c:pt idx="1354">
                  <c:v>5365</c:v>
                </c:pt>
                <c:pt idx="1355">
                  <c:v>5341</c:v>
                </c:pt>
                <c:pt idx="1356">
                  <c:v>5393</c:v>
                </c:pt>
                <c:pt idx="1357">
                  <c:v>5493.5</c:v>
                </c:pt>
                <c:pt idx="1358">
                  <c:v>5525</c:v>
                </c:pt>
                <c:pt idx="1359">
                  <c:v>5552.5</c:v>
                </c:pt>
                <c:pt idx="1360">
                  <c:v>5629</c:v>
                </c:pt>
                <c:pt idx="1361">
                  <c:v>5576</c:v>
                </c:pt>
                <c:pt idx="1362">
                  <c:v>5611.5</c:v>
                </c:pt>
                <c:pt idx="1363">
                  <c:v>5660</c:v>
                </c:pt>
                <c:pt idx="1364">
                  <c:v>5656.5</c:v>
                </c:pt>
                <c:pt idx="1365">
                  <c:v>5715.5</c:v>
                </c:pt>
                <c:pt idx="1366">
                  <c:v>5722.5</c:v>
                </c:pt>
                <c:pt idx="1367">
                  <c:v>5716</c:v>
                </c:pt>
                <c:pt idx="1368">
                  <c:v>5629</c:v>
                </c:pt>
                <c:pt idx="1369">
                  <c:v>5682.5</c:v>
                </c:pt>
                <c:pt idx="1370">
                  <c:v>5679.5</c:v>
                </c:pt>
                <c:pt idx="1371">
                  <c:v>5695</c:v>
                </c:pt>
                <c:pt idx="1372">
                  <c:v>5652</c:v>
                </c:pt>
                <c:pt idx="1373">
                  <c:v>5612.5</c:v>
                </c:pt>
                <c:pt idx="1374">
                  <c:v>5540.5</c:v>
                </c:pt>
                <c:pt idx="1375">
                  <c:v>5591</c:v>
                </c:pt>
                <c:pt idx="1376">
                  <c:v>5626.5</c:v>
                </c:pt>
                <c:pt idx="1377">
                  <c:v>5650</c:v>
                </c:pt>
                <c:pt idx="1378">
                  <c:v>5627.5</c:v>
                </c:pt>
                <c:pt idx="1379">
                  <c:v>5558</c:v>
                </c:pt>
                <c:pt idx="1380">
                  <c:v>5439.5</c:v>
                </c:pt>
                <c:pt idx="1381">
                  <c:v>5441.5</c:v>
                </c:pt>
                <c:pt idx="1382">
                  <c:v>5469</c:v>
                </c:pt>
                <c:pt idx="1383">
                  <c:v>5433</c:v>
                </c:pt>
                <c:pt idx="1384">
                  <c:v>5386</c:v>
                </c:pt>
                <c:pt idx="1385">
                  <c:v>5470.5</c:v>
                </c:pt>
                <c:pt idx="1386">
                  <c:v>5481</c:v>
                </c:pt>
                <c:pt idx="1387">
                  <c:v>5468.5</c:v>
                </c:pt>
                <c:pt idx="1388">
                  <c:v>5528</c:v>
                </c:pt>
                <c:pt idx="1389">
                  <c:v>5621</c:v>
                </c:pt>
                <c:pt idx="1390">
                  <c:v>5681</c:v>
                </c:pt>
                <c:pt idx="1391">
                  <c:v>5668</c:v>
                </c:pt>
                <c:pt idx="1392">
                  <c:v>5681.5</c:v>
                </c:pt>
                <c:pt idx="1393">
                  <c:v>5663</c:v>
                </c:pt>
                <c:pt idx="1394">
                  <c:v>5671.5</c:v>
                </c:pt>
                <c:pt idx="1395">
                  <c:v>5658</c:v>
                </c:pt>
                <c:pt idx="1396">
                  <c:v>5714.5</c:v>
                </c:pt>
                <c:pt idx="1397">
                  <c:v>5764</c:v>
                </c:pt>
                <c:pt idx="1398">
                  <c:v>5912</c:v>
                </c:pt>
                <c:pt idx="1399">
                  <c:v>5938.5</c:v>
                </c:pt>
                <c:pt idx="1400">
                  <c:v>5937.5</c:v>
                </c:pt>
                <c:pt idx="1401">
                  <c:v>5975</c:v>
                </c:pt>
                <c:pt idx="1402">
                  <c:v>5924.5</c:v>
                </c:pt>
                <c:pt idx="1403">
                  <c:v>5990.5</c:v>
                </c:pt>
                <c:pt idx="1404">
                  <c:v>6151</c:v>
                </c:pt>
                <c:pt idx="1405">
                  <c:v>6133</c:v>
                </c:pt>
                <c:pt idx="1406">
                  <c:v>6103</c:v>
                </c:pt>
                <c:pt idx="1407">
                  <c:v>6280</c:v>
                </c:pt>
                <c:pt idx="1408">
                  <c:v>6349</c:v>
                </c:pt>
                <c:pt idx="1409">
                  <c:v>6371.5</c:v>
                </c:pt>
                <c:pt idx="1410">
                  <c:v>6425</c:v>
                </c:pt>
                <c:pt idx="1411">
                  <c:v>6580.5</c:v>
                </c:pt>
                <c:pt idx="1412">
                  <c:v>6815</c:v>
                </c:pt>
                <c:pt idx="1413">
                  <c:v>6874.5</c:v>
                </c:pt>
                <c:pt idx="1414">
                  <c:v>6836.5</c:v>
                </c:pt>
                <c:pt idx="1415">
                  <c:v>6758</c:v>
                </c:pt>
                <c:pt idx="1416">
                  <c:v>6875</c:v>
                </c:pt>
                <c:pt idx="1417">
                  <c:v>6801</c:v>
                </c:pt>
                <c:pt idx="1418">
                  <c:v>6927.5</c:v>
                </c:pt>
                <c:pt idx="1419">
                  <c:v>6890.5</c:v>
                </c:pt>
                <c:pt idx="1420">
                  <c:v>6924.5</c:v>
                </c:pt>
                <c:pt idx="1421">
                  <c:v>6973.5</c:v>
                </c:pt>
                <c:pt idx="1422">
                  <c:v>6946</c:v>
                </c:pt>
                <c:pt idx="1423">
                  <c:v>6990.5</c:v>
                </c:pt>
                <c:pt idx="1424">
                  <c:v>7011.5</c:v>
                </c:pt>
                <c:pt idx="1425">
                  <c:v>6986</c:v>
                </c:pt>
                <c:pt idx="1426">
                  <c:v>7047</c:v>
                </c:pt>
                <c:pt idx="1427">
                  <c:v>6985</c:v>
                </c:pt>
                <c:pt idx="1428">
                  <c:v>7005.5</c:v>
                </c:pt>
                <c:pt idx="1429">
                  <c:v>7021.5</c:v>
                </c:pt>
                <c:pt idx="1430">
                  <c:v>6941</c:v>
                </c:pt>
                <c:pt idx="1431">
                  <c:v>6880</c:v>
                </c:pt>
                <c:pt idx="1432">
                  <c:v>6957</c:v>
                </c:pt>
                <c:pt idx="1433">
                  <c:v>6902.5</c:v>
                </c:pt>
                <c:pt idx="1434">
                  <c:v>6896.5</c:v>
                </c:pt>
                <c:pt idx="1435">
                  <c:v>6965</c:v>
                </c:pt>
                <c:pt idx="1436">
                  <c:v>6912</c:v>
                </c:pt>
                <c:pt idx="1437">
                  <c:v>6887</c:v>
                </c:pt>
                <c:pt idx="1438">
                  <c:v>6895</c:v>
                </c:pt>
                <c:pt idx="1439">
                  <c:v>6988</c:v>
                </c:pt>
                <c:pt idx="1440">
                  <c:v>7042.5</c:v>
                </c:pt>
                <c:pt idx="1441">
                  <c:v>7013.5</c:v>
                </c:pt>
                <c:pt idx="1442">
                  <c:v>7018.5</c:v>
                </c:pt>
                <c:pt idx="1443">
                  <c:v>6884.5</c:v>
                </c:pt>
                <c:pt idx="1444">
                  <c:v>6840</c:v>
                </c:pt>
                <c:pt idx="1445">
                  <c:v>6906.5</c:v>
                </c:pt>
                <c:pt idx="1446">
                  <c:v>7002.5</c:v>
                </c:pt>
                <c:pt idx="1447">
                  <c:v>6952</c:v>
                </c:pt>
                <c:pt idx="1448">
                  <c:v>6889</c:v>
                </c:pt>
                <c:pt idx="1449">
                  <c:v>7007</c:v>
                </c:pt>
                <c:pt idx="1450">
                  <c:v>7023.5</c:v>
                </c:pt>
                <c:pt idx="1451">
                  <c:v>6930</c:v>
                </c:pt>
                <c:pt idx="1452">
                  <c:v>6806.5</c:v>
                </c:pt>
                <c:pt idx="1453">
                  <c:v>6886</c:v>
                </c:pt>
                <c:pt idx="1454">
                  <c:v>6866.5</c:v>
                </c:pt>
                <c:pt idx="1455">
                  <c:v>6873</c:v>
                </c:pt>
                <c:pt idx="1456">
                  <c:v>6879</c:v>
                </c:pt>
                <c:pt idx="1457">
                  <c:v>6855</c:v>
                </c:pt>
                <c:pt idx="1458">
                  <c:v>6695</c:v>
                </c:pt>
                <c:pt idx="1459">
                  <c:v>6799</c:v>
                </c:pt>
                <c:pt idx="1460">
                  <c:v>6814.5</c:v>
                </c:pt>
                <c:pt idx="1461">
                  <c:v>6896.5</c:v>
                </c:pt>
                <c:pt idx="1462">
                  <c:v>7125.5</c:v>
                </c:pt>
                <c:pt idx="1463">
                  <c:v>7134.5</c:v>
                </c:pt>
                <c:pt idx="1464">
                  <c:v>7258.5</c:v>
                </c:pt>
                <c:pt idx="1465">
                  <c:v>7218.5</c:v>
                </c:pt>
                <c:pt idx="1466">
                  <c:v>7198.5</c:v>
                </c:pt>
                <c:pt idx="1467">
                  <c:v>6999</c:v>
                </c:pt>
                <c:pt idx="1468">
                  <c:v>7053.5</c:v>
                </c:pt>
                <c:pt idx="1469">
                  <c:v>7125.5</c:v>
                </c:pt>
                <c:pt idx="1470">
                  <c:v>7112.5</c:v>
                </c:pt>
                <c:pt idx="1471">
                  <c:v>7081.5</c:v>
                </c:pt>
                <c:pt idx="1472">
                  <c:v>7100</c:v>
                </c:pt>
                <c:pt idx="1473">
                  <c:v>7208</c:v>
                </c:pt>
                <c:pt idx="1474">
                  <c:v>7142</c:v>
                </c:pt>
                <c:pt idx="1475">
                  <c:v>7123</c:v>
                </c:pt>
                <c:pt idx="1476">
                  <c:v>7228.5</c:v>
                </c:pt>
                <c:pt idx="1477">
                  <c:v>7256</c:v>
                </c:pt>
                <c:pt idx="1478">
                  <c:v>7229</c:v>
                </c:pt>
                <c:pt idx="1479">
                  <c:v>7121.5</c:v>
                </c:pt>
                <c:pt idx="1480">
                  <c:v>7061.5</c:v>
                </c:pt>
                <c:pt idx="1481">
                  <c:v>7134.5</c:v>
                </c:pt>
                <c:pt idx="1482">
                  <c:v>7106.5</c:v>
                </c:pt>
                <c:pt idx="1483">
                  <c:v>7217</c:v>
                </c:pt>
                <c:pt idx="1484">
                  <c:v>7291.5</c:v>
                </c:pt>
                <c:pt idx="1485">
                  <c:v>7303</c:v>
                </c:pt>
                <c:pt idx="1486">
                  <c:v>7312.5</c:v>
                </c:pt>
                <c:pt idx="1487">
                  <c:v>7324</c:v>
                </c:pt>
                <c:pt idx="1488">
                  <c:v>7272</c:v>
                </c:pt>
                <c:pt idx="1489">
                  <c:v>7192.5</c:v>
                </c:pt>
                <c:pt idx="1490">
                  <c:v>7312.5</c:v>
                </c:pt>
                <c:pt idx="1491">
                  <c:v>7348</c:v>
                </c:pt>
                <c:pt idx="1492">
                  <c:v>7334.5</c:v>
                </c:pt>
                <c:pt idx="1493">
                  <c:v>7482.5</c:v>
                </c:pt>
                <c:pt idx="1494">
                  <c:v>7522.5</c:v>
                </c:pt>
                <c:pt idx="1495">
                  <c:v>7582.5</c:v>
                </c:pt>
                <c:pt idx="1496">
                  <c:v>7551</c:v>
                </c:pt>
                <c:pt idx="1497">
                  <c:v>7507</c:v>
                </c:pt>
                <c:pt idx="1498">
                  <c:v>7436</c:v>
                </c:pt>
                <c:pt idx="1499">
                  <c:v>7404</c:v>
                </c:pt>
                <c:pt idx="1500">
                  <c:v>7358</c:v>
                </c:pt>
                <c:pt idx="1501">
                  <c:v>7315</c:v>
                </c:pt>
                <c:pt idx="1502">
                  <c:v>7323.5</c:v>
                </c:pt>
                <c:pt idx="1503">
                  <c:v>7173.5</c:v>
                </c:pt>
                <c:pt idx="1504">
                  <c:v>7140</c:v>
                </c:pt>
                <c:pt idx="1505">
                  <c:v>7049</c:v>
                </c:pt>
                <c:pt idx="1506">
                  <c:v>6973</c:v>
                </c:pt>
                <c:pt idx="1507">
                  <c:v>7164.5</c:v>
                </c:pt>
                <c:pt idx="1508">
                  <c:v>7071</c:v>
                </c:pt>
                <c:pt idx="1509">
                  <c:v>7056.5</c:v>
                </c:pt>
                <c:pt idx="1510">
                  <c:v>7122.5</c:v>
                </c:pt>
                <c:pt idx="1511">
                  <c:v>6889.5</c:v>
                </c:pt>
                <c:pt idx="1512">
                  <c:v>6985.5</c:v>
                </c:pt>
                <c:pt idx="1513">
                  <c:v>7215</c:v>
                </c:pt>
                <c:pt idx="1514">
                  <c:v>7277.5</c:v>
                </c:pt>
                <c:pt idx="1515">
                  <c:v>7209.5</c:v>
                </c:pt>
                <c:pt idx="1516">
                  <c:v>7177.5</c:v>
                </c:pt>
                <c:pt idx="1517">
                  <c:v>7195.5</c:v>
                </c:pt>
                <c:pt idx="1518">
                  <c:v>7296</c:v>
                </c:pt>
                <c:pt idx="1519">
                  <c:v>7771</c:v>
                </c:pt>
                <c:pt idx="1520">
                  <c:v>7943</c:v>
                </c:pt>
                <c:pt idx="1521">
                  <c:v>8065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D-447E-954A-ED026F1E0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79312"/>
        <c:axId val="152572112"/>
      </c:lineChart>
      <c:dateAx>
        <c:axId val="1525793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2112"/>
        <c:crosses val="autoZero"/>
        <c:auto val="1"/>
        <c:lblOffset val="100"/>
        <c:baseTimeUnit val="days"/>
      </c:dateAx>
      <c:valAx>
        <c:axId val="15257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7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data!$T$1</c:f>
              <c:strCache>
                <c:ptCount val="1"/>
                <c:pt idx="0">
                  <c:v>Valoume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data!$T$2:$T$1523</c:f>
              <c:numCache>
                <c:formatCode>General</c:formatCode>
                <c:ptCount val="1522"/>
                <c:pt idx="0">
                  <c:v>1090000</c:v>
                </c:pt>
                <c:pt idx="1">
                  <c:v>2290000</c:v>
                </c:pt>
                <c:pt idx="2">
                  <c:v>1570000</c:v>
                </c:pt>
                <c:pt idx="3">
                  <c:v>1260000</c:v>
                </c:pt>
                <c:pt idx="4">
                  <c:v>1370000</c:v>
                </c:pt>
                <c:pt idx="5">
                  <c:v>2890000</c:v>
                </c:pt>
                <c:pt idx="6">
                  <c:v>2590000</c:v>
                </c:pt>
                <c:pt idx="7">
                  <c:v>2170000</c:v>
                </c:pt>
                <c:pt idx="8">
                  <c:v>1320000</c:v>
                </c:pt>
                <c:pt idx="9">
                  <c:v>1160000</c:v>
                </c:pt>
                <c:pt idx="10">
                  <c:v>1080000</c:v>
                </c:pt>
                <c:pt idx="11">
                  <c:v>2920000</c:v>
                </c:pt>
                <c:pt idx="12">
                  <c:v>1830000</c:v>
                </c:pt>
                <c:pt idx="13">
                  <c:v>1010000</c:v>
                </c:pt>
                <c:pt idx="14">
                  <c:v>1030000</c:v>
                </c:pt>
                <c:pt idx="15">
                  <c:v>786810</c:v>
                </c:pt>
                <c:pt idx="16">
                  <c:v>1060000</c:v>
                </c:pt>
                <c:pt idx="17">
                  <c:v>770750</c:v>
                </c:pt>
                <c:pt idx="18">
                  <c:v>971080</c:v>
                </c:pt>
                <c:pt idx="19">
                  <c:v>972770</c:v>
                </c:pt>
                <c:pt idx="20">
                  <c:v>2870000</c:v>
                </c:pt>
                <c:pt idx="21">
                  <c:v>1390000</c:v>
                </c:pt>
                <c:pt idx="22">
                  <c:v>1020000</c:v>
                </c:pt>
                <c:pt idx="23">
                  <c:v>1010000</c:v>
                </c:pt>
                <c:pt idx="24">
                  <c:v>1490000</c:v>
                </c:pt>
                <c:pt idx="25">
                  <c:v>1500000</c:v>
                </c:pt>
                <c:pt idx="26">
                  <c:v>1280000</c:v>
                </c:pt>
                <c:pt idx="27">
                  <c:v>3950000</c:v>
                </c:pt>
                <c:pt idx="28">
                  <c:v>2220000</c:v>
                </c:pt>
                <c:pt idx="29">
                  <c:v>2440000</c:v>
                </c:pt>
                <c:pt idx="30">
                  <c:v>1300000</c:v>
                </c:pt>
                <c:pt idx="31">
                  <c:v>1530000</c:v>
                </c:pt>
                <c:pt idx="32">
                  <c:v>919630</c:v>
                </c:pt>
                <c:pt idx="33">
                  <c:v>2320000</c:v>
                </c:pt>
                <c:pt idx="34">
                  <c:v>1290000</c:v>
                </c:pt>
                <c:pt idx="35">
                  <c:v>1810000</c:v>
                </c:pt>
                <c:pt idx="36">
                  <c:v>1320000</c:v>
                </c:pt>
                <c:pt idx="37">
                  <c:v>1250000</c:v>
                </c:pt>
                <c:pt idx="38">
                  <c:v>1930000</c:v>
                </c:pt>
                <c:pt idx="39">
                  <c:v>2570000</c:v>
                </c:pt>
                <c:pt idx="40">
                  <c:v>2150000</c:v>
                </c:pt>
                <c:pt idx="41">
                  <c:v>2550000</c:v>
                </c:pt>
                <c:pt idx="42">
                  <c:v>3260000</c:v>
                </c:pt>
                <c:pt idx="43">
                  <c:v>3480000</c:v>
                </c:pt>
                <c:pt idx="44">
                  <c:v>2750000</c:v>
                </c:pt>
                <c:pt idx="45">
                  <c:v>4190000.0000000005</c:v>
                </c:pt>
                <c:pt idx="46">
                  <c:v>2310000</c:v>
                </c:pt>
                <c:pt idx="47">
                  <c:v>1710000</c:v>
                </c:pt>
                <c:pt idx="48">
                  <c:v>1930000</c:v>
                </c:pt>
                <c:pt idx="49">
                  <c:v>2220000</c:v>
                </c:pt>
                <c:pt idx="50">
                  <c:v>3640000</c:v>
                </c:pt>
                <c:pt idx="51">
                  <c:v>2790000</c:v>
                </c:pt>
                <c:pt idx="52">
                  <c:v>1920000</c:v>
                </c:pt>
                <c:pt idx="53">
                  <c:v>1680000</c:v>
                </c:pt>
                <c:pt idx="54">
                  <c:v>1590000</c:v>
                </c:pt>
                <c:pt idx="55">
                  <c:v>1610000</c:v>
                </c:pt>
                <c:pt idx="56">
                  <c:v>2110000</c:v>
                </c:pt>
                <c:pt idx="57">
                  <c:v>1440000</c:v>
                </c:pt>
                <c:pt idx="58">
                  <c:v>1130000</c:v>
                </c:pt>
                <c:pt idx="59">
                  <c:v>761180</c:v>
                </c:pt>
                <c:pt idx="60">
                  <c:v>2049999.9999999998</c:v>
                </c:pt>
                <c:pt idx="61">
                  <c:v>1110000</c:v>
                </c:pt>
                <c:pt idx="62">
                  <c:v>2260000</c:v>
                </c:pt>
                <c:pt idx="63">
                  <c:v>1670000</c:v>
                </c:pt>
                <c:pt idx="64">
                  <c:v>1390000</c:v>
                </c:pt>
                <c:pt idx="65">
                  <c:v>1810000</c:v>
                </c:pt>
                <c:pt idx="66">
                  <c:v>2410000</c:v>
                </c:pt>
                <c:pt idx="67">
                  <c:v>2800000</c:v>
                </c:pt>
                <c:pt idx="68">
                  <c:v>3620000</c:v>
                </c:pt>
                <c:pt idx="69">
                  <c:v>1270000</c:v>
                </c:pt>
                <c:pt idx="70">
                  <c:v>2760000</c:v>
                </c:pt>
                <c:pt idx="71">
                  <c:v>2500000</c:v>
                </c:pt>
                <c:pt idx="72">
                  <c:v>5660000</c:v>
                </c:pt>
                <c:pt idx="73">
                  <c:v>3000000</c:v>
                </c:pt>
                <c:pt idx="74">
                  <c:v>1660000</c:v>
                </c:pt>
                <c:pt idx="75">
                  <c:v>2770000</c:v>
                </c:pt>
                <c:pt idx="76">
                  <c:v>2069999.9999999998</c:v>
                </c:pt>
                <c:pt idx="77">
                  <c:v>1800000</c:v>
                </c:pt>
                <c:pt idx="78">
                  <c:v>1840000</c:v>
                </c:pt>
                <c:pt idx="79">
                  <c:v>1850000</c:v>
                </c:pt>
                <c:pt idx="80">
                  <c:v>1480000</c:v>
                </c:pt>
                <c:pt idx="81">
                  <c:v>3470000</c:v>
                </c:pt>
                <c:pt idx="82">
                  <c:v>1920000</c:v>
                </c:pt>
                <c:pt idx="83">
                  <c:v>1520000</c:v>
                </c:pt>
                <c:pt idx="84">
                  <c:v>1870000</c:v>
                </c:pt>
                <c:pt idx="85">
                  <c:v>1270000</c:v>
                </c:pt>
                <c:pt idx="86">
                  <c:v>1640000</c:v>
                </c:pt>
                <c:pt idx="87">
                  <c:v>1960000</c:v>
                </c:pt>
                <c:pt idx="88">
                  <c:v>1480000</c:v>
                </c:pt>
                <c:pt idx="89">
                  <c:v>2530000</c:v>
                </c:pt>
                <c:pt idx="90">
                  <c:v>1480000</c:v>
                </c:pt>
                <c:pt idx="91">
                  <c:v>2350000</c:v>
                </c:pt>
                <c:pt idx="92">
                  <c:v>2750000</c:v>
                </c:pt>
                <c:pt idx="93">
                  <c:v>2510000</c:v>
                </c:pt>
                <c:pt idx="94">
                  <c:v>2670000</c:v>
                </c:pt>
                <c:pt idx="95">
                  <c:v>3220000</c:v>
                </c:pt>
                <c:pt idx="96">
                  <c:v>1840000</c:v>
                </c:pt>
                <c:pt idx="97">
                  <c:v>3190000</c:v>
                </c:pt>
                <c:pt idx="98">
                  <c:v>3020000</c:v>
                </c:pt>
                <c:pt idx="99">
                  <c:v>8150000</c:v>
                </c:pt>
                <c:pt idx="100">
                  <c:v>8500000</c:v>
                </c:pt>
                <c:pt idx="101">
                  <c:v>4640000</c:v>
                </c:pt>
                <c:pt idx="102">
                  <c:v>3970000</c:v>
                </c:pt>
                <c:pt idx="103">
                  <c:v>2850000</c:v>
                </c:pt>
                <c:pt idx="104">
                  <c:v>3040000</c:v>
                </c:pt>
                <c:pt idx="105">
                  <c:v>1950000</c:v>
                </c:pt>
                <c:pt idx="106">
                  <c:v>2740000</c:v>
                </c:pt>
                <c:pt idx="107">
                  <c:v>3250000</c:v>
                </c:pt>
                <c:pt idx="108">
                  <c:v>1630000</c:v>
                </c:pt>
                <c:pt idx="109">
                  <c:v>2190000</c:v>
                </c:pt>
                <c:pt idx="110">
                  <c:v>3800000</c:v>
                </c:pt>
                <c:pt idx="111">
                  <c:v>5370000</c:v>
                </c:pt>
                <c:pt idx="112">
                  <c:v>3580000</c:v>
                </c:pt>
                <c:pt idx="113">
                  <c:v>2520000</c:v>
                </c:pt>
                <c:pt idx="114">
                  <c:v>2089999.9999999998</c:v>
                </c:pt>
                <c:pt idx="115">
                  <c:v>3120000</c:v>
                </c:pt>
                <c:pt idx="116">
                  <c:v>2340000</c:v>
                </c:pt>
                <c:pt idx="117">
                  <c:v>2060000</c:v>
                </c:pt>
                <c:pt idx="118">
                  <c:v>3380000</c:v>
                </c:pt>
                <c:pt idx="119">
                  <c:v>2770000</c:v>
                </c:pt>
                <c:pt idx="120">
                  <c:v>2250000</c:v>
                </c:pt>
                <c:pt idx="121">
                  <c:v>1950000</c:v>
                </c:pt>
                <c:pt idx="122">
                  <c:v>2009999.9999999998</c:v>
                </c:pt>
                <c:pt idx="123">
                  <c:v>2330000</c:v>
                </c:pt>
                <c:pt idx="124">
                  <c:v>2770000</c:v>
                </c:pt>
                <c:pt idx="125">
                  <c:v>2510000</c:v>
                </c:pt>
                <c:pt idx="126">
                  <c:v>2830000</c:v>
                </c:pt>
                <c:pt idx="127">
                  <c:v>2870000</c:v>
                </c:pt>
                <c:pt idx="128">
                  <c:v>3570000</c:v>
                </c:pt>
                <c:pt idx="129">
                  <c:v>2740000</c:v>
                </c:pt>
                <c:pt idx="130">
                  <c:v>2040000</c:v>
                </c:pt>
                <c:pt idx="131">
                  <c:v>1330000</c:v>
                </c:pt>
                <c:pt idx="132">
                  <c:v>2480000</c:v>
                </c:pt>
                <c:pt idx="133">
                  <c:v>2820000</c:v>
                </c:pt>
                <c:pt idx="134">
                  <c:v>2650000</c:v>
                </c:pt>
                <c:pt idx="135">
                  <c:v>1670000</c:v>
                </c:pt>
                <c:pt idx="136">
                  <c:v>1600000</c:v>
                </c:pt>
                <c:pt idx="137">
                  <c:v>3690000</c:v>
                </c:pt>
                <c:pt idx="138">
                  <c:v>3360000</c:v>
                </c:pt>
                <c:pt idx="139">
                  <c:v>4460000</c:v>
                </c:pt>
                <c:pt idx="140">
                  <c:v>3950000</c:v>
                </c:pt>
                <c:pt idx="141">
                  <c:v>1920000</c:v>
                </c:pt>
                <c:pt idx="142">
                  <c:v>2620000</c:v>
                </c:pt>
                <c:pt idx="143">
                  <c:v>2260000</c:v>
                </c:pt>
                <c:pt idx="144">
                  <c:v>2460000</c:v>
                </c:pt>
                <c:pt idx="145">
                  <c:v>2190000</c:v>
                </c:pt>
                <c:pt idx="146">
                  <c:v>2020000</c:v>
                </c:pt>
                <c:pt idx="147">
                  <c:v>1560000</c:v>
                </c:pt>
                <c:pt idx="148">
                  <c:v>2380000</c:v>
                </c:pt>
                <c:pt idx="149">
                  <c:v>2040000</c:v>
                </c:pt>
                <c:pt idx="150">
                  <c:v>1950000</c:v>
                </c:pt>
                <c:pt idx="151">
                  <c:v>1680000</c:v>
                </c:pt>
                <c:pt idx="152">
                  <c:v>1620000</c:v>
                </c:pt>
                <c:pt idx="153">
                  <c:v>2990000</c:v>
                </c:pt>
                <c:pt idx="154">
                  <c:v>2200000</c:v>
                </c:pt>
                <c:pt idx="155">
                  <c:v>5920000</c:v>
                </c:pt>
                <c:pt idx="156">
                  <c:v>6530000</c:v>
                </c:pt>
                <c:pt idx="157">
                  <c:v>3400000</c:v>
                </c:pt>
                <c:pt idx="158">
                  <c:v>2850000</c:v>
                </c:pt>
                <c:pt idx="159">
                  <c:v>2240000</c:v>
                </c:pt>
                <c:pt idx="160">
                  <c:v>2610000</c:v>
                </c:pt>
                <c:pt idx="161">
                  <c:v>11490000</c:v>
                </c:pt>
                <c:pt idx="162">
                  <c:v>4760000</c:v>
                </c:pt>
                <c:pt idx="163">
                  <c:v>2440000</c:v>
                </c:pt>
                <c:pt idx="164">
                  <c:v>1370000</c:v>
                </c:pt>
                <c:pt idx="165">
                  <c:v>1470000</c:v>
                </c:pt>
                <c:pt idx="166">
                  <c:v>3090000</c:v>
                </c:pt>
                <c:pt idx="167">
                  <c:v>2260000</c:v>
                </c:pt>
                <c:pt idx="168">
                  <c:v>1970000</c:v>
                </c:pt>
                <c:pt idx="169">
                  <c:v>2580000</c:v>
                </c:pt>
                <c:pt idx="170">
                  <c:v>1520000</c:v>
                </c:pt>
                <c:pt idx="171">
                  <c:v>1350000</c:v>
                </c:pt>
                <c:pt idx="172">
                  <c:v>1180000</c:v>
                </c:pt>
                <c:pt idx="173">
                  <c:v>1360000</c:v>
                </c:pt>
                <c:pt idx="174">
                  <c:v>948270</c:v>
                </c:pt>
                <c:pt idx="175">
                  <c:v>1140000</c:v>
                </c:pt>
                <c:pt idx="176">
                  <c:v>1180000</c:v>
                </c:pt>
                <c:pt idx="177">
                  <c:v>1260000</c:v>
                </c:pt>
                <c:pt idx="178">
                  <c:v>1030000</c:v>
                </c:pt>
                <c:pt idx="179">
                  <c:v>768950</c:v>
                </c:pt>
                <c:pt idx="180">
                  <c:v>1310000</c:v>
                </c:pt>
                <c:pt idx="181">
                  <c:v>1940000</c:v>
                </c:pt>
                <c:pt idx="182">
                  <c:v>1520000</c:v>
                </c:pt>
                <c:pt idx="183">
                  <c:v>1350000</c:v>
                </c:pt>
                <c:pt idx="184">
                  <c:v>1350000</c:v>
                </c:pt>
                <c:pt idx="185">
                  <c:v>1530000</c:v>
                </c:pt>
                <c:pt idx="186">
                  <c:v>1140000</c:v>
                </c:pt>
                <c:pt idx="187">
                  <c:v>1340000</c:v>
                </c:pt>
                <c:pt idx="188">
                  <c:v>925940</c:v>
                </c:pt>
                <c:pt idx="189">
                  <c:v>999890</c:v>
                </c:pt>
                <c:pt idx="190">
                  <c:v>930510</c:v>
                </c:pt>
                <c:pt idx="191">
                  <c:v>2750000</c:v>
                </c:pt>
                <c:pt idx="192">
                  <c:v>1520000</c:v>
                </c:pt>
                <c:pt idx="193">
                  <c:v>1520000</c:v>
                </c:pt>
                <c:pt idx="194">
                  <c:v>1210000</c:v>
                </c:pt>
                <c:pt idx="195">
                  <c:v>1100000</c:v>
                </c:pt>
                <c:pt idx="196">
                  <c:v>1590000</c:v>
                </c:pt>
                <c:pt idx="197">
                  <c:v>1360000</c:v>
                </c:pt>
                <c:pt idx="198">
                  <c:v>1900000</c:v>
                </c:pt>
                <c:pt idx="199">
                  <c:v>816000</c:v>
                </c:pt>
                <c:pt idx="200">
                  <c:v>1260000</c:v>
                </c:pt>
                <c:pt idx="201">
                  <c:v>976230</c:v>
                </c:pt>
                <c:pt idx="202">
                  <c:v>1310000</c:v>
                </c:pt>
                <c:pt idx="203">
                  <c:v>1020000</c:v>
                </c:pt>
                <c:pt idx="204">
                  <c:v>1150000</c:v>
                </c:pt>
                <c:pt idx="205">
                  <c:v>1550000</c:v>
                </c:pt>
                <c:pt idx="206">
                  <c:v>1020000</c:v>
                </c:pt>
                <c:pt idx="207">
                  <c:v>1040000</c:v>
                </c:pt>
                <c:pt idx="208">
                  <c:v>834130</c:v>
                </c:pt>
                <c:pt idx="209">
                  <c:v>1010000</c:v>
                </c:pt>
                <c:pt idx="210">
                  <c:v>1130000</c:v>
                </c:pt>
                <c:pt idx="211">
                  <c:v>1940000</c:v>
                </c:pt>
                <c:pt idx="212">
                  <c:v>1110000</c:v>
                </c:pt>
                <c:pt idx="213">
                  <c:v>828400</c:v>
                </c:pt>
                <c:pt idx="214">
                  <c:v>996380</c:v>
                </c:pt>
                <c:pt idx="215">
                  <c:v>1130000</c:v>
                </c:pt>
                <c:pt idx="216">
                  <c:v>986760</c:v>
                </c:pt>
                <c:pt idx="217">
                  <c:v>2130000</c:v>
                </c:pt>
                <c:pt idx="218">
                  <c:v>1910000</c:v>
                </c:pt>
                <c:pt idx="219">
                  <c:v>9480000</c:v>
                </c:pt>
                <c:pt idx="220">
                  <c:v>2110000</c:v>
                </c:pt>
                <c:pt idx="221">
                  <c:v>1880000</c:v>
                </c:pt>
                <c:pt idx="222">
                  <c:v>2430000</c:v>
                </c:pt>
                <c:pt idx="223">
                  <c:v>1390000</c:v>
                </c:pt>
                <c:pt idx="224">
                  <c:v>823240</c:v>
                </c:pt>
                <c:pt idx="225">
                  <c:v>2420000</c:v>
                </c:pt>
                <c:pt idx="226">
                  <c:v>1760000</c:v>
                </c:pt>
                <c:pt idx="227">
                  <c:v>2080000</c:v>
                </c:pt>
                <c:pt idx="228">
                  <c:v>2600000</c:v>
                </c:pt>
                <c:pt idx="229">
                  <c:v>1230000</c:v>
                </c:pt>
                <c:pt idx="230">
                  <c:v>1290000</c:v>
                </c:pt>
                <c:pt idx="231">
                  <c:v>1070000</c:v>
                </c:pt>
                <c:pt idx="232">
                  <c:v>1140000</c:v>
                </c:pt>
                <c:pt idx="233">
                  <c:v>723080</c:v>
                </c:pt>
                <c:pt idx="234">
                  <c:v>1300000</c:v>
                </c:pt>
                <c:pt idx="235">
                  <c:v>954150</c:v>
                </c:pt>
                <c:pt idx="236">
                  <c:v>1110000</c:v>
                </c:pt>
                <c:pt idx="237">
                  <c:v>1490000</c:v>
                </c:pt>
                <c:pt idx="238">
                  <c:v>2480000</c:v>
                </c:pt>
                <c:pt idx="239">
                  <c:v>2910000</c:v>
                </c:pt>
                <c:pt idx="240">
                  <c:v>1460000</c:v>
                </c:pt>
                <c:pt idx="241">
                  <c:v>1060000</c:v>
                </c:pt>
                <c:pt idx="242">
                  <c:v>849960</c:v>
                </c:pt>
                <c:pt idx="243">
                  <c:v>1190000</c:v>
                </c:pt>
                <c:pt idx="244">
                  <c:v>1200000</c:v>
                </c:pt>
                <c:pt idx="245">
                  <c:v>954700</c:v>
                </c:pt>
                <c:pt idx="246">
                  <c:v>599390</c:v>
                </c:pt>
                <c:pt idx="247">
                  <c:v>711670</c:v>
                </c:pt>
                <c:pt idx="248">
                  <c:v>1960000</c:v>
                </c:pt>
                <c:pt idx="249">
                  <c:v>2430000</c:v>
                </c:pt>
                <c:pt idx="250">
                  <c:v>1760000</c:v>
                </c:pt>
                <c:pt idx="251">
                  <c:v>914820</c:v>
                </c:pt>
                <c:pt idx="252">
                  <c:v>3290000</c:v>
                </c:pt>
                <c:pt idx="253">
                  <c:v>1490000</c:v>
                </c:pt>
                <c:pt idx="254">
                  <c:v>949390</c:v>
                </c:pt>
                <c:pt idx="255">
                  <c:v>1250000</c:v>
                </c:pt>
                <c:pt idx="256">
                  <c:v>2590000</c:v>
                </c:pt>
                <c:pt idx="257">
                  <c:v>1620000</c:v>
                </c:pt>
                <c:pt idx="258">
                  <c:v>4830000</c:v>
                </c:pt>
                <c:pt idx="259">
                  <c:v>1880000</c:v>
                </c:pt>
                <c:pt idx="260">
                  <c:v>1160000</c:v>
                </c:pt>
                <c:pt idx="261">
                  <c:v>882690</c:v>
                </c:pt>
                <c:pt idx="262">
                  <c:v>2069999.9999999998</c:v>
                </c:pt>
                <c:pt idx="263">
                  <c:v>1450000</c:v>
                </c:pt>
                <c:pt idx="264">
                  <c:v>1760000</c:v>
                </c:pt>
                <c:pt idx="265">
                  <c:v>1450000</c:v>
                </c:pt>
                <c:pt idx="266">
                  <c:v>3090000</c:v>
                </c:pt>
                <c:pt idx="267">
                  <c:v>2020000</c:v>
                </c:pt>
                <c:pt idx="268">
                  <c:v>2570000</c:v>
                </c:pt>
                <c:pt idx="269">
                  <c:v>1430000</c:v>
                </c:pt>
                <c:pt idx="270">
                  <c:v>2069999.9999999998</c:v>
                </c:pt>
                <c:pt idx="271">
                  <c:v>1850000</c:v>
                </c:pt>
                <c:pt idx="272">
                  <c:v>2130000</c:v>
                </c:pt>
                <c:pt idx="273">
                  <c:v>1350000</c:v>
                </c:pt>
                <c:pt idx="274">
                  <c:v>1260000</c:v>
                </c:pt>
                <c:pt idx="275">
                  <c:v>915840</c:v>
                </c:pt>
                <c:pt idx="276">
                  <c:v>654480</c:v>
                </c:pt>
                <c:pt idx="277">
                  <c:v>1130000</c:v>
                </c:pt>
                <c:pt idx="278">
                  <c:v>2160000</c:v>
                </c:pt>
                <c:pt idx="279">
                  <c:v>4480000</c:v>
                </c:pt>
                <c:pt idx="280">
                  <c:v>1910000</c:v>
                </c:pt>
                <c:pt idx="281">
                  <c:v>930510</c:v>
                </c:pt>
                <c:pt idx="282">
                  <c:v>1530000</c:v>
                </c:pt>
                <c:pt idx="283">
                  <c:v>1490000</c:v>
                </c:pt>
                <c:pt idx="284">
                  <c:v>1920000</c:v>
                </c:pt>
                <c:pt idx="285">
                  <c:v>1590000</c:v>
                </c:pt>
                <c:pt idx="286">
                  <c:v>2190000</c:v>
                </c:pt>
                <c:pt idx="287">
                  <c:v>1820000</c:v>
                </c:pt>
                <c:pt idx="288">
                  <c:v>807590</c:v>
                </c:pt>
                <c:pt idx="289">
                  <c:v>1350000</c:v>
                </c:pt>
                <c:pt idx="290">
                  <c:v>1700000</c:v>
                </c:pt>
                <c:pt idx="291">
                  <c:v>1280000</c:v>
                </c:pt>
                <c:pt idx="292">
                  <c:v>1490000</c:v>
                </c:pt>
                <c:pt idx="293">
                  <c:v>1290000</c:v>
                </c:pt>
                <c:pt idx="294">
                  <c:v>1350000</c:v>
                </c:pt>
                <c:pt idx="295">
                  <c:v>1150000</c:v>
                </c:pt>
                <c:pt idx="296">
                  <c:v>950810</c:v>
                </c:pt>
                <c:pt idx="297">
                  <c:v>677920</c:v>
                </c:pt>
                <c:pt idx="298">
                  <c:v>1980000</c:v>
                </c:pt>
                <c:pt idx="299">
                  <c:v>1110000</c:v>
                </c:pt>
                <c:pt idx="300">
                  <c:v>839740</c:v>
                </c:pt>
                <c:pt idx="301">
                  <c:v>654830</c:v>
                </c:pt>
                <c:pt idx="302">
                  <c:v>634980</c:v>
                </c:pt>
                <c:pt idx="303">
                  <c:v>1070000</c:v>
                </c:pt>
                <c:pt idx="304">
                  <c:v>906720</c:v>
                </c:pt>
                <c:pt idx="305">
                  <c:v>694230</c:v>
                </c:pt>
                <c:pt idx="306">
                  <c:v>1130000</c:v>
                </c:pt>
                <c:pt idx="307">
                  <c:v>1150000</c:v>
                </c:pt>
                <c:pt idx="308">
                  <c:v>1120000</c:v>
                </c:pt>
                <c:pt idx="309">
                  <c:v>676280</c:v>
                </c:pt>
                <c:pt idx="310">
                  <c:v>980340</c:v>
                </c:pt>
                <c:pt idx="311">
                  <c:v>829500</c:v>
                </c:pt>
                <c:pt idx="312">
                  <c:v>744420</c:v>
                </c:pt>
                <c:pt idx="313">
                  <c:v>1210000</c:v>
                </c:pt>
                <c:pt idx="314">
                  <c:v>916830</c:v>
                </c:pt>
                <c:pt idx="315">
                  <c:v>684430</c:v>
                </c:pt>
                <c:pt idx="316">
                  <c:v>760850</c:v>
                </c:pt>
                <c:pt idx="317">
                  <c:v>719040</c:v>
                </c:pt>
                <c:pt idx="318">
                  <c:v>1050000</c:v>
                </c:pt>
                <c:pt idx="319">
                  <c:v>720900</c:v>
                </c:pt>
                <c:pt idx="320">
                  <c:v>1980000</c:v>
                </c:pt>
                <c:pt idx="321">
                  <c:v>789680</c:v>
                </c:pt>
                <c:pt idx="322">
                  <c:v>882320</c:v>
                </c:pt>
                <c:pt idx="323">
                  <c:v>1040000</c:v>
                </c:pt>
                <c:pt idx="324">
                  <c:v>834720</c:v>
                </c:pt>
                <c:pt idx="325">
                  <c:v>962270</c:v>
                </c:pt>
                <c:pt idx="326">
                  <c:v>1330000</c:v>
                </c:pt>
                <c:pt idx="327">
                  <c:v>523799.99999999994</c:v>
                </c:pt>
                <c:pt idx="328">
                  <c:v>1680000</c:v>
                </c:pt>
                <c:pt idx="329">
                  <c:v>1170000</c:v>
                </c:pt>
                <c:pt idx="330">
                  <c:v>646260</c:v>
                </c:pt>
                <c:pt idx="331">
                  <c:v>461090</c:v>
                </c:pt>
                <c:pt idx="332">
                  <c:v>623480</c:v>
                </c:pt>
                <c:pt idx="333">
                  <c:v>382620</c:v>
                </c:pt>
                <c:pt idx="334">
                  <c:v>628780</c:v>
                </c:pt>
                <c:pt idx="335">
                  <c:v>464240</c:v>
                </c:pt>
                <c:pt idx="336">
                  <c:v>350560</c:v>
                </c:pt>
                <c:pt idx="337">
                  <c:v>500449.99999999994</c:v>
                </c:pt>
                <c:pt idx="338">
                  <c:v>334230</c:v>
                </c:pt>
                <c:pt idx="339">
                  <c:v>429170</c:v>
                </c:pt>
                <c:pt idx="340">
                  <c:v>577280</c:v>
                </c:pt>
                <c:pt idx="341">
                  <c:v>1020000</c:v>
                </c:pt>
                <c:pt idx="342">
                  <c:v>1090000</c:v>
                </c:pt>
                <c:pt idx="343">
                  <c:v>509270</c:v>
                </c:pt>
                <c:pt idx="344">
                  <c:v>743110</c:v>
                </c:pt>
                <c:pt idx="345">
                  <c:v>850200</c:v>
                </c:pt>
                <c:pt idx="346">
                  <c:v>1020000</c:v>
                </c:pt>
                <c:pt idx="347">
                  <c:v>1030000</c:v>
                </c:pt>
                <c:pt idx="348">
                  <c:v>1510000</c:v>
                </c:pt>
                <c:pt idx="349">
                  <c:v>2280000</c:v>
                </c:pt>
                <c:pt idx="350">
                  <c:v>838680</c:v>
                </c:pt>
                <c:pt idx="351">
                  <c:v>1130000</c:v>
                </c:pt>
                <c:pt idx="352">
                  <c:v>659430</c:v>
                </c:pt>
                <c:pt idx="353">
                  <c:v>1270000</c:v>
                </c:pt>
                <c:pt idx="354">
                  <c:v>621360</c:v>
                </c:pt>
                <c:pt idx="355">
                  <c:v>602330</c:v>
                </c:pt>
                <c:pt idx="356">
                  <c:v>441930</c:v>
                </c:pt>
                <c:pt idx="357">
                  <c:v>471760</c:v>
                </c:pt>
                <c:pt idx="358">
                  <c:v>571290</c:v>
                </c:pt>
                <c:pt idx="359">
                  <c:v>596670</c:v>
                </c:pt>
                <c:pt idx="360">
                  <c:v>525550</c:v>
                </c:pt>
                <c:pt idx="361">
                  <c:v>646740</c:v>
                </c:pt>
                <c:pt idx="362">
                  <c:v>312870</c:v>
                </c:pt>
                <c:pt idx="363">
                  <c:v>701970</c:v>
                </c:pt>
                <c:pt idx="364">
                  <c:v>649500</c:v>
                </c:pt>
                <c:pt idx="365">
                  <c:v>528920</c:v>
                </c:pt>
                <c:pt idx="366">
                  <c:v>477520</c:v>
                </c:pt>
                <c:pt idx="367">
                  <c:v>432920</c:v>
                </c:pt>
                <c:pt idx="368">
                  <c:v>402740</c:v>
                </c:pt>
                <c:pt idx="369">
                  <c:v>455800</c:v>
                </c:pt>
                <c:pt idx="370">
                  <c:v>243080</c:v>
                </c:pt>
                <c:pt idx="371">
                  <c:v>290140</c:v>
                </c:pt>
                <c:pt idx="372">
                  <c:v>391740</c:v>
                </c:pt>
                <c:pt idx="373">
                  <c:v>463030</c:v>
                </c:pt>
                <c:pt idx="374">
                  <c:v>621220</c:v>
                </c:pt>
                <c:pt idx="375">
                  <c:v>489160</c:v>
                </c:pt>
                <c:pt idx="376">
                  <c:v>331770</c:v>
                </c:pt>
                <c:pt idx="377">
                  <c:v>517130</c:v>
                </c:pt>
                <c:pt idx="378">
                  <c:v>509970.00000000006</c:v>
                </c:pt>
                <c:pt idx="379">
                  <c:v>971880</c:v>
                </c:pt>
                <c:pt idx="380">
                  <c:v>273840</c:v>
                </c:pt>
                <c:pt idx="381">
                  <c:v>488410</c:v>
                </c:pt>
                <c:pt idx="382">
                  <c:v>830880</c:v>
                </c:pt>
                <c:pt idx="383">
                  <c:v>730940</c:v>
                </c:pt>
                <c:pt idx="384">
                  <c:v>1040000</c:v>
                </c:pt>
                <c:pt idx="385">
                  <c:v>561170</c:v>
                </c:pt>
                <c:pt idx="386">
                  <c:v>890120</c:v>
                </c:pt>
                <c:pt idx="387">
                  <c:v>1320000</c:v>
                </c:pt>
                <c:pt idx="388">
                  <c:v>379800</c:v>
                </c:pt>
                <c:pt idx="389">
                  <c:v>309300</c:v>
                </c:pt>
                <c:pt idx="390">
                  <c:v>492850</c:v>
                </c:pt>
                <c:pt idx="391">
                  <c:v>383900</c:v>
                </c:pt>
                <c:pt idx="392">
                  <c:v>341350</c:v>
                </c:pt>
                <c:pt idx="393">
                  <c:v>606230</c:v>
                </c:pt>
                <c:pt idx="394">
                  <c:v>691440</c:v>
                </c:pt>
                <c:pt idx="395">
                  <c:v>678470</c:v>
                </c:pt>
                <c:pt idx="396">
                  <c:v>548190</c:v>
                </c:pt>
                <c:pt idx="397">
                  <c:v>2170000</c:v>
                </c:pt>
                <c:pt idx="398">
                  <c:v>799080</c:v>
                </c:pt>
                <c:pt idx="399">
                  <c:v>516619.99999999994</c:v>
                </c:pt>
                <c:pt idx="400">
                  <c:v>733890</c:v>
                </c:pt>
                <c:pt idx="401">
                  <c:v>361520</c:v>
                </c:pt>
                <c:pt idx="402">
                  <c:v>2250000</c:v>
                </c:pt>
                <c:pt idx="403">
                  <c:v>4130000</c:v>
                </c:pt>
                <c:pt idx="404">
                  <c:v>1020000</c:v>
                </c:pt>
                <c:pt idx="405">
                  <c:v>1300000</c:v>
                </c:pt>
                <c:pt idx="406">
                  <c:v>1900000</c:v>
                </c:pt>
                <c:pt idx="407">
                  <c:v>2190000</c:v>
                </c:pt>
                <c:pt idx="408">
                  <c:v>1270000</c:v>
                </c:pt>
                <c:pt idx="409">
                  <c:v>1280000</c:v>
                </c:pt>
                <c:pt idx="410">
                  <c:v>721580</c:v>
                </c:pt>
                <c:pt idx="411">
                  <c:v>440540</c:v>
                </c:pt>
                <c:pt idx="412">
                  <c:v>541880</c:v>
                </c:pt>
                <c:pt idx="413">
                  <c:v>926190</c:v>
                </c:pt>
                <c:pt idx="414">
                  <c:v>2380000</c:v>
                </c:pt>
                <c:pt idx="415">
                  <c:v>2000000</c:v>
                </c:pt>
                <c:pt idx="416">
                  <c:v>898430</c:v>
                </c:pt>
                <c:pt idx="417">
                  <c:v>2310000</c:v>
                </c:pt>
                <c:pt idx="418">
                  <c:v>1200000</c:v>
                </c:pt>
                <c:pt idx="419">
                  <c:v>545230</c:v>
                </c:pt>
                <c:pt idx="420">
                  <c:v>616050</c:v>
                </c:pt>
                <c:pt idx="421">
                  <c:v>456150</c:v>
                </c:pt>
                <c:pt idx="422">
                  <c:v>287430</c:v>
                </c:pt>
                <c:pt idx="423">
                  <c:v>672700</c:v>
                </c:pt>
                <c:pt idx="424">
                  <c:v>412750</c:v>
                </c:pt>
                <c:pt idx="425">
                  <c:v>570870</c:v>
                </c:pt>
                <c:pt idx="426">
                  <c:v>1380000</c:v>
                </c:pt>
                <c:pt idx="427">
                  <c:v>1190000</c:v>
                </c:pt>
                <c:pt idx="428">
                  <c:v>595120</c:v>
                </c:pt>
                <c:pt idx="429">
                  <c:v>424340</c:v>
                </c:pt>
                <c:pt idx="430">
                  <c:v>452680</c:v>
                </c:pt>
                <c:pt idx="431">
                  <c:v>806910</c:v>
                </c:pt>
                <c:pt idx="432">
                  <c:v>1330000</c:v>
                </c:pt>
                <c:pt idx="433">
                  <c:v>838120</c:v>
                </c:pt>
                <c:pt idx="434">
                  <c:v>386610</c:v>
                </c:pt>
                <c:pt idx="435">
                  <c:v>861340</c:v>
                </c:pt>
                <c:pt idx="436">
                  <c:v>411010</c:v>
                </c:pt>
                <c:pt idx="437">
                  <c:v>874870</c:v>
                </c:pt>
                <c:pt idx="438">
                  <c:v>452280</c:v>
                </c:pt>
                <c:pt idx="439">
                  <c:v>589260</c:v>
                </c:pt>
                <c:pt idx="440">
                  <c:v>897520</c:v>
                </c:pt>
                <c:pt idx="441">
                  <c:v>572890</c:v>
                </c:pt>
                <c:pt idx="442">
                  <c:v>622400</c:v>
                </c:pt>
                <c:pt idx="443">
                  <c:v>786360</c:v>
                </c:pt>
                <c:pt idx="444">
                  <c:v>687450</c:v>
                </c:pt>
                <c:pt idx="445">
                  <c:v>497010</c:v>
                </c:pt>
                <c:pt idx="446">
                  <c:v>360160</c:v>
                </c:pt>
                <c:pt idx="447">
                  <c:v>999100</c:v>
                </c:pt>
                <c:pt idx="448">
                  <c:v>1160000</c:v>
                </c:pt>
                <c:pt idx="449">
                  <c:v>816200</c:v>
                </c:pt>
                <c:pt idx="450">
                  <c:v>519030</c:v>
                </c:pt>
                <c:pt idx="451">
                  <c:v>457700</c:v>
                </c:pt>
                <c:pt idx="452">
                  <c:v>677510</c:v>
                </c:pt>
                <c:pt idx="453">
                  <c:v>430370</c:v>
                </c:pt>
                <c:pt idx="454">
                  <c:v>1330000</c:v>
                </c:pt>
                <c:pt idx="455">
                  <c:v>1630000</c:v>
                </c:pt>
                <c:pt idx="456">
                  <c:v>1070000</c:v>
                </c:pt>
                <c:pt idx="457">
                  <c:v>657520</c:v>
                </c:pt>
                <c:pt idx="458">
                  <c:v>930850</c:v>
                </c:pt>
                <c:pt idx="459">
                  <c:v>1390000</c:v>
                </c:pt>
                <c:pt idx="460">
                  <c:v>3080000</c:v>
                </c:pt>
                <c:pt idx="461">
                  <c:v>726390</c:v>
                </c:pt>
                <c:pt idx="462">
                  <c:v>861640</c:v>
                </c:pt>
                <c:pt idx="463">
                  <c:v>533140</c:v>
                </c:pt>
                <c:pt idx="464">
                  <c:v>879210</c:v>
                </c:pt>
                <c:pt idx="465">
                  <c:v>686530</c:v>
                </c:pt>
                <c:pt idx="466">
                  <c:v>1230000</c:v>
                </c:pt>
                <c:pt idx="467">
                  <c:v>848880</c:v>
                </c:pt>
                <c:pt idx="468">
                  <c:v>823300</c:v>
                </c:pt>
                <c:pt idx="469">
                  <c:v>1010000</c:v>
                </c:pt>
                <c:pt idx="470">
                  <c:v>611140</c:v>
                </c:pt>
                <c:pt idx="471">
                  <c:v>455220</c:v>
                </c:pt>
                <c:pt idx="472">
                  <c:v>525540</c:v>
                </c:pt>
                <c:pt idx="473">
                  <c:v>554630</c:v>
                </c:pt>
                <c:pt idx="474">
                  <c:v>342550</c:v>
                </c:pt>
                <c:pt idx="475">
                  <c:v>1100000</c:v>
                </c:pt>
                <c:pt idx="476">
                  <c:v>1690000</c:v>
                </c:pt>
                <c:pt idx="477">
                  <c:v>363180</c:v>
                </c:pt>
                <c:pt idx="478">
                  <c:v>659150</c:v>
                </c:pt>
                <c:pt idx="479">
                  <c:v>537940</c:v>
                </c:pt>
                <c:pt idx="480">
                  <c:v>262330</c:v>
                </c:pt>
                <c:pt idx="481">
                  <c:v>404130</c:v>
                </c:pt>
                <c:pt idx="482">
                  <c:v>831120</c:v>
                </c:pt>
                <c:pt idx="483">
                  <c:v>325670</c:v>
                </c:pt>
                <c:pt idx="484">
                  <c:v>403780</c:v>
                </c:pt>
                <c:pt idx="485">
                  <c:v>395360</c:v>
                </c:pt>
                <c:pt idx="486">
                  <c:v>314820</c:v>
                </c:pt>
                <c:pt idx="487">
                  <c:v>680390</c:v>
                </c:pt>
                <c:pt idx="488">
                  <c:v>670900</c:v>
                </c:pt>
                <c:pt idx="489">
                  <c:v>475320</c:v>
                </c:pt>
                <c:pt idx="490">
                  <c:v>333860</c:v>
                </c:pt>
                <c:pt idx="491">
                  <c:v>625660</c:v>
                </c:pt>
                <c:pt idx="492">
                  <c:v>326500</c:v>
                </c:pt>
                <c:pt idx="493">
                  <c:v>265890</c:v>
                </c:pt>
                <c:pt idx="494">
                  <c:v>345110</c:v>
                </c:pt>
                <c:pt idx="495">
                  <c:v>632950</c:v>
                </c:pt>
                <c:pt idx="496">
                  <c:v>693260</c:v>
                </c:pt>
                <c:pt idx="497">
                  <c:v>797280</c:v>
                </c:pt>
                <c:pt idx="498">
                  <c:v>406760</c:v>
                </c:pt>
                <c:pt idx="499">
                  <c:v>2460000</c:v>
                </c:pt>
                <c:pt idx="500">
                  <c:v>736620</c:v>
                </c:pt>
                <c:pt idx="501">
                  <c:v>1040000</c:v>
                </c:pt>
                <c:pt idx="502">
                  <c:v>1060000</c:v>
                </c:pt>
                <c:pt idx="503">
                  <c:v>572040</c:v>
                </c:pt>
                <c:pt idx="504">
                  <c:v>493240</c:v>
                </c:pt>
                <c:pt idx="505">
                  <c:v>334700</c:v>
                </c:pt>
                <c:pt idx="506">
                  <c:v>441000</c:v>
                </c:pt>
                <c:pt idx="507">
                  <c:v>266120</c:v>
                </c:pt>
                <c:pt idx="508">
                  <c:v>324010</c:v>
                </c:pt>
                <c:pt idx="509">
                  <c:v>680220</c:v>
                </c:pt>
                <c:pt idx="510">
                  <c:v>1220000</c:v>
                </c:pt>
                <c:pt idx="511">
                  <c:v>769880</c:v>
                </c:pt>
                <c:pt idx="512">
                  <c:v>521730</c:v>
                </c:pt>
                <c:pt idx="513">
                  <c:v>459190</c:v>
                </c:pt>
                <c:pt idx="514">
                  <c:v>465910</c:v>
                </c:pt>
                <c:pt idx="515">
                  <c:v>687090</c:v>
                </c:pt>
                <c:pt idx="516">
                  <c:v>985830</c:v>
                </c:pt>
                <c:pt idx="517">
                  <c:v>871640</c:v>
                </c:pt>
                <c:pt idx="518">
                  <c:v>416450</c:v>
                </c:pt>
                <c:pt idx="519">
                  <c:v>671850</c:v>
                </c:pt>
                <c:pt idx="520">
                  <c:v>1040000</c:v>
                </c:pt>
                <c:pt idx="521">
                  <c:v>664630</c:v>
                </c:pt>
                <c:pt idx="522">
                  <c:v>380540</c:v>
                </c:pt>
                <c:pt idx="523">
                  <c:v>448640</c:v>
                </c:pt>
                <c:pt idx="524">
                  <c:v>386390</c:v>
                </c:pt>
                <c:pt idx="525">
                  <c:v>677550</c:v>
                </c:pt>
                <c:pt idx="526">
                  <c:v>558180</c:v>
                </c:pt>
                <c:pt idx="527">
                  <c:v>731370</c:v>
                </c:pt>
                <c:pt idx="528">
                  <c:v>675130</c:v>
                </c:pt>
                <c:pt idx="529">
                  <c:v>2220000</c:v>
                </c:pt>
                <c:pt idx="530">
                  <c:v>804880</c:v>
                </c:pt>
                <c:pt idx="531">
                  <c:v>572430</c:v>
                </c:pt>
                <c:pt idx="532">
                  <c:v>311300</c:v>
                </c:pt>
                <c:pt idx="533">
                  <c:v>273280</c:v>
                </c:pt>
                <c:pt idx="534">
                  <c:v>575200</c:v>
                </c:pt>
                <c:pt idx="535">
                  <c:v>479280</c:v>
                </c:pt>
                <c:pt idx="536">
                  <c:v>775970</c:v>
                </c:pt>
                <c:pt idx="537">
                  <c:v>515030</c:v>
                </c:pt>
                <c:pt idx="538">
                  <c:v>815190</c:v>
                </c:pt>
                <c:pt idx="539">
                  <c:v>630240</c:v>
                </c:pt>
                <c:pt idx="540">
                  <c:v>558690</c:v>
                </c:pt>
                <c:pt idx="541">
                  <c:v>862530</c:v>
                </c:pt>
                <c:pt idx="542">
                  <c:v>1510000</c:v>
                </c:pt>
                <c:pt idx="543">
                  <c:v>1530000</c:v>
                </c:pt>
                <c:pt idx="544">
                  <c:v>1580000</c:v>
                </c:pt>
                <c:pt idx="545">
                  <c:v>1020000</c:v>
                </c:pt>
                <c:pt idx="546">
                  <c:v>621070</c:v>
                </c:pt>
                <c:pt idx="547">
                  <c:v>681810</c:v>
                </c:pt>
                <c:pt idx="548">
                  <c:v>611030</c:v>
                </c:pt>
                <c:pt idx="549">
                  <c:v>758340</c:v>
                </c:pt>
                <c:pt idx="550">
                  <c:v>1230000</c:v>
                </c:pt>
                <c:pt idx="551">
                  <c:v>480120</c:v>
                </c:pt>
                <c:pt idx="552">
                  <c:v>661120</c:v>
                </c:pt>
                <c:pt idx="553">
                  <c:v>439290</c:v>
                </c:pt>
                <c:pt idx="554">
                  <c:v>568610</c:v>
                </c:pt>
                <c:pt idx="555">
                  <c:v>446420</c:v>
                </c:pt>
                <c:pt idx="556">
                  <c:v>690960</c:v>
                </c:pt>
                <c:pt idx="557">
                  <c:v>1320000</c:v>
                </c:pt>
                <c:pt idx="558">
                  <c:v>1200000</c:v>
                </c:pt>
                <c:pt idx="559">
                  <c:v>840570</c:v>
                </c:pt>
                <c:pt idx="560">
                  <c:v>745770</c:v>
                </c:pt>
                <c:pt idx="561">
                  <c:v>660190</c:v>
                </c:pt>
                <c:pt idx="562">
                  <c:v>1240000</c:v>
                </c:pt>
                <c:pt idx="563">
                  <c:v>469840</c:v>
                </c:pt>
                <c:pt idx="564">
                  <c:v>451070</c:v>
                </c:pt>
                <c:pt idx="565">
                  <c:v>800710</c:v>
                </c:pt>
                <c:pt idx="566">
                  <c:v>332110</c:v>
                </c:pt>
                <c:pt idx="567">
                  <c:v>359810</c:v>
                </c:pt>
                <c:pt idx="568">
                  <c:v>383940</c:v>
                </c:pt>
                <c:pt idx="569">
                  <c:v>322930</c:v>
                </c:pt>
                <c:pt idx="570">
                  <c:v>636520</c:v>
                </c:pt>
                <c:pt idx="571">
                  <c:v>1190000</c:v>
                </c:pt>
                <c:pt idx="572">
                  <c:v>1090000</c:v>
                </c:pt>
                <c:pt idx="573">
                  <c:v>829580</c:v>
                </c:pt>
                <c:pt idx="574">
                  <c:v>630800</c:v>
                </c:pt>
                <c:pt idx="575">
                  <c:v>616250</c:v>
                </c:pt>
                <c:pt idx="576">
                  <c:v>499340</c:v>
                </c:pt>
                <c:pt idx="577">
                  <c:v>739030</c:v>
                </c:pt>
                <c:pt idx="578">
                  <c:v>479790</c:v>
                </c:pt>
                <c:pt idx="579">
                  <c:v>497150</c:v>
                </c:pt>
                <c:pt idx="580">
                  <c:v>515080.00000000012</c:v>
                </c:pt>
                <c:pt idx="581">
                  <c:v>477760</c:v>
                </c:pt>
                <c:pt idx="582">
                  <c:v>407390</c:v>
                </c:pt>
                <c:pt idx="583">
                  <c:v>403220</c:v>
                </c:pt>
                <c:pt idx="584">
                  <c:v>841470</c:v>
                </c:pt>
                <c:pt idx="585">
                  <c:v>459260</c:v>
                </c:pt>
                <c:pt idx="586">
                  <c:v>419480</c:v>
                </c:pt>
                <c:pt idx="587">
                  <c:v>650620</c:v>
                </c:pt>
                <c:pt idx="588">
                  <c:v>2800000</c:v>
                </c:pt>
                <c:pt idx="589">
                  <c:v>1460000</c:v>
                </c:pt>
                <c:pt idx="590">
                  <c:v>1170000</c:v>
                </c:pt>
                <c:pt idx="591">
                  <c:v>1590000</c:v>
                </c:pt>
                <c:pt idx="592">
                  <c:v>687010</c:v>
                </c:pt>
                <c:pt idx="593">
                  <c:v>892540</c:v>
                </c:pt>
                <c:pt idx="594">
                  <c:v>481730</c:v>
                </c:pt>
                <c:pt idx="595">
                  <c:v>556610</c:v>
                </c:pt>
                <c:pt idx="596">
                  <c:v>854410</c:v>
                </c:pt>
                <c:pt idx="597">
                  <c:v>404880</c:v>
                </c:pt>
                <c:pt idx="598">
                  <c:v>589420</c:v>
                </c:pt>
                <c:pt idx="599">
                  <c:v>1770000</c:v>
                </c:pt>
                <c:pt idx="600">
                  <c:v>358920</c:v>
                </c:pt>
                <c:pt idx="601">
                  <c:v>558030</c:v>
                </c:pt>
                <c:pt idx="602">
                  <c:v>808870</c:v>
                </c:pt>
                <c:pt idx="603">
                  <c:v>906880</c:v>
                </c:pt>
                <c:pt idx="604">
                  <c:v>453940</c:v>
                </c:pt>
                <c:pt idx="605">
                  <c:v>260629.99999999997</c:v>
                </c:pt>
                <c:pt idx="606">
                  <c:v>531560</c:v>
                </c:pt>
                <c:pt idx="607">
                  <c:v>666110</c:v>
                </c:pt>
                <c:pt idx="608">
                  <c:v>556910</c:v>
                </c:pt>
                <c:pt idx="609">
                  <c:v>739830</c:v>
                </c:pt>
                <c:pt idx="610">
                  <c:v>339710</c:v>
                </c:pt>
                <c:pt idx="611">
                  <c:v>542480</c:v>
                </c:pt>
                <c:pt idx="612">
                  <c:v>836170</c:v>
                </c:pt>
                <c:pt idx="613">
                  <c:v>717660</c:v>
                </c:pt>
                <c:pt idx="614">
                  <c:v>1180000</c:v>
                </c:pt>
                <c:pt idx="615">
                  <c:v>273510</c:v>
                </c:pt>
                <c:pt idx="616">
                  <c:v>1340000</c:v>
                </c:pt>
                <c:pt idx="617">
                  <c:v>1080000</c:v>
                </c:pt>
                <c:pt idx="618">
                  <c:v>532400</c:v>
                </c:pt>
                <c:pt idx="619">
                  <c:v>770780</c:v>
                </c:pt>
                <c:pt idx="620">
                  <c:v>856260</c:v>
                </c:pt>
                <c:pt idx="621">
                  <c:v>928850</c:v>
                </c:pt>
                <c:pt idx="622">
                  <c:v>367510</c:v>
                </c:pt>
                <c:pt idx="623">
                  <c:v>443840</c:v>
                </c:pt>
                <c:pt idx="624">
                  <c:v>616330</c:v>
                </c:pt>
                <c:pt idx="625">
                  <c:v>1060000</c:v>
                </c:pt>
                <c:pt idx="626">
                  <c:v>650310</c:v>
                </c:pt>
                <c:pt idx="627">
                  <c:v>617740</c:v>
                </c:pt>
                <c:pt idx="628">
                  <c:v>1350000</c:v>
                </c:pt>
                <c:pt idx="629">
                  <c:v>1070000</c:v>
                </c:pt>
                <c:pt idx="630">
                  <c:v>768270</c:v>
                </c:pt>
                <c:pt idx="631">
                  <c:v>901980</c:v>
                </c:pt>
                <c:pt idx="632">
                  <c:v>536540</c:v>
                </c:pt>
                <c:pt idx="633">
                  <c:v>568160</c:v>
                </c:pt>
                <c:pt idx="634">
                  <c:v>728000</c:v>
                </c:pt>
                <c:pt idx="635">
                  <c:v>432910</c:v>
                </c:pt>
                <c:pt idx="636">
                  <c:v>469150</c:v>
                </c:pt>
                <c:pt idx="637">
                  <c:v>1460000</c:v>
                </c:pt>
                <c:pt idx="638">
                  <c:v>623590</c:v>
                </c:pt>
                <c:pt idx="639">
                  <c:v>676810</c:v>
                </c:pt>
                <c:pt idx="640">
                  <c:v>527220</c:v>
                </c:pt>
                <c:pt idx="641">
                  <c:v>486390</c:v>
                </c:pt>
                <c:pt idx="642">
                  <c:v>570560</c:v>
                </c:pt>
                <c:pt idx="643">
                  <c:v>891880</c:v>
                </c:pt>
                <c:pt idx="644">
                  <c:v>1840000</c:v>
                </c:pt>
                <c:pt idx="645">
                  <c:v>1220000</c:v>
                </c:pt>
                <c:pt idx="646">
                  <c:v>928110</c:v>
                </c:pt>
                <c:pt idx="647">
                  <c:v>518289.99999999994</c:v>
                </c:pt>
                <c:pt idx="648">
                  <c:v>595710</c:v>
                </c:pt>
                <c:pt idx="649">
                  <c:v>814820</c:v>
                </c:pt>
                <c:pt idx="650">
                  <c:v>2190000</c:v>
                </c:pt>
                <c:pt idx="651">
                  <c:v>1330000</c:v>
                </c:pt>
                <c:pt idx="652">
                  <c:v>1700000</c:v>
                </c:pt>
                <c:pt idx="653">
                  <c:v>1650000</c:v>
                </c:pt>
                <c:pt idx="654">
                  <c:v>591900</c:v>
                </c:pt>
                <c:pt idx="655">
                  <c:v>1150000</c:v>
                </c:pt>
                <c:pt idx="656">
                  <c:v>928070</c:v>
                </c:pt>
                <c:pt idx="657">
                  <c:v>1600000</c:v>
                </c:pt>
                <c:pt idx="658">
                  <c:v>856680</c:v>
                </c:pt>
                <c:pt idx="659">
                  <c:v>1240000</c:v>
                </c:pt>
                <c:pt idx="660">
                  <c:v>1740000</c:v>
                </c:pt>
                <c:pt idx="661">
                  <c:v>1440000</c:v>
                </c:pt>
                <c:pt idx="662">
                  <c:v>1240000</c:v>
                </c:pt>
                <c:pt idx="663">
                  <c:v>1590000</c:v>
                </c:pt>
                <c:pt idx="664">
                  <c:v>1040000</c:v>
                </c:pt>
                <c:pt idx="665">
                  <c:v>561310</c:v>
                </c:pt>
                <c:pt idx="666">
                  <c:v>355150</c:v>
                </c:pt>
                <c:pt idx="667">
                  <c:v>662830</c:v>
                </c:pt>
                <c:pt idx="668">
                  <c:v>640520</c:v>
                </c:pt>
                <c:pt idx="669">
                  <c:v>567370</c:v>
                </c:pt>
                <c:pt idx="670">
                  <c:v>761570</c:v>
                </c:pt>
                <c:pt idx="671">
                  <c:v>528700</c:v>
                </c:pt>
                <c:pt idx="672">
                  <c:v>508970.00000000006</c:v>
                </c:pt>
                <c:pt idx="673">
                  <c:v>1630000</c:v>
                </c:pt>
                <c:pt idx="674">
                  <c:v>957390</c:v>
                </c:pt>
                <c:pt idx="675">
                  <c:v>517409.99999999994</c:v>
                </c:pt>
                <c:pt idx="676">
                  <c:v>854400</c:v>
                </c:pt>
                <c:pt idx="677">
                  <c:v>883100</c:v>
                </c:pt>
                <c:pt idx="678">
                  <c:v>659830</c:v>
                </c:pt>
                <c:pt idx="679">
                  <c:v>436540</c:v>
                </c:pt>
                <c:pt idx="680">
                  <c:v>979890</c:v>
                </c:pt>
                <c:pt idx="681">
                  <c:v>651920</c:v>
                </c:pt>
                <c:pt idx="682">
                  <c:v>670810</c:v>
                </c:pt>
                <c:pt idx="683">
                  <c:v>578780</c:v>
                </c:pt>
                <c:pt idx="684">
                  <c:v>517860</c:v>
                </c:pt>
                <c:pt idx="685">
                  <c:v>2180000</c:v>
                </c:pt>
                <c:pt idx="686">
                  <c:v>961130</c:v>
                </c:pt>
                <c:pt idx="687">
                  <c:v>530680</c:v>
                </c:pt>
                <c:pt idx="688">
                  <c:v>458830</c:v>
                </c:pt>
                <c:pt idx="689">
                  <c:v>412740</c:v>
                </c:pt>
                <c:pt idx="690">
                  <c:v>661790</c:v>
                </c:pt>
                <c:pt idx="691">
                  <c:v>660960</c:v>
                </c:pt>
                <c:pt idx="692">
                  <c:v>753970</c:v>
                </c:pt>
                <c:pt idx="693">
                  <c:v>387250</c:v>
                </c:pt>
                <c:pt idx="694">
                  <c:v>492110</c:v>
                </c:pt>
                <c:pt idx="695">
                  <c:v>522360.00000000006</c:v>
                </c:pt>
                <c:pt idx="696">
                  <c:v>645490</c:v>
                </c:pt>
                <c:pt idx="697">
                  <c:v>515240.00000000006</c:v>
                </c:pt>
                <c:pt idx="698">
                  <c:v>532330</c:v>
                </c:pt>
                <c:pt idx="699">
                  <c:v>63729.999999999993</c:v>
                </c:pt>
                <c:pt idx="700">
                  <c:v>571190</c:v>
                </c:pt>
                <c:pt idx="701">
                  <c:v>583290</c:v>
                </c:pt>
                <c:pt idx="702">
                  <c:v>478510</c:v>
                </c:pt>
                <c:pt idx="703">
                  <c:v>678150</c:v>
                </c:pt>
                <c:pt idx="704">
                  <c:v>746050</c:v>
                </c:pt>
                <c:pt idx="705">
                  <c:v>1180000</c:v>
                </c:pt>
                <c:pt idx="706">
                  <c:v>738120</c:v>
                </c:pt>
                <c:pt idx="707">
                  <c:v>631940</c:v>
                </c:pt>
                <c:pt idx="708">
                  <c:v>505939.99999999994</c:v>
                </c:pt>
                <c:pt idx="709">
                  <c:v>490410</c:v>
                </c:pt>
                <c:pt idx="710">
                  <c:v>442140</c:v>
                </c:pt>
                <c:pt idx="711">
                  <c:v>2460000</c:v>
                </c:pt>
                <c:pt idx="712">
                  <c:v>659140</c:v>
                </c:pt>
                <c:pt idx="713">
                  <c:v>552510</c:v>
                </c:pt>
                <c:pt idx="714">
                  <c:v>1050000</c:v>
                </c:pt>
                <c:pt idx="715">
                  <c:v>889810</c:v>
                </c:pt>
                <c:pt idx="716">
                  <c:v>868750</c:v>
                </c:pt>
                <c:pt idx="717">
                  <c:v>631290</c:v>
                </c:pt>
                <c:pt idx="718">
                  <c:v>461530</c:v>
                </c:pt>
                <c:pt idx="719">
                  <c:v>738560</c:v>
                </c:pt>
                <c:pt idx="720">
                  <c:v>407600</c:v>
                </c:pt>
                <c:pt idx="721">
                  <c:v>512690.00000000012</c:v>
                </c:pt>
                <c:pt idx="722">
                  <c:v>435880</c:v>
                </c:pt>
                <c:pt idx="723">
                  <c:v>456870</c:v>
                </c:pt>
                <c:pt idx="724">
                  <c:v>1150000</c:v>
                </c:pt>
                <c:pt idx="725">
                  <c:v>518870.00000000006</c:v>
                </c:pt>
                <c:pt idx="726">
                  <c:v>1450000</c:v>
                </c:pt>
                <c:pt idx="727">
                  <c:v>518260.00000000006</c:v>
                </c:pt>
                <c:pt idx="728">
                  <c:v>944560</c:v>
                </c:pt>
                <c:pt idx="729">
                  <c:v>943410</c:v>
                </c:pt>
                <c:pt idx="730">
                  <c:v>862490</c:v>
                </c:pt>
                <c:pt idx="731">
                  <c:v>660250</c:v>
                </c:pt>
                <c:pt idx="732">
                  <c:v>541990</c:v>
                </c:pt>
                <c:pt idx="733">
                  <c:v>584450</c:v>
                </c:pt>
                <c:pt idx="734">
                  <c:v>677000</c:v>
                </c:pt>
                <c:pt idx="735">
                  <c:v>338210</c:v>
                </c:pt>
                <c:pt idx="736">
                  <c:v>771550</c:v>
                </c:pt>
                <c:pt idx="737">
                  <c:v>890120</c:v>
                </c:pt>
                <c:pt idx="738">
                  <c:v>711010</c:v>
                </c:pt>
                <c:pt idx="739">
                  <c:v>485200</c:v>
                </c:pt>
                <c:pt idx="740">
                  <c:v>613150</c:v>
                </c:pt>
                <c:pt idx="741">
                  <c:v>581960</c:v>
                </c:pt>
                <c:pt idx="742">
                  <c:v>530290</c:v>
                </c:pt>
                <c:pt idx="743">
                  <c:v>422130</c:v>
                </c:pt>
                <c:pt idx="744">
                  <c:v>318720</c:v>
                </c:pt>
                <c:pt idx="745">
                  <c:v>881070</c:v>
                </c:pt>
                <c:pt idx="746">
                  <c:v>663450</c:v>
                </c:pt>
                <c:pt idx="747">
                  <c:v>381580</c:v>
                </c:pt>
                <c:pt idx="748">
                  <c:v>323240</c:v>
                </c:pt>
                <c:pt idx="749">
                  <c:v>372620</c:v>
                </c:pt>
                <c:pt idx="750">
                  <c:v>383750</c:v>
                </c:pt>
                <c:pt idx="751">
                  <c:v>242110</c:v>
                </c:pt>
                <c:pt idx="752">
                  <c:v>391800</c:v>
                </c:pt>
                <c:pt idx="753">
                  <c:v>607830</c:v>
                </c:pt>
                <c:pt idx="754">
                  <c:v>856150</c:v>
                </c:pt>
                <c:pt idx="755">
                  <c:v>690120</c:v>
                </c:pt>
                <c:pt idx="756">
                  <c:v>964660</c:v>
                </c:pt>
                <c:pt idx="757">
                  <c:v>653370</c:v>
                </c:pt>
                <c:pt idx="758">
                  <c:v>495810</c:v>
                </c:pt>
                <c:pt idx="759">
                  <c:v>330810</c:v>
                </c:pt>
                <c:pt idx="760">
                  <c:v>320900</c:v>
                </c:pt>
                <c:pt idx="761">
                  <c:v>389880</c:v>
                </c:pt>
                <c:pt idx="762">
                  <c:v>424690</c:v>
                </c:pt>
                <c:pt idx="763">
                  <c:v>367440</c:v>
                </c:pt>
                <c:pt idx="764">
                  <c:v>353060</c:v>
                </c:pt>
                <c:pt idx="765">
                  <c:v>627910</c:v>
                </c:pt>
                <c:pt idx="766">
                  <c:v>656400</c:v>
                </c:pt>
                <c:pt idx="767">
                  <c:v>612160</c:v>
                </c:pt>
                <c:pt idx="768">
                  <c:v>885330</c:v>
                </c:pt>
                <c:pt idx="769">
                  <c:v>613270</c:v>
                </c:pt>
                <c:pt idx="770">
                  <c:v>500040.00000000006</c:v>
                </c:pt>
                <c:pt idx="771">
                  <c:v>346030</c:v>
                </c:pt>
                <c:pt idx="772">
                  <c:v>447240</c:v>
                </c:pt>
                <c:pt idx="773">
                  <c:v>378310</c:v>
                </c:pt>
                <c:pt idx="774">
                  <c:v>265010</c:v>
                </c:pt>
                <c:pt idx="775">
                  <c:v>328750</c:v>
                </c:pt>
                <c:pt idx="776">
                  <c:v>405140</c:v>
                </c:pt>
                <c:pt idx="777">
                  <c:v>1520000</c:v>
                </c:pt>
                <c:pt idx="778">
                  <c:v>2089999.9999999998</c:v>
                </c:pt>
                <c:pt idx="779">
                  <c:v>679170</c:v>
                </c:pt>
                <c:pt idx="780">
                  <c:v>491320</c:v>
                </c:pt>
                <c:pt idx="781">
                  <c:v>515900</c:v>
                </c:pt>
                <c:pt idx="782">
                  <c:v>494120</c:v>
                </c:pt>
                <c:pt idx="783">
                  <c:v>570380</c:v>
                </c:pt>
                <c:pt idx="784">
                  <c:v>527730</c:v>
                </c:pt>
                <c:pt idx="785">
                  <c:v>684030</c:v>
                </c:pt>
                <c:pt idx="786">
                  <c:v>482530</c:v>
                </c:pt>
                <c:pt idx="787">
                  <c:v>974100</c:v>
                </c:pt>
                <c:pt idx="788">
                  <c:v>522390</c:v>
                </c:pt>
                <c:pt idx="789">
                  <c:v>970570</c:v>
                </c:pt>
                <c:pt idx="790">
                  <c:v>337280</c:v>
                </c:pt>
                <c:pt idx="791">
                  <c:v>362690</c:v>
                </c:pt>
                <c:pt idx="792">
                  <c:v>657260</c:v>
                </c:pt>
                <c:pt idx="793">
                  <c:v>419730</c:v>
                </c:pt>
                <c:pt idx="794">
                  <c:v>362000</c:v>
                </c:pt>
                <c:pt idx="795">
                  <c:v>351240</c:v>
                </c:pt>
                <c:pt idx="796">
                  <c:v>727500</c:v>
                </c:pt>
                <c:pt idx="797">
                  <c:v>288930</c:v>
                </c:pt>
                <c:pt idx="798">
                  <c:v>439610</c:v>
                </c:pt>
                <c:pt idx="799">
                  <c:v>692630</c:v>
                </c:pt>
                <c:pt idx="800">
                  <c:v>561180</c:v>
                </c:pt>
                <c:pt idx="801">
                  <c:v>490090</c:v>
                </c:pt>
                <c:pt idx="802">
                  <c:v>222880</c:v>
                </c:pt>
                <c:pt idx="803">
                  <c:v>379190</c:v>
                </c:pt>
                <c:pt idx="804">
                  <c:v>542970</c:v>
                </c:pt>
                <c:pt idx="805">
                  <c:v>375290</c:v>
                </c:pt>
                <c:pt idx="806">
                  <c:v>1080000</c:v>
                </c:pt>
                <c:pt idx="807">
                  <c:v>765290</c:v>
                </c:pt>
                <c:pt idx="808">
                  <c:v>546110</c:v>
                </c:pt>
                <c:pt idx="809">
                  <c:v>1170000</c:v>
                </c:pt>
                <c:pt idx="810">
                  <c:v>1030000</c:v>
                </c:pt>
                <c:pt idx="811">
                  <c:v>586850</c:v>
                </c:pt>
                <c:pt idx="812">
                  <c:v>416880</c:v>
                </c:pt>
                <c:pt idx="813">
                  <c:v>618390</c:v>
                </c:pt>
                <c:pt idx="814">
                  <c:v>746280</c:v>
                </c:pt>
                <c:pt idx="815">
                  <c:v>1340000</c:v>
                </c:pt>
                <c:pt idx="816">
                  <c:v>539980</c:v>
                </c:pt>
                <c:pt idx="817">
                  <c:v>577510</c:v>
                </c:pt>
                <c:pt idx="818">
                  <c:v>646160</c:v>
                </c:pt>
                <c:pt idx="819">
                  <c:v>483670</c:v>
                </c:pt>
                <c:pt idx="820">
                  <c:v>443740</c:v>
                </c:pt>
                <c:pt idx="821">
                  <c:v>379320</c:v>
                </c:pt>
                <c:pt idx="822">
                  <c:v>574540</c:v>
                </c:pt>
                <c:pt idx="823">
                  <c:v>881680</c:v>
                </c:pt>
                <c:pt idx="824">
                  <c:v>464410</c:v>
                </c:pt>
                <c:pt idx="825">
                  <c:v>416240</c:v>
                </c:pt>
                <c:pt idx="826">
                  <c:v>838720</c:v>
                </c:pt>
                <c:pt idx="827">
                  <c:v>577760</c:v>
                </c:pt>
                <c:pt idx="828">
                  <c:v>325540</c:v>
                </c:pt>
                <c:pt idx="829">
                  <c:v>518150</c:v>
                </c:pt>
                <c:pt idx="830">
                  <c:v>322910</c:v>
                </c:pt>
                <c:pt idx="831">
                  <c:v>347390</c:v>
                </c:pt>
                <c:pt idx="832">
                  <c:v>386750</c:v>
                </c:pt>
                <c:pt idx="833">
                  <c:v>408410</c:v>
                </c:pt>
                <c:pt idx="834">
                  <c:v>3670000</c:v>
                </c:pt>
                <c:pt idx="835">
                  <c:v>1270000</c:v>
                </c:pt>
                <c:pt idx="836">
                  <c:v>1040000</c:v>
                </c:pt>
                <c:pt idx="837">
                  <c:v>755790</c:v>
                </c:pt>
                <c:pt idx="838">
                  <c:v>1240000</c:v>
                </c:pt>
                <c:pt idx="839">
                  <c:v>762690</c:v>
                </c:pt>
                <c:pt idx="840">
                  <c:v>303120</c:v>
                </c:pt>
                <c:pt idx="841">
                  <c:v>374270</c:v>
                </c:pt>
                <c:pt idx="842">
                  <c:v>374040</c:v>
                </c:pt>
                <c:pt idx="843">
                  <c:v>725890</c:v>
                </c:pt>
                <c:pt idx="844">
                  <c:v>394990</c:v>
                </c:pt>
                <c:pt idx="845">
                  <c:v>516719.99999999994</c:v>
                </c:pt>
                <c:pt idx="846">
                  <c:v>598100</c:v>
                </c:pt>
                <c:pt idx="847">
                  <c:v>1190000</c:v>
                </c:pt>
                <c:pt idx="848">
                  <c:v>622440</c:v>
                </c:pt>
                <c:pt idx="849">
                  <c:v>987420</c:v>
                </c:pt>
                <c:pt idx="850">
                  <c:v>340660</c:v>
                </c:pt>
                <c:pt idx="851">
                  <c:v>385910</c:v>
                </c:pt>
                <c:pt idx="852">
                  <c:v>342010</c:v>
                </c:pt>
                <c:pt idx="853">
                  <c:v>511179.99999999994</c:v>
                </c:pt>
                <c:pt idx="854">
                  <c:v>447350</c:v>
                </c:pt>
                <c:pt idx="855">
                  <c:v>358860</c:v>
                </c:pt>
                <c:pt idx="856">
                  <c:v>612120</c:v>
                </c:pt>
                <c:pt idx="857">
                  <c:v>456600</c:v>
                </c:pt>
                <c:pt idx="858">
                  <c:v>428890</c:v>
                </c:pt>
                <c:pt idx="859">
                  <c:v>610090</c:v>
                </c:pt>
                <c:pt idx="860">
                  <c:v>336010</c:v>
                </c:pt>
                <c:pt idx="861">
                  <c:v>378560</c:v>
                </c:pt>
                <c:pt idx="862">
                  <c:v>538050</c:v>
                </c:pt>
                <c:pt idx="863">
                  <c:v>559680</c:v>
                </c:pt>
                <c:pt idx="864">
                  <c:v>281640</c:v>
                </c:pt>
                <c:pt idx="865">
                  <c:v>346200</c:v>
                </c:pt>
                <c:pt idx="866">
                  <c:v>336520</c:v>
                </c:pt>
                <c:pt idx="867">
                  <c:v>657120</c:v>
                </c:pt>
                <c:pt idx="868">
                  <c:v>712380</c:v>
                </c:pt>
                <c:pt idx="869">
                  <c:v>734330</c:v>
                </c:pt>
                <c:pt idx="870">
                  <c:v>4120000</c:v>
                </c:pt>
                <c:pt idx="871">
                  <c:v>2930000</c:v>
                </c:pt>
                <c:pt idx="872">
                  <c:v>3840000</c:v>
                </c:pt>
                <c:pt idx="873">
                  <c:v>2100000</c:v>
                </c:pt>
                <c:pt idx="874">
                  <c:v>1780000</c:v>
                </c:pt>
                <c:pt idx="875">
                  <c:v>1430000</c:v>
                </c:pt>
                <c:pt idx="876">
                  <c:v>1570000</c:v>
                </c:pt>
                <c:pt idx="877">
                  <c:v>1050000</c:v>
                </c:pt>
                <c:pt idx="878">
                  <c:v>1580000</c:v>
                </c:pt>
                <c:pt idx="879">
                  <c:v>1560000</c:v>
                </c:pt>
                <c:pt idx="880">
                  <c:v>743050</c:v>
                </c:pt>
                <c:pt idx="881">
                  <c:v>658760</c:v>
                </c:pt>
                <c:pt idx="882">
                  <c:v>684860</c:v>
                </c:pt>
                <c:pt idx="883">
                  <c:v>536480</c:v>
                </c:pt>
                <c:pt idx="884">
                  <c:v>517009.99999999994</c:v>
                </c:pt>
                <c:pt idx="885">
                  <c:v>865630</c:v>
                </c:pt>
                <c:pt idx="886">
                  <c:v>552960</c:v>
                </c:pt>
                <c:pt idx="887">
                  <c:v>748690</c:v>
                </c:pt>
                <c:pt idx="888">
                  <c:v>338430</c:v>
                </c:pt>
                <c:pt idx="889">
                  <c:v>485770</c:v>
                </c:pt>
                <c:pt idx="890">
                  <c:v>1040000</c:v>
                </c:pt>
                <c:pt idx="891">
                  <c:v>1170000</c:v>
                </c:pt>
                <c:pt idx="892">
                  <c:v>601720</c:v>
                </c:pt>
                <c:pt idx="893">
                  <c:v>1240000</c:v>
                </c:pt>
                <c:pt idx="894">
                  <c:v>438970</c:v>
                </c:pt>
                <c:pt idx="895">
                  <c:v>881720</c:v>
                </c:pt>
                <c:pt idx="896">
                  <c:v>1100000</c:v>
                </c:pt>
                <c:pt idx="897">
                  <c:v>640760</c:v>
                </c:pt>
                <c:pt idx="898">
                  <c:v>366410</c:v>
                </c:pt>
                <c:pt idx="899">
                  <c:v>650030</c:v>
                </c:pt>
                <c:pt idx="900">
                  <c:v>502270</c:v>
                </c:pt>
                <c:pt idx="901">
                  <c:v>484580</c:v>
                </c:pt>
                <c:pt idx="902">
                  <c:v>680220</c:v>
                </c:pt>
                <c:pt idx="903">
                  <c:v>407890</c:v>
                </c:pt>
                <c:pt idx="904">
                  <c:v>343010</c:v>
                </c:pt>
                <c:pt idx="905">
                  <c:v>347740</c:v>
                </c:pt>
                <c:pt idx="906">
                  <c:v>840230</c:v>
                </c:pt>
                <c:pt idx="907">
                  <c:v>463510</c:v>
                </c:pt>
                <c:pt idx="908">
                  <c:v>329660</c:v>
                </c:pt>
                <c:pt idx="909">
                  <c:v>271580</c:v>
                </c:pt>
                <c:pt idx="910">
                  <c:v>903100</c:v>
                </c:pt>
                <c:pt idx="911">
                  <c:v>835740</c:v>
                </c:pt>
                <c:pt idx="912">
                  <c:v>691510</c:v>
                </c:pt>
                <c:pt idx="913">
                  <c:v>661740</c:v>
                </c:pt>
                <c:pt idx="914">
                  <c:v>374900</c:v>
                </c:pt>
                <c:pt idx="915">
                  <c:v>431090</c:v>
                </c:pt>
                <c:pt idx="916">
                  <c:v>334700</c:v>
                </c:pt>
                <c:pt idx="917">
                  <c:v>448500</c:v>
                </c:pt>
                <c:pt idx="918">
                  <c:v>544360</c:v>
                </c:pt>
                <c:pt idx="919">
                  <c:v>446510</c:v>
                </c:pt>
                <c:pt idx="920">
                  <c:v>820180</c:v>
                </c:pt>
                <c:pt idx="921">
                  <c:v>436340</c:v>
                </c:pt>
                <c:pt idx="922">
                  <c:v>1170000</c:v>
                </c:pt>
                <c:pt idx="923">
                  <c:v>596380</c:v>
                </c:pt>
                <c:pt idx="924">
                  <c:v>547810</c:v>
                </c:pt>
                <c:pt idx="925">
                  <c:v>477580</c:v>
                </c:pt>
                <c:pt idx="926">
                  <c:v>393520</c:v>
                </c:pt>
                <c:pt idx="927">
                  <c:v>309700</c:v>
                </c:pt>
                <c:pt idx="928">
                  <c:v>2180000</c:v>
                </c:pt>
                <c:pt idx="929">
                  <c:v>552570</c:v>
                </c:pt>
                <c:pt idx="930">
                  <c:v>608160</c:v>
                </c:pt>
                <c:pt idx="931">
                  <c:v>515009.99999999994</c:v>
                </c:pt>
                <c:pt idx="932">
                  <c:v>1350000</c:v>
                </c:pt>
                <c:pt idx="933">
                  <c:v>566980</c:v>
                </c:pt>
                <c:pt idx="934">
                  <c:v>394670</c:v>
                </c:pt>
                <c:pt idx="935">
                  <c:v>249260</c:v>
                </c:pt>
                <c:pt idx="936">
                  <c:v>471290</c:v>
                </c:pt>
                <c:pt idx="937">
                  <c:v>206650</c:v>
                </c:pt>
                <c:pt idx="938">
                  <c:v>343470</c:v>
                </c:pt>
                <c:pt idx="939">
                  <c:v>644990</c:v>
                </c:pt>
                <c:pt idx="940">
                  <c:v>280440</c:v>
                </c:pt>
                <c:pt idx="941">
                  <c:v>147660</c:v>
                </c:pt>
                <c:pt idx="942">
                  <c:v>260329.99999999994</c:v>
                </c:pt>
                <c:pt idx="943">
                  <c:v>368550</c:v>
                </c:pt>
                <c:pt idx="944">
                  <c:v>353660</c:v>
                </c:pt>
                <c:pt idx="945">
                  <c:v>216270</c:v>
                </c:pt>
                <c:pt idx="946">
                  <c:v>211290</c:v>
                </c:pt>
                <c:pt idx="947">
                  <c:v>354130</c:v>
                </c:pt>
                <c:pt idx="948">
                  <c:v>428620</c:v>
                </c:pt>
                <c:pt idx="949">
                  <c:v>293100</c:v>
                </c:pt>
                <c:pt idx="950">
                  <c:v>257390</c:v>
                </c:pt>
                <c:pt idx="951">
                  <c:v>409350</c:v>
                </c:pt>
                <c:pt idx="952">
                  <c:v>325630</c:v>
                </c:pt>
                <c:pt idx="953">
                  <c:v>493380</c:v>
                </c:pt>
                <c:pt idx="954">
                  <c:v>568460</c:v>
                </c:pt>
                <c:pt idx="955">
                  <c:v>722080</c:v>
                </c:pt>
                <c:pt idx="956">
                  <c:v>335440</c:v>
                </c:pt>
                <c:pt idx="957">
                  <c:v>393480</c:v>
                </c:pt>
                <c:pt idx="958">
                  <c:v>538780</c:v>
                </c:pt>
                <c:pt idx="959">
                  <c:v>259240.00000000003</c:v>
                </c:pt>
                <c:pt idx="960">
                  <c:v>113460</c:v>
                </c:pt>
                <c:pt idx="961">
                  <c:v>875890</c:v>
                </c:pt>
                <c:pt idx="962">
                  <c:v>1910000</c:v>
                </c:pt>
                <c:pt idx="963">
                  <c:v>755580</c:v>
                </c:pt>
                <c:pt idx="964">
                  <c:v>476360</c:v>
                </c:pt>
                <c:pt idx="965">
                  <c:v>249900</c:v>
                </c:pt>
                <c:pt idx="966">
                  <c:v>260480.00000000006</c:v>
                </c:pt>
                <c:pt idx="967">
                  <c:v>286190</c:v>
                </c:pt>
                <c:pt idx="968">
                  <c:v>764500</c:v>
                </c:pt>
                <c:pt idx="969">
                  <c:v>266310</c:v>
                </c:pt>
                <c:pt idx="970">
                  <c:v>505270</c:v>
                </c:pt>
                <c:pt idx="971">
                  <c:v>414180</c:v>
                </c:pt>
                <c:pt idx="972">
                  <c:v>1340000</c:v>
                </c:pt>
                <c:pt idx="973">
                  <c:v>683210</c:v>
                </c:pt>
                <c:pt idx="974">
                  <c:v>2820000</c:v>
                </c:pt>
                <c:pt idx="975">
                  <c:v>1050000</c:v>
                </c:pt>
                <c:pt idx="976">
                  <c:v>941570</c:v>
                </c:pt>
                <c:pt idx="977">
                  <c:v>699550</c:v>
                </c:pt>
                <c:pt idx="978">
                  <c:v>334250</c:v>
                </c:pt>
                <c:pt idx="979">
                  <c:v>534580</c:v>
                </c:pt>
                <c:pt idx="980">
                  <c:v>981120</c:v>
                </c:pt>
                <c:pt idx="981">
                  <c:v>707210</c:v>
                </c:pt>
                <c:pt idx="982">
                  <c:v>922660</c:v>
                </c:pt>
                <c:pt idx="983">
                  <c:v>954930</c:v>
                </c:pt>
                <c:pt idx="984">
                  <c:v>886620</c:v>
                </c:pt>
                <c:pt idx="985">
                  <c:v>328370</c:v>
                </c:pt>
                <c:pt idx="986">
                  <c:v>557210</c:v>
                </c:pt>
                <c:pt idx="987">
                  <c:v>445650</c:v>
                </c:pt>
                <c:pt idx="988">
                  <c:v>309910</c:v>
                </c:pt>
                <c:pt idx="989">
                  <c:v>475110</c:v>
                </c:pt>
                <c:pt idx="990">
                  <c:v>385940</c:v>
                </c:pt>
                <c:pt idx="991">
                  <c:v>450480</c:v>
                </c:pt>
                <c:pt idx="992">
                  <c:v>673950</c:v>
                </c:pt>
                <c:pt idx="993">
                  <c:v>763450</c:v>
                </c:pt>
                <c:pt idx="994">
                  <c:v>1220000</c:v>
                </c:pt>
                <c:pt idx="995">
                  <c:v>435450</c:v>
                </c:pt>
                <c:pt idx="996">
                  <c:v>425700</c:v>
                </c:pt>
                <c:pt idx="997">
                  <c:v>402100</c:v>
                </c:pt>
                <c:pt idx="998">
                  <c:v>401260</c:v>
                </c:pt>
                <c:pt idx="999">
                  <c:v>411460</c:v>
                </c:pt>
                <c:pt idx="1000">
                  <c:v>577500</c:v>
                </c:pt>
                <c:pt idx="1001">
                  <c:v>378240</c:v>
                </c:pt>
                <c:pt idx="1002">
                  <c:v>220410</c:v>
                </c:pt>
                <c:pt idx="1003">
                  <c:v>364330</c:v>
                </c:pt>
                <c:pt idx="1004">
                  <c:v>519200.00000000012</c:v>
                </c:pt>
                <c:pt idx="1005">
                  <c:v>585280</c:v>
                </c:pt>
                <c:pt idx="1006">
                  <c:v>583930</c:v>
                </c:pt>
                <c:pt idx="1007">
                  <c:v>894470</c:v>
                </c:pt>
                <c:pt idx="1008">
                  <c:v>122050</c:v>
                </c:pt>
                <c:pt idx="1009">
                  <c:v>823430</c:v>
                </c:pt>
                <c:pt idx="1010">
                  <c:v>1320000</c:v>
                </c:pt>
                <c:pt idx="1011">
                  <c:v>699430</c:v>
                </c:pt>
                <c:pt idx="1012">
                  <c:v>936430</c:v>
                </c:pt>
                <c:pt idx="1013">
                  <c:v>612060</c:v>
                </c:pt>
                <c:pt idx="1014">
                  <c:v>759820</c:v>
                </c:pt>
                <c:pt idx="1015">
                  <c:v>1310000</c:v>
                </c:pt>
                <c:pt idx="1016">
                  <c:v>872010</c:v>
                </c:pt>
                <c:pt idx="1017">
                  <c:v>592180</c:v>
                </c:pt>
                <c:pt idx="1018">
                  <c:v>470710</c:v>
                </c:pt>
                <c:pt idx="1019">
                  <c:v>416770</c:v>
                </c:pt>
                <c:pt idx="1020">
                  <c:v>404900</c:v>
                </c:pt>
                <c:pt idx="1021">
                  <c:v>396730</c:v>
                </c:pt>
                <c:pt idx="1022">
                  <c:v>237340</c:v>
                </c:pt>
                <c:pt idx="1023">
                  <c:v>633020</c:v>
                </c:pt>
                <c:pt idx="1024">
                  <c:v>919710</c:v>
                </c:pt>
                <c:pt idx="1025">
                  <c:v>405630</c:v>
                </c:pt>
                <c:pt idx="1026">
                  <c:v>634010</c:v>
                </c:pt>
                <c:pt idx="1027">
                  <c:v>267830</c:v>
                </c:pt>
                <c:pt idx="1028">
                  <c:v>1320000</c:v>
                </c:pt>
                <c:pt idx="1029">
                  <c:v>575380</c:v>
                </c:pt>
                <c:pt idx="1030">
                  <c:v>1130000</c:v>
                </c:pt>
                <c:pt idx="1031">
                  <c:v>572000</c:v>
                </c:pt>
                <c:pt idx="1032">
                  <c:v>474470</c:v>
                </c:pt>
                <c:pt idx="1033">
                  <c:v>579400</c:v>
                </c:pt>
                <c:pt idx="1034">
                  <c:v>658950</c:v>
                </c:pt>
                <c:pt idx="1035">
                  <c:v>1020000</c:v>
                </c:pt>
                <c:pt idx="1036">
                  <c:v>665950</c:v>
                </c:pt>
                <c:pt idx="1037">
                  <c:v>17700</c:v>
                </c:pt>
                <c:pt idx="1038">
                  <c:v>641250</c:v>
                </c:pt>
                <c:pt idx="1039">
                  <c:v>591290</c:v>
                </c:pt>
                <c:pt idx="1040">
                  <c:v>315400</c:v>
                </c:pt>
                <c:pt idx="1041">
                  <c:v>734240</c:v>
                </c:pt>
                <c:pt idx="1042">
                  <c:v>373340</c:v>
                </c:pt>
                <c:pt idx="1043">
                  <c:v>528040</c:v>
                </c:pt>
                <c:pt idx="1044">
                  <c:v>428320</c:v>
                </c:pt>
                <c:pt idx="1045">
                  <c:v>720950</c:v>
                </c:pt>
                <c:pt idx="1046">
                  <c:v>487750</c:v>
                </c:pt>
                <c:pt idx="1047">
                  <c:v>533170</c:v>
                </c:pt>
                <c:pt idx="1048">
                  <c:v>559400</c:v>
                </c:pt>
                <c:pt idx="1049">
                  <c:v>3050000</c:v>
                </c:pt>
                <c:pt idx="1050">
                  <c:v>838930</c:v>
                </c:pt>
                <c:pt idx="1051">
                  <c:v>1030000</c:v>
                </c:pt>
                <c:pt idx="1052">
                  <c:v>772160</c:v>
                </c:pt>
                <c:pt idx="1053">
                  <c:v>510950</c:v>
                </c:pt>
                <c:pt idx="1054">
                  <c:v>1310000</c:v>
                </c:pt>
                <c:pt idx="1055">
                  <c:v>532520</c:v>
                </c:pt>
                <c:pt idx="1056">
                  <c:v>485050</c:v>
                </c:pt>
                <c:pt idx="1057">
                  <c:v>392460</c:v>
                </c:pt>
                <c:pt idx="1058">
                  <c:v>932480</c:v>
                </c:pt>
                <c:pt idx="1059">
                  <c:v>537210</c:v>
                </c:pt>
                <c:pt idx="1060">
                  <c:v>2170000</c:v>
                </c:pt>
                <c:pt idx="1061">
                  <c:v>970660</c:v>
                </c:pt>
                <c:pt idx="1062">
                  <c:v>1020000</c:v>
                </c:pt>
                <c:pt idx="1063">
                  <c:v>1130000</c:v>
                </c:pt>
                <c:pt idx="1064">
                  <c:v>860130</c:v>
                </c:pt>
                <c:pt idx="1065">
                  <c:v>1470000</c:v>
                </c:pt>
                <c:pt idx="1066">
                  <c:v>1320000</c:v>
                </c:pt>
                <c:pt idx="1067">
                  <c:v>719000</c:v>
                </c:pt>
                <c:pt idx="1068">
                  <c:v>781220</c:v>
                </c:pt>
                <c:pt idx="1069">
                  <c:v>740620</c:v>
                </c:pt>
                <c:pt idx="1070">
                  <c:v>919640</c:v>
                </c:pt>
                <c:pt idx="1071">
                  <c:v>1260000</c:v>
                </c:pt>
                <c:pt idx="1072">
                  <c:v>364190</c:v>
                </c:pt>
                <c:pt idx="1073">
                  <c:v>465910</c:v>
                </c:pt>
                <c:pt idx="1074">
                  <c:v>663750</c:v>
                </c:pt>
                <c:pt idx="1075">
                  <c:v>908140</c:v>
                </c:pt>
                <c:pt idx="1076">
                  <c:v>562480</c:v>
                </c:pt>
                <c:pt idx="1077">
                  <c:v>716540</c:v>
                </c:pt>
                <c:pt idx="1078">
                  <c:v>505030</c:v>
                </c:pt>
                <c:pt idx="1079">
                  <c:v>613160</c:v>
                </c:pt>
                <c:pt idx="1080">
                  <c:v>980280</c:v>
                </c:pt>
                <c:pt idx="1081">
                  <c:v>471150</c:v>
                </c:pt>
                <c:pt idx="1082">
                  <c:v>1740000</c:v>
                </c:pt>
                <c:pt idx="1083">
                  <c:v>870040</c:v>
                </c:pt>
                <c:pt idx="1084">
                  <c:v>1080000</c:v>
                </c:pt>
                <c:pt idx="1085">
                  <c:v>845650</c:v>
                </c:pt>
                <c:pt idx="1086">
                  <c:v>287570</c:v>
                </c:pt>
                <c:pt idx="1087">
                  <c:v>23600</c:v>
                </c:pt>
                <c:pt idx="1088">
                  <c:v>500739.99999999994</c:v>
                </c:pt>
                <c:pt idx="1089">
                  <c:v>201190</c:v>
                </c:pt>
                <c:pt idx="1090">
                  <c:v>922930</c:v>
                </c:pt>
                <c:pt idx="1091">
                  <c:v>545730</c:v>
                </c:pt>
                <c:pt idx="1092">
                  <c:v>655640</c:v>
                </c:pt>
                <c:pt idx="1093">
                  <c:v>333510</c:v>
                </c:pt>
                <c:pt idx="1094">
                  <c:v>548870</c:v>
                </c:pt>
                <c:pt idx="1095">
                  <c:v>431390</c:v>
                </c:pt>
                <c:pt idx="1096">
                  <c:v>1140000</c:v>
                </c:pt>
                <c:pt idx="1097">
                  <c:v>1070000</c:v>
                </c:pt>
                <c:pt idx="1098">
                  <c:v>920930</c:v>
                </c:pt>
                <c:pt idx="1099">
                  <c:v>468060</c:v>
                </c:pt>
                <c:pt idx="1100">
                  <c:v>748920</c:v>
                </c:pt>
                <c:pt idx="1101">
                  <c:v>419420</c:v>
                </c:pt>
                <c:pt idx="1102">
                  <c:v>301650</c:v>
                </c:pt>
                <c:pt idx="1103">
                  <c:v>733970</c:v>
                </c:pt>
                <c:pt idx="1104">
                  <c:v>523150</c:v>
                </c:pt>
                <c:pt idx="1105">
                  <c:v>840780</c:v>
                </c:pt>
                <c:pt idx="1106">
                  <c:v>549130</c:v>
                </c:pt>
                <c:pt idx="1107">
                  <c:v>706640</c:v>
                </c:pt>
                <c:pt idx="1108">
                  <c:v>652620</c:v>
                </c:pt>
                <c:pt idx="1109">
                  <c:v>637360</c:v>
                </c:pt>
                <c:pt idx="1110">
                  <c:v>414680</c:v>
                </c:pt>
                <c:pt idx="1111">
                  <c:v>302470</c:v>
                </c:pt>
                <c:pt idx="1112">
                  <c:v>660140</c:v>
                </c:pt>
                <c:pt idx="1113">
                  <c:v>600780</c:v>
                </c:pt>
                <c:pt idx="1114">
                  <c:v>1090000</c:v>
                </c:pt>
                <c:pt idx="1115">
                  <c:v>939280</c:v>
                </c:pt>
                <c:pt idx="1116">
                  <c:v>1360000</c:v>
                </c:pt>
                <c:pt idx="1117">
                  <c:v>865320</c:v>
                </c:pt>
                <c:pt idx="1118">
                  <c:v>257359.99999999997</c:v>
                </c:pt>
                <c:pt idx="1119">
                  <c:v>313150</c:v>
                </c:pt>
                <c:pt idx="1120">
                  <c:v>258689.99999999997</c:v>
                </c:pt>
                <c:pt idx="1121">
                  <c:v>542470</c:v>
                </c:pt>
                <c:pt idx="1122">
                  <c:v>631370</c:v>
                </c:pt>
                <c:pt idx="1123">
                  <c:v>832010</c:v>
                </c:pt>
                <c:pt idx="1124">
                  <c:v>308710</c:v>
                </c:pt>
                <c:pt idx="1125">
                  <c:v>290820</c:v>
                </c:pt>
                <c:pt idx="1126">
                  <c:v>223490</c:v>
                </c:pt>
                <c:pt idx="1127">
                  <c:v>664540</c:v>
                </c:pt>
                <c:pt idx="1128">
                  <c:v>773060</c:v>
                </c:pt>
                <c:pt idx="1129">
                  <c:v>662970</c:v>
                </c:pt>
                <c:pt idx="1130">
                  <c:v>377890</c:v>
                </c:pt>
                <c:pt idx="1131">
                  <c:v>1130000</c:v>
                </c:pt>
                <c:pt idx="1132">
                  <c:v>400080</c:v>
                </c:pt>
                <c:pt idx="1133">
                  <c:v>413860</c:v>
                </c:pt>
                <c:pt idx="1134">
                  <c:v>625670</c:v>
                </c:pt>
                <c:pt idx="1135">
                  <c:v>338480</c:v>
                </c:pt>
                <c:pt idx="1136">
                  <c:v>683440</c:v>
                </c:pt>
                <c:pt idx="1137">
                  <c:v>567280</c:v>
                </c:pt>
                <c:pt idx="1138">
                  <c:v>654660</c:v>
                </c:pt>
                <c:pt idx="1139">
                  <c:v>2120000</c:v>
                </c:pt>
                <c:pt idx="1140">
                  <c:v>946320</c:v>
                </c:pt>
                <c:pt idx="1141">
                  <c:v>594240</c:v>
                </c:pt>
                <c:pt idx="1142">
                  <c:v>1090000</c:v>
                </c:pt>
                <c:pt idx="1143">
                  <c:v>979440</c:v>
                </c:pt>
                <c:pt idx="1144">
                  <c:v>1700000</c:v>
                </c:pt>
                <c:pt idx="1145">
                  <c:v>738630</c:v>
                </c:pt>
                <c:pt idx="1146">
                  <c:v>194850</c:v>
                </c:pt>
                <c:pt idx="1147">
                  <c:v>328800</c:v>
                </c:pt>
                <c:pt idx="1148">
                  <c:v>259100.00000000006</c:v>
                </c:pt>
                <c:pt idx="1149">
                  <c:v>280720</c:v>
                </c:pt>
                <c:pt idx="1150">
                  <c:v>523510.00000000006</c:v>
                </c:pt>
                <c:pt idx="1151">
                  <c:v>221440</c:v>
                </c:pt>
                <c:pt idx="1152">
                  <c:v>536370</c:v>
                </c:pt>
                <c:pt idx="1153">
                  <c:v>208410</c:v>
                </c:pt>
                <c:pt idx="1154">
                  <c:v>314430</c:v>
                </c:pt>
                <c:pt idx="1155">
                  <c:v>382110</c:v>
                </c:pt>
                <c:pt idx="1156">
                  <c:v>424480</c:v>
                </c:pt>
                <c:pt idx="1157">
                  <c:v>571340</c:v>
                </c:pt>
                <c:pt idx="1158">
                  <c:v>465200</c:v>
                </c:pt>
                <c:pt idx="1159">
                  <c:v>310780</c:v>
                </c:pt>
                <c:pt idx="1160">
                  <c:v>263400</c:v>
                </c:pt>
                <c:pt idx="1161">
                  <c:v>476840</c:v>
                </c:pt>
                <c:pt idx="1162">
                  <c:v>398340</c:v>
                </c:pt>
                <c:pt idx="1163">
                  <c:v>291110</c:v>
                </c:pt>
                <c:pt idx="1164">
                  <c:v>272440</c:v>
                </c:pt>
                <c:pt idx="1165">
                  <c:v>404100</c:v>
                </c:pt>
                <c:pt idx="1166">
                  <c:v>384210</c:v>
                </c:pt>
                <c:pt idx="1167">
                  <c:v>757320</c:v>
                </c:pt>
                <c:pt idx="1168">
                  <c:v>315870</c:v>
                </c:pt>
                <c:pt idx="1169">
                  <c:v>453830</c:v>
                </c:pt>
                <c:pt idx="1170">
                  <c:v>356440</c:v>
                </c:pt>
                <c:pt idx="1171">
                  <c:v>295360</c:v>
                </c:pt>
                <c:pt idx="1172">
                  <c:v>357210</c:v>
                </c:pt>
                <c:pt idx="1173">
                  <c:v>1330000</c:v>
                </c:pt>
                <c:pt idx="1174">
                  <c:v>899950</c:v>
                </c:pt>
                <c:pt idx="1175">
                  <c:v>481700</c:v>
                </c:pt>
                <c:pt idx="1176">
                  <c:v>665990</c:v>
                </c:pt>
                <c:pt idx="1177">
                  <c:v>790350</c:v>
                </c:pt>
                <c:pt idx="1178">
                  <c:v>1040000</c:v>
                </c:pt>
                <c:pt idx="1179">
                  <c:v>516970.00000000006</c:v>
                </c:pt>
                <c:pt idx="1180">
                  <c:v>449000</c:v>
                </c:pt>
                <c:pt idx="1181">
                  <c:v>1340000</c:v>
                </c:pt>
                <c:pt idx="1182">
                  <c:v>466000</c:v>
                </c:pt>
                <c:pt idx="1183">
                  <c:v>447520</c:v>
                </c:pt>
                <c:pt idx="1184">
                  <c:v>661110</c:v>
                </c:pt>
                <c:pt idx="1185">
                  <c:v>930720</c:v>
                </c:pt>
                <c:pt idx="1186">
                  <c:v>305740</c:v>
                </c:pt>
                <c:pt idx="1187">
                  <c:v>844930</c:v>
                </c:pt>
                <c:pt idx="1188">
                  <c:v>346430</c:v>
                </c:pt>
                <c:pt idx="1189">
                  <c:v>370220</c:v>
                </c:pt>
                <c:pt idx="1190">
                  <c:v>380470</c:v>
                </c:pt>
                <c:pt idx="1191">
                  <c:v>514240.00000000006</c:v>
                </c:pt>
                <c:pt idx="1192">
                  <c:v>778800</c:v>
                </c:pt>
                <c:pt idx="1193">
                  <c:v>745470</c:v>
                </c:pt>
                <c:pt idx="1194">
                  <c:v>528040</c:v>
                </c:pt>
                <c:pt idx="1195">
                  <c:v>655990</c:v>
                </c:pt>
                <c:pt idx="1196">
                  <c:v>288780</c:v>
                </c:pt>
                <c:pt idx="1197">
                  <c:v>446740</c:v>
                </c:pt>
                <c:pt idx="1198">
                  <c:v>989930</c:v>
                </c:pt>
                <c:pt idx="1199">
                  <c:v>1070000</c:v>
                </c:pt>
                <c:pt idx="1200">
                  <c:v>842330</c:v>
                </c:pt>
                <c:pt idx="1201">
                  <c:v>510070</c:v>
                </c:pt>
                <c:pt idx="1202">
                  <c:v>79730</c:v>
                </c:pt>
                <c:pt idx="1203">
                  <c:v>719170</c:v>
                </c:pt>
                <c:pt idx="1204">
                  <c:v>499980</c:v>
                </c:pt>
                <c:pt idx="1205">
                  <c:v>370360</c:v>
                </c:pt>
                <c:pt idx="1206">
                  <c:v>221550</c:v>
                </c:pt>
                <c:pt idx="1207">
                  <c:v>194770</c:v>
                </c:pt>
                <c:pt idx="1208">
                  <c:v>209240</c:v>
                </c:pt>
                <c:pt idx="1209">
                  <c:v>326020</c:v>
                </c:pt>
                <c:pt idx="1210">
                  <c:v>656930</c:v>
                </c:pt>
                <c:pt idx="1211">
                  <c:v>2870000</c:v>
                </c:pt>
                <c:pt idx="1212">
                  <c:v>494330</c:v>
                </c:pt>
                <c:pt idx="1213">
                  <c:v>452270</c:v>
                </c:pt>
                <c:pt idx="1214">
                  <c:v>593720</c:v>
                </c:pt>
                <c:pt idx="1215">
                  <c:v>339940</c:v>
                </c:pt>
                <c:pt idx="1216">
                  <c:v>945470</c:v>
                </c:pt>
                <c:pt idx="1217">
                  <c:v>564640</c:v>
                </c:pt>
                <c:pt idx="1218">
                  <c:v>189350</c:v>
                </c:pt>
                <c:pt idx="1219">
                  <c:v>954250</c:v>
                </c:pt>
                <c:pt idx="1220">
                  <c:v>407770</c:v>
                </c:pt>
                <c:pt idx="1221">
                  <c:v>250520.00000000003</c:v>
                </c:pt>
                <c:pt idx="1222">
                  <c:v>351450</c:v>
                </c:pt>
                <c:pt idx="1223">
                  <c:v>349540</c:v>
                </c:pt>
                <c:pt idx="1224">
                  <c:v>525960</c:v>
                </c:pt>
                <c:pt idx="1225">
                  <c:v>327810</c:v>
                </c:pt>
                <c:pt idx="1226">
                  <c:v>377040</c:v>
                </c:pt>
                <c:pt idx="1227">
                  <c:v>342300</c:v>
                </c:pt>
                <c:pt idx="1228">
                  <c:v>240740</c:v>
                </c:pt>
                <c:pt idx="1229">
                  <c:v>236850</c:v>
                </c:pt>
                <c:pt idx="1230">
                  <c:v>404370</c:v>
                </c:pt>
                <c:pt idx="1231">
                  <c:v>404180</c:v>
                </c:pt>
                <c:pt idx="1232">
                  <c:v>402230</c:v>
                </c:pt>
                <c:pt idx="1233">
                  <c:v>331580</c:v>
                </c:pt>
                <c:pt idx="1234">
                  <c:v>500290</c:v>
                </c:pt>
                <c:pt idx="1235">
                  <c:v>386090</c:v>
                </c:pt>
                <c:pt idx="1236">
                  <c:v>371320</c:v>
                </c:pt>
                <c:pt idx="1237">
                  <c:v>227610</c:v>
                </c:pt>
                <c:pt idx="1238">
                  <c:v>328170</c:v>
                </c:pt>
                <c:pt idx="1239">
                  <c:v>408990</c:v>
                </c:pt>
                <c:pt idx="1240">
                  <c:v>242800</c:v>
                </c:pt>
                <c:pt idx="1241">
                  <c:v>313950</c:v>
                </c:pt>
                <c:pt idx="1242">
                  <c:v>290230</c:v>
                </c:pt>
                <c:pt idx="1243">
                  <c:v>2860000</c:v>
                </c:pt>
                <c:pt idx="1244">
                  <c:v>836690</c:v>
                </c:pt>
                <c:pt idx="1245">
                  <c:v>419050</c:v>
                </c:pt>
                <c:pt idx="1246">
                  <c:v>439720</c:v>
                </c:pt>
                <c:pt idx="1247">
                  <c:v>343160</c:v>
                </c:pt>
                <c:pt idx="1248">
                  <c:v>239410</c:v>
                </c:pt>
                <c:pt idx="1249">
                  <c:v>316800</c:v>
                </c:pt>
                <c:pt idx="1250">
                  <c:v>213090</c:v>
                </c:pt>
                <c:pt idx="1251">
                  <c:v>448430</c:v>
                </c:pt>
                <c:pt idx="1252">
                  <c:v>497260</c:v>
                </c:pt>
                <c:pt idx="1253">
                  <c:v>435320</c:v>
                </c:pt>
                <c:pt idx="1254">
                  <c:v>197560</c:v>
                </c:pt>
                <c:pt idx="1255">
                  <c:v>255320</c:v>
                </c:pt>
                <c:pt idx="1256">
                  <c:v>416550</c:v>
                </c:pt>
                <c:pt idx="1257">
                  <c:v>494730</c:v>
                </c:pt>
                <c:pt idx="1258">
                  <c:v>442190</c:v>
                </c:pt>
                <c:pt idx="1259">
                  <c:v>730640</c:v>
                </c:pt>
                <c:pt idx="1260">
                  <c:v>418600</c:v>
                </c:pt>
                <c:pt idx="1261">
                  <c:v>603950</c:v>
                </c:pt>
                <c:pt idx="1262">
                  <c:v>357310</c:v>
                </c:pt>
                <c:pt idx="1263">
                  <c:v>480830</c:v>
                </c:pt>
                <c:pt idx="1264">
                  <c:v>394120</c:v>
                </c:pt>
                <c:pt idx="1265">
                  <c:v>609530</c:v>
                </c:pt>
                <c:pt idx="1266">
                  <c:v>1330000</c:v>
                </c:pt>
                <c:pt idx="1267">
                  <c:v>591630</c:v>
                </c:pt>
                <c:pt idx="1268">
                  <c:v>442230</c:v>
                </c:pt>
                <c:pt idx="1269">
                  <c:v>361000</c:v>
                </c:pt>
                <c:pt idx="1270">
                  <c:v>604380</c:v>
                </c:pt>
                <c:pt idx="1271">
                  <c:v>631820</c:v>
                </c:pt>
                <c:pt idx="1272">
                  <c:v>2270000</c:v>
                </c:pt>
                <c:pt idx="1273">
                  <c:v>813860</c:v>
                </c:pt>
                <c:pt idx="1274">
                  <c:v>571530</c:v>
                </c:pt>
                <c:pt idx="1275">
                  <c:v>476470</c:v>
                </c:pt>
                <c:pt idx="1276">
                  <c:v>232210</c:v>
                </c:pt>
                <c:pt idx="1277">
                  <c:v>254029.99999999997</c:v>
                </c:pt>
                <c:pt idx="1278">
                  <c:v>275720</c:v>
                </c:pt>
                <c:pt idx="1279">
                  <c:v>277280</c:v>
                </c:pt>
                <c:pt idx="1280">
                  <c:v>324030</c:v>
                </c:pt>
                <c:pt idx="1281">
                  <c:v>410180</c:v>
                </c:pt>
                <c:pt idx="1282">
                  <c:v>402920</c:v>
                </c:pt>
                <c:pt idx="1283">
                  <c:v>561800</c:v>
                </c:pt>
                <c:pt idx="1284">
                  <c:v>1080000</c:v>
                </c:pt>
                <c:pt idx="1285">
                  <c:v>503560</c:v>
                </c:pt>
                <c:pt idx="1286">
                  <c:v>638280</c:v>
                </c:pt>
                <c:pt idx="1287">
                  <c:v>551830</c:v>
                </c:pt>
                <c:pt idx="1288">
                  <c:v>648310</c:v>
                </c:pt>
                <c:pt idx="1289">
                  <c:v>590550</c:v>
                </c:pt>
                <c:pt idx="1290">
                  <c:v>316750</c:v>
                </c:pt>
                <c:pt idx="1291">
                  <c:v>228130</c:v>
                </c:pt>
                <c:pt idx="1292">
                  <c:v>235020</c:v>
                </c:pt>
                <c:pt idx="1293">
                  <c:v>265870</c:v>
                </c:pt>
                <c:pt idx="1294">
                  <c:v>287730</c:v>
                </c:pt>
                <c:pt idx="1295">
                  <c:v>328250</c:v>
                </c:pt>
                <c:pt idx="1296">
                  <c:v>417980</c:v>
                </c:pt>
                <c:pt idx="1297">
                  <c:v>491660</c:v>
                </c:pt>
                <c:pt idx="1298">
                  <c:v>414690</c:v>
                </c:pt>
                <c:pt idx="1299">
                  <c:v>316610</c:v>
                </c:pt>
                <c:pt idx="1300">
                  <c:v>324010</c:v>
                </c:pt>
                <c:pt idx="1301">
                  <c:v>384680</c:v>
                </c:pt>
                <c:pt idx="1302">
                  <c:v>603150</c:v>
                </c:pt>
                <c:pt idx="1303">
                  <c:v>286610</c:v>
                </c:pt>
                <c:pt idx="1304">
                  <c:v>562010</c:v>
                </c:pt>
                <c:pt idx="1305">
                  <c:v>365910</c:v>
                </c:pt>
                <c:pt idx="1306">
                  <c:v>224290</c:v>
                </c:pt>
                <c:pt idx="1307">
                  <c:v>261890</c:v>
                </c:pt>
                <c:pt idx="1308">
                  <c:v>519169.99999999988</c:v>
                </c:pt>
                <c:pt idx="1309">
                  <c:v>355200</c:v>
                </c:pt>
                <c:pt idx="1310">
                  <c:v>472300</c:v>
                </c:pt>
                <c:pt idx="1311">
                  <c:v>500530.00000000006</c:v>
                </c:pt>
                <c:pt idx="1312">
                  <c:v>542320</c:v>
                </c:pt>
                <c:pt idx="1313">
                  <c:v>734280</c:v>
                </c:pt>
                <c:pt idx="1314">
                  <c:v>564360</c:v>
                </c:pt>
                <c:pt idx="1315">
                  <c:v>551550</c:v>
                </c:pt>
                <c:pt idx="1316">
                  <c:v>459540</c:v>
                </c:pt>
                <c:pt idx="1317">
                  <c:v>582610</c:v>
                </c:pt>
                <c:pt idx="1318">
                  <c:v>503660</c:v>
                </c:pt>
                <c:pt idx="1319">
                  <c:v>457510</c:v>
                </c:pt>
                <c:pt idx="1320">
                  <c:v>403570</c:v>
                </c:pt>
                <c:pt idx="1321">
                  <c:v>309550</c:v>
                </c:pt>
                <c:pt idx="1322">
                  <c:v>509789.99999999994</c:v>
                </c:pt>
                <c:pt idx="1323">
                  <c:v>695560</c:v>
                </c:pt>
                <c:pt idx="1324">
                  <c:v>320470</c:v>
                </c:pt>
                <c:pt idx="1325">
                  <c:v>514700.00000000006</c:v>
                </c:pt>
                <c:pt idx="1326">
                  <c:v>349960</c:v>
                </c:pt>
                <c:pt idx="1327">
                  <c:v>609860</c:v>
                </c:pt>
                <c:pt idx="1328">
                  <c:v>412060</c:v>
                </c:pt>
                <c:pt idx="1329">
                  <c:v>327630</c:v>
                </c:pt>
                <c:pt idx="1330">
                  <c:v>416280</c:v>
                </c:pt>
                <c:pt idx="1331">
                  <c:v>315870</c:v>
                </c:pt>
                <c:pt idx="1332">
                  <c:v>1930000</c:v>
                </c:pt>
                <c:pt idx="1333">
                  <c:v>638330</c:v>
                </c:pt>
                <c:pt idx="1334">
                  <c:v>654070</c:v>
                </c:pt>
                <c:pt idx="1335">
                  <c:v>402780</c:v>
                </c:pt>
                <c:pt idx="1336">
                  <c:v>300890</c:v>
                </c:pt>
                <c:pt idx="1337">
                  <c:v>461740</c:v>
                </c:pt>
                <c:pt idx="1338">
                  <c:v>282290</c:v>
                </c:pt>
                <c:pt idx="1339">
                  <c:v>337100</c:v>
                </c:pt>
                <c:pt idx="1340">
                  <c:v>452770</c:v>
                </c:pt>
                <c:pt idx="1341">
                  <c:v>380070</c:v>
                </c:pt>
                <c:pt idx="1342">
                  <c:v>704800</c:v>
                </c:pt>
                <c:pt idx="1343">
                  <c:v>915800</c:v>
                </c:pt>
                <c:pt idx="1344">
                  <c:v>475700</c:v>
                </c:pt>
                <c:pt idx="1345">
                  <c:v>479570</c:v>
                </c:pt>
                <c:pt idx="1346">
                  <c:v>321910</c:v>
                </c:pt>
                <c:pt idx="1347">
                  <c:v>459910</c:v>
                </c:pt>
                <c:pt idx="1348">
                  <c:v>538090</c:v>
                </c:pt>
                <c:pt idx="1349">
                  <c:v>270950</c:v>
                </c:pt>
                <c:pt idx="1350">
                  <c:v>330660</c:v>
                </c:pt>
                <c:pt idx="1351">
                  <c:v>366790</c:v>
                </c:pt>
                <c:pt idx="1352">
                  <c:v>337220</c:v>
                </c:pt>
                <c:pt idx="1353">
                  <c:v>414670</c:v>
                </c:pt>
                <c:pt idx="1354">
                  <c:v>294930</c:v>
                </c:pt>
                <c:pt idx="1355">
                  <c:v>710730</c:v>
                </c:pt>
                <c:pt idx="1356">
                  <c:v>774670</c:v>
                </c:pt>
                <c:pt idx="1357">
                  <c:v>923400</c:v>
                </c:pt>
                <c:pt idx="1358">
                  <c:v>776880</c:v>
                </c:pt>
                <c:pt idx="1359">
                  <c:v>247520</c:v>
                </c:pt>
                <c:pt idx="1360">
                  <c:v>579370</c:v>
                </c:pt>
                <c:pt idx="1361">
                  <c:v>449220</c:v>
                </c:pt>
                <c:pt idx="1362">
                  <c:v>788150</c:v>
                </c:pt>
                <c:pt idx="1363">
                  <c:v>413720</c:v>
                </c:pt>
                <c:pt idx="1364">
                  <c:v>340050</c:v>
                </c:pt>
                <c:pt idx="1365">
                  <c:v>534030</c:v>
                </c:pt>
                <c:pt idx="1366">
                  <c:v>299930</c:v>
                </c:pt>
                <c:pt idx="1367">
                  <c:v>335540</c:v>
                </c:pt>
                <c:pt idx="1368">
                  <c:v>185010</c:v>
                </c:pt>
                <c:pt idx="1369">
                  <c:v>227080</c:v>
                </c:pt>
                <c:pt idx="1370">
                  <c:v>180630</c:v>
                </c:pt>
                <c:pt idx="1371">
                  <c:v>177980</c:v>
                </c:pt>
                <c:pt idx="1372">
                  <c:v>189070</c:v>
                </c:pt>
                <c:pt idx="1373">
                  <c:v>522929.99999999988</c:v>
                </c:pt>
                <c:pt idx="1374">
                  <c:v>503680</c:v>
                </c:pt>
                <c:pt idx="1375">
                  <c:v>715070</c:v>
                </c:pt>
                <c:pt idx="1376">
                  <c:v>226540</c:v>
                </c:pt>
                <c:pt idx="1377">
                  <c:v>391600</c:v>
                </c:pt>
                <c:pt idx="1378">
                  <c:v>254830</c:v>
                </c:pt>
                <c:pt idx="1379">
                  <c:v>190720</c:v>
                </c:pt>
                <c:pt idx="1380">
                  <c:v>517940.00000000006</c:v>
                </c:pt>
                <c:pt idx="1381">
                  <c:v>344240</c:v>
                </c:pt>
                <c:pt idx="1382">
                  <c:v>284450</c:v>
                </c:pt>
                <c:pt idx="1383">
                  <c:v>292880</c:v>
                </c:pt>
                <c:pt idx="1384">
                  <c:v>322290</c:v>
                </c:pt>
                <c:pt idx="1385">
                  <c:v>217260</c:v>
                </c:pt>
                <c:pt idx="1386">
                  <c:v>266220</c:v>
                </c:pt>
                <c:pt idx="1387">
                  <c:v>307020</c:v>
                </c:pt>
                <c:pt idx="1388">
                  <c:v>1410000</c:v>
                </c:pt>
                <c:pt idx="1389">
                  <c:v>505410</c:v>
                </c:pt>
                <c:pt idx="1390">
                  <c:v>458310</c:v>
                </c:pt>
                <c:pt idx="1391">
                  <c:v>202540</c:v>
                </c:pt>
                <c:pt idx="1392">
                  <c:v>266900</c:v>
                </c:pt>
                <c:pt idx="1393">
                  <c:v>373870</c:v>
                </c:pt>
                <c:pt idx="1394">
                  <c:v>475810</c:v>
                </c:pt>
                <c:pt idx="1395">
                  <c:v>429570</c:v>
                </c:pt>
                <c:pt idx="1396">
                  <c:v>427560</c:v>
                </c:pt>
                <c:pt idx="1397">
                  <c:v>415010</c:v>
                </c:pt>
                <c:pt idx="1398">
                  <c:v>1290000</c:v>
                </c:pt>
                <c:pt idx="1399">
                  <c:v>843620</c:v>
                </c:pt>
                <c:pt idx="1400">
                  <c:v>510630</c:v>
                </c:pt>
                <c:pt idx="1401">
                  <c:v>499090</c:v>
                </c:pt>
                <c:pt idx="1402">
                  <c:v>273420</c:v>
                </c:pt>
                <c:pt idx="1403">
                  <c:v>822940</c:v>
                </c:pt>
                <c:pt idx="1404">
                  <c:v>1470000</c:v>
                </c:pt>
                <c:pt idx="1405">
                  <c:v>719050</c:v>
                </c:pt>
                <c:pt idx="1406">
                  <c:v>496300</c:v>
                </c:pt>
                <c:pt idx="1407">
                  <c:v>698180</c:v>
                </c:pt>
                <c:pt idx="1408">
                  <c:v>701160</c:v>
                </c:pt>
                <c:pt idx="1409">
                  <c:v>536110</c:v>
                </c:pt>
                <c:pt idx="1410">
                  <c:v>1180000</c:v>
                </c:pt>
                <c:pt idx="1411">
                  <c:v>610720</c:v>
                </c:pt>
                <c:pt idx="1412">
                  <c:v>968120</c:v>
                </c:pt>
                <c:pt idx="1413">
                  <c:v>983280</c:v>
                </c:pt>
                <c:pt idx="1414">
                  <c:v>740610</c:v>
                </c:pt>
                <c:pt idx="1415">
                  <c:v>719580</c:v>
                </c:pt>
                <c:pt idx="1416">
                  <c:v>731800</c:v>
                </c:pt>
                <c:pt idx="1417">
                  <c:v>380690</c:v>
                </c:pt>
                <c:pt idx="1418">
                  <c:v>579280</c:v>
                </c:pt>
                <c:pt idx="1419">
                  <c:v>310530</c:v>
                </c:pt>
                <c:pt idx="1420">
                  <c:v>224360</c:v>
                </c:pt>
                <c:pt idx="1421">
                  <c:v>550550</c:v>
                </c:pt>
                <c:pt idx="1422">
                  <c:v>332790</c:v>
                </c:pt>
                <c:pt idx="1423">
                  <c:v>679060</c:v>
                </c:pt>
                <c:pt idx="1424">
                  <c:v>323000</c:v>
                </c:pt>
                <c:pt idx="1425">
                  <c:v>375860</c:v>
                </c:pt>
                <c:pt idx="1426">
                  <c:v>679360</c:v>
                </c:pt>
                <c:pt idx="1427">
                  <c:v>612980</c:v>
                </c:pt>
                <c:pt idx="1428">
                  <c:v>363930</c:v>
                </c:pt>
                <c:pt idx="1429">
                  <c:v>313730</c:v>
                </c:pt>
                <c:pt idx="1430">
                  <c:v>669740</c:v>
                </c:pt>
                <c:pt idx="1431">
                  <c:v>218200</c:v>
                </c:pt>
                <c:pt idx="1432">
                  <c:v>286590</c:v>
                </c:pt>
                <c:pt idx="1433">
                  <c:v>476290</c:v>
                </c:pt>
                <c:pt idx="1434">
                  <c:v>405890</c:v>
                </c:pt>
                <c:pt idx="1435">
                  <c:v>282880</c:v>
                </c:pt>
                <c:pt idx="1436">
                  <c:v>342990</c:v>
                </c:pt>
                <c:pt idx="1437">
                  <c:v>309420</c:v>
                </c:pt>
                <c:pt idx="1438">
                  <c:v>237370</c:v>
                </c:pt>
                <c:pt idx="1439">
                  <c:v>319050</c:v>
                </c:pt>
                <c:pt idx="1440">
                  <c:v>402010</c:v>
                </c:pt>
                <c:pt idx="1441">
                  <c:v>326180</c:v>
                </c:pt>
                <c:pt idx="1442">
                  <c:v>14380</c:v>
                </c:pt>
                <c:pt idx="1443">
                  <c:v>419750</c:v>
                </c:pt>
                <c:pt idx="1444">
                  <c:v>243740</c:v>
                </c:pt>
                <c:pt idx="1445">
                  <c:v>228140</c:v>
                </c:pt>
                <c:pt idx="1446">
                  <c:v>485230</c:v>
                </c:pt>
                <c:pt idx="1447">
                  <c:v>343500</c:v>
                </c:pt>
                <c:pt idx="1448">
                  <c:v>412180</c:v>
                </c:pt>
                <c:pt idx="1449">
                  <c:v>670790</c:v>
                </c:pt>
                <c:pt idx="1450">
                  <c:v>334960</c:v>
                </c:pt>
                <c:pt idx="1451">
                  <c:v>494330</c:v>
                </c:pt>
                <c:pt idx="1452">
                  <c:v>435650</c:v>
                </c:pt>
                <c:pt idx="1453">
                  <c:v>465150</c:v>
                </c:pt>
                <c:pt idx="1454">
                  <c:v>514370</c:v>
                </c:pt>
                <c:pt idx="1455">
                  <c:v>409680</c:v>
                </c:pt>
                <c:pt idx="1456">
                  <c:v>300610</c:v>
                </c:pt>
                <c:pt idx="1457">
                  <c:v>842030</c:v>
                </c:pt>
                <c:pt idx="1458">
                  <c:v>739160</c:v>
                </c:pt>
                <c:pt idx="1459">
                  <c:v>789640</c:v>
                </c:pt>
                <c:pt idx="1460">
                  <c:v>517130</c:v>
                </c:pt>
                <c:pt idx="1461">
                  <c:v>416170</c:v>
                </c:pt>
                <c:pt idx="1462">
                  <c:v>857230</c:v>
                </c:pt>
                <c:pt idx="1463">
                  <c:v>654160</c:v>
                </c:pt>
                <c:pt idx="1464">
                  <c:v>1230000</c:v>
                </c:pt>
                <c:pt idx="1465">
                  <c:v>521989.99999999994</c:v>
                </c:pt>
                <c:pt idx="1466">
                  <c:v>313550</c:v>
                </c:pt>
                <c:pt idx="1467">
                  <c:v>480100</c:v>
                </c:pt>
                <c:pt idx="1468">
                  <c:v>449710</c:v>
                </c:pt>
                <c:pt idx="1469">
                  <c:v>974710</c:v>
                </c:pt>
                <c:pt idx="1470">
                  <c:v>448170</c:v>
                </c:pt>
                <c:pt idx="1471">
                  <c:v>333670</c:v>
                </c:pt>
                <c:pt idx="1472">
                  <c:v>364670</c:v>
                </c:pt>
                <c:pt idx="1473">
                  <c:v>501040.00000000006</c:v>
                </c:pt>
                <c:pt idx="1474">
                  <c:v>273510</c:v>
                </c:pt>
                <c:pt idx="1475">
                  <c:v>436440</c:v>
                </c:pt>
                <c:pt idx="1476">
                  <c:v>626510</c:v>
                </c:pt>
                <c:pt idx="1477">
                  <c:v>502050</c:v>
                </c:pt>
                <c:pt idx="1478">
                  <c:v>324680</c:v>
                </c:pt>
                <c:pt idx="1479">
                  <c:v>391820</c:v>
                </c:pt>
                <c:pt idx="1480">
                  <c:v>505909.99999999994</c:v>
                </c:pt>
                <c:pt idx="1481">
                  <c:v>594260</c:v>
                </c:pt>
                <c:pt idx="1482">
                  <c:v>327760</c:v>
                </c:pt>
                <c:pt idx="1483">
                  <c:v>423440</c:v>
                </c:pt>
                <c:pt idx="1484">
                  <c:v>233970</c:v>
                </c:pt>
                <c:pt idx="1485">
                  <c:v>249190</c:v>
                </c:pt>
                <c:pt idx="1486">
                  <c:v>205300</c:v>
                </c:pt>
                <c:pt idx="1487">
                  <c:v>157710</c:v>
                </c:pt>
                <c:pt idx="1488">
                  <c:v>282570</c:v>
                </c:pt>
                <c:pt idx="1489">
                  <c:v>1980000</c:v>
                </c:pt>
                <c:pt idx="1490">
                  <c:v>357380</c:v>
                </c:pt>
                <c:pt idx="1491">
                  <c:v>155330</c:v>
                </c:pt>
                <c:pt idx="1492">
                  <c:v>227470</c:v>
                </c:pt>
                <c:pt idx="1493">
                  <c:v>426800</c:v>
                </c:pt>
                <c:pt idx="1494">
                  <c:v>396100</c:v>
                </c:pt>
                <c:pt idx="1495">
                  <c:v>380760</c:v>
                </c:pt>
                <c:pt idx="1496">
                  <c:v>459730</c:v>
                </c:pt>
                <c:pt idx="1497">
                  <c:v>474630</c:v>
                </c:pt>
                <c:pt idx="1498">
                  <c:v>315580</c:v>
                </c:pt>
                <c:pt idx="1499">
                  <c:v>262640</c:v>
                </c:pt>
                <c:pt idx="1500">
                  <c:v>426080</c:v>
                </c:pt>
                <c:pt idx="1501">
                  <c:v>441020</c:v>
                </c:pt>
                <c:pt idx="1502">
                  <c:v>211680</c:v>
                </c:pt>
                <c:pt idx="1503">
                  <c:v>302200</c:v>
                </c:pt>
                <c:pt idx="1504">
                  <c:v>480750</c:v>
                </c:pt>
                <c:pt idx="1505">
                  <c:v>366500</c:v>
                </c:pt>
                <c:pt idx="1506">
                  <c:v>366000</c:v>
                </c:pt>
                <c:pt idx="1507">
                  <c:v>498370</c:v>
                </c:pt>
                <c:pt idx="1508">
                  <c:v>856380</c:v>
                </c:pt>
                <c:pt idx="1509">
                  <c:v>632900</c:v>
                </c:pt>
                <c:pt idx="1510">
                  <c:v>454540</c:v>
                </c:pt>
                <c:pt idx="1511">
                  <c:v>297690</c:v>
                </c:pt>
                <c:pt idx="1512">
                  <c:v>490850</c:v>
                </c:pt>
                <c:pt idx="1513">
                  <c:v>689970</c:v>
                </c:pt>
                <c:pt idx="1514">
                  <c:v>260279.99999999994</c:v>
                </c:pt>
                <c:pt idx="1515">
                  <c:v>254210</c:v>
                </c:pt>
                <c:pt idx="1516">
                  <c:v>251800.00000000003</c:v>
                </c:pt>
                <c:pt idx="1517">
                  <c:v>314220</c:v>
                </c:pt>
                <c:pt idx="1518">
                  <c:v>467660</c:v>
                </c:pt>
                <c:pt idx="1519">
                  <c:v>2290000</c:v>
                </c:pt>
                <c:pt idx="1520">
                  <c:v>1110000</c:v>
                </c:pt>
                <c:pt idx="1521">
                  <c:v>967940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9D-45AE-BA25-3524F5B8D46A}"/>
            </c:ext>
          </c:extLst>
        </c:ser>
        <c:ser>
          <c:idx val="1"/>
          <c:order val="1"/>
          <c:tx>
            <c:strRef>
              <c:f>data!$U$1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data!$U$2:$U$1523</c:f>
              <c:numCache>
                <c:formatCode>m/d/yyyy</c:formatCode>
                <c:ptCount val="1522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43836</c:v>
                </c:pt>
                <c:pt idx="4">
                  <c:v>43837</c:v>
                </c:pt>
                <c:pt idx="5">
                  <c:v>43838</c:v>
                </c:pt>
                <c:pt idx="6">
                  <c:v>43839</c:v>
                </c:pt>
                <c:pt idx="7">
                  <c:v>43840</c:v>
                </c:pt>
                <c:pt idx="8">
                  <c:v>43843</c:v>
                </c:pt>
                <c:pt idx="9">
                  <c:v>43844</c:v>
                </c:pt>
                <c:pt idx="10">
                  <c:v>43845</c:v>
                </c:pt>
                <c:pt idx="11">
                  <c:v>43846</c:v>
                </c:pt>
                <c:pt idx="12">
                  <c:v>43847</c:v>
                </c:pt>
                <c:pt idx="13">
                  <c:v>43850</c:v>
                </c:pt>
                <c:pt idx="14">
                  <c:v>43851</c:v>
                </c:pt>
                <c:pt idx="15">
                  <c:v>43852</c:v>
                </c:pt>
                <c:pt idx="16">
                  <c:v>43853</c:v>
                </c:pt>
                <c:pt idx="17">
                  <c:v>43854</c:v>
                </c:pt>
                <c:pt idx="18">
                  <c:v>43857</c:v>
                </c:pt>
                <c:pt idx="19">
                  <c:v>43858</c:v>
                </c:pt>
                <c:pt idx="20">
                  <c:v>43859</c:v>
                </c:pt>
                <c:pt idx="21">
                  <c:v>43860</c:v>
                </c:pt>
                <c:pt idx="22">
                  <c:v>43861</c:v>
                </c:pt>
                <c:pt idx="23">
                  <c:v>43862</c:v>
                </c:pt>
                <c:pt idx="24">
                  <c:v>43864</c:v>
                </c:pt>
                <c:pt idx="25">
                  <c:v>43865</c:v>
                </c:pt>
                <c:pt idx="26">
                  <c:v>43866</c:v>
                </c:pt>
                <c:pt idx="27">
                  <c:v>43867</c:v>
                </c:pt>
                <c:pt idx="28">
                  <c:v>43868</c:v>
                </c:pt>
                <c:pt idx="29">
                  <c:v>43871</c:v>
                </c:pt>
                <c:pt idx="30">
                  <c:v>43872</c:v>
                </c:pt>
                <c:pt idx="31">
                  <c:v>43873</c:v>
                </c:pt>
                <c:pt idx="32">
                  <c:v>43874</c:v>
                </c:pt>
                <c:pt idx="33">
                  <c:v>43875</c:v>
                </c:pt>
                <c:pt idx="34">
                  <c:v>43878</c:v>
                </c:pt>
                <c:pt idx="35">
                  <c:v>43879</c:v>
                </c:pt>
                <c:pt idx="36">
                  <c:v>43880</c:v>
                </c:pt>
                <c:pt idx="37">
                  <c:v>43881</c:v>
                </c:pt>
                <c:pt idx="38">
                  <c:v>43885</c:v>
                </c:pt>
                <c:pt idx="39">
                  <c:v>43886</c:v>
                </c:pt>
                <c:pt idx="40">
                  <c:v>43887</c:v>
                </c:pt>
                <c:pt idx="41">
                  <c:v>43888</c:v>
                </c:pt>
                <c:pt idx="42">
                  <c:v>43889</c:v>
                </c:pt>
                <c:pt idx="43">
                  <c:v>43892</c:v>
                </c:pt>
                <c:pt idx="44">
                  <c:v>43893</c:v>
                </c:pt>
                <c:pt idx="45">
                  <c:v>43894</c:v>
                </c:pt>
                <c:pt idx="46">
                  <c:v>43895</c:v>
                </c:pt>
                <c:pt idx="47">
                  <c:v>43896</c:v>
                </c:pt>
                <c:pt idx="48">
                  <c:v>43899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43906</c:v>
                </c:pt>
                <c:pt idx="53">
                  <c:v>43907</c:v>
                </c:pt>
                <c:pt idx="54">
                  <c:v>43908</c:v>
                </c:pt>
                <c:pt idx="55">
                  <c:v>43909</c:v>
                </c:pt>
                <c:pt idx="56">
                  <c:v>43910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43920</c:v>
                </c:pt>
                <c:pt idx="63">
                  <c:v>43921</c:v>
                </c:pt>
                <c:pt idx="64">
                  <c:v>43922</c:v>
                </c:pt>
                <c:pt idx="65">
                  <c:v>43924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43936</c:v>
                </c:pt>
                <c:pt idx="71">
                  <c:v>43937</c:v>
                </c:pt>
                <c:pt idx="72">
                  <c:v>43938</c:v>
                </c:pt>
                <c:pt idx="73">
                  <c:v>43941</c:v>
                </c:pt>
                <c:pt idx="74">
                  <c:v>43942</c:v>
                </c:pt>
                <c:pt idx="75">
                  <c:v>43943</c:v>
                </c:pt>
                <c:pt idx="76">
                  <c:v>43944</c:v>
                </c:pt>
                <c:pt idx="77">
                  <c:v>43945</c:v>
                </c:pt>
                <c:pt idx="78">
                  <c:v>43948</c:v>
                </c:pt>
                <c:pt idx="79">
                  <c:v>43949</c:v>
                </c:pt>
                <c:pt idx="80">
                  <c:v>43950</c:v>
                </c:pt>
                <c:pt idx="81">
                  <c:v>43951</c:v>
                </c:pt>
                <c:pt idx="82">
                  <c:v>43955</c:v>
                </c:pt>
                <c:pt idx="83">
                  <c:v>43956</c:v>
                </c:pt>
                <c:pt idx="84">
                  <c:v>43957</c:v>
                </c:pt>
                <c:pt idx="85">
                  <c:v>43958</c:v>
                </c:pt>
                <c:pt idx="86">
                  <c:v>43959</c:v>
                </c:pt>
                <c:pt idx="87">
                  <c:v>43962</c:v>
                </c:pt>
                <c:pt idx="88">
                  <c:v>43963</c:v>
                </c:pt>
                <c:pt idx="89">
                  <c:v>43964</c:v>
                </c:pt>
                <c:pt idx="90">
                  <c:v>43965</c:v>
                </c:pt>
                <c:pt idx="91">
                  <c:v>43966</c:v>
                </c:pt>
                <c:pt idx="92">
                  <c:v>43969</c:v>
                </c:pt>
                <c:pt idx="93">
                  <c:v>43970</c:v>
                </c:pt>
                <c:pt idx="94">
                  <c:v>43971</c:v>
                </c:pt>
                <c:pt idx="95">
                  <c:v>43972</c:v>
                </c:pt>
                <c:pt idx="96">
                  <c:v>43973</c:v>
                </c:pt>
                <c:pt idx="97">
                  <c:v>43977</c:v>
                </c:pt>
                <c:pt idx="98">
                  <c:v>43978</c:v>
                </c:pt>
                <c:pt idx="99">
                  <c:v>43979</c:v>
                </c:pt>
                <c:pt idx="100">
                  <c:v>43980</c:v>
                </c:pt>
                <c:pt idx="101">
                  <c:v>43983</c:v>
                </c:pt>
                <c:pt idx="102">
                  <c:v>43984</c:v>
                </c:pt>
                <c:pt idx="103">
                  <c:v>43985</c:v>
                </c:pt>
                <c:pt idx="104">
                  <c:v>43986</c:v>
                </c:pt>
                <c:pt idx="105">
                  <c:v>43987</c:v>
                </c:pt>
                <c:pt idx="106">
                  <c:v>43990</c:v>
                </c:pt>
                <c:pt idx="107">
                  <c:v>43991</c:v>
                </c:pt>
                <c:pt idx="108">
                  <c:v>43992</c:v>
                </c:pt>
                <c:pt idx="109">
                  <c:v>43993</c:v>
                </c:pt>
                <c:pt idx="110">
                  <c:v>43994</c:v>
                </c:pt>
                <c:pt idx="111">
                  <c:v>43997</c:v>
                </c:pt>
                <c:pt idx="112">
                  <c:v>43998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44004</c:v>
                </c:pt>
                <c:pt idx="117">
                  <c:v>44005</c:v>
                </c:pt>
                <c:pt idx="118">
                  <c:v>44006</c:v>
                </c:pt>
                <c:pt idx="119">
                  <c:v>44007</c:v>
                </c:pt>
                <c:pt idx="120">
                  <c:v>44008</c:v>
                </c:pt>
                <c:pt idx="121">
                  <c:v>44011</c:v>
                </c:pt>
                <c:pt idx="122">
                  <c:v>44012</c:v>
                </c:pt>
                <c:pt idx="123">
                  <c:v>44013</c:v>
                </c:pt>
                <c:pt idx="124">
                  <c:v>44014</c:v>
                </c:pt>
                <c:pt idx="125">
                  <c:v>44015</c:v>
                </c:pt>
                <c:pt idx="126">
                  <c:v>44018</c:v>
                </c:pt>
                <c:pt idx="127">
                  <c:v>44019</c:v>
                </c:pt>
                <c:pt idx="128">
                  <c:v>44020</c:v>
                </c:pt>
                <c:pt idx="129">
                  <c:v>44021</c:v>
                </c:pt>
                <c:pt idx="130">
                  <c:v>44022</c:v>
                </c:pt>
                <c:pt idx="131">
                  <c:v>44025</c:v>
                </c:pt>
                <c:pt idx="132">
                  <c:v>44026</c:v>
                </c:pt>
                <c:pt idx="133">
                  <c:v>44027</c:v>
                </c:pt>
                <c:pt idx="134">
                  <c:v>44028</c:v>
                </c:pt>
                <c:pt idx="135">
                  <c:v>44029</c:v>
                </c:pt>
                <c:pt idx="136">
                  <c:v>44032</c:v>
                </c:pt>
                <c:pt idx="137">
                  <c:v>44033</c:v>
                </c:pt>
                <c:pt idx="138">
                  <c:v>44034</c:v>
                </c:pt>
                <c:pt idx="139">
                  <c:v>44035</c:v>
                </c:pt>
                <c:pt idx="140">
                  <c:v>44036</c:v>
                </c:pt>
                <c:pt idx="141">
                  <c:v>44039</c:v>
                </c:pt>
                <c:pt idx="142">
                  <c:v>44040</c:v>
                </c:pt>
                <c:pt idx="143">
                  <c:v>44041</c:v>
                </c:pt>
                <c:pt idx="144">
                  <c:v>44042</c:v>
                </c:pt>
                <c:pt idx="145">
                  <c:v>44043</c:v>
                </c:pt>
                <c:pt idx="146">
                  <c:v>44046</c:v>
                </c:pt>
                <c:pt idx="147">
                  <c:v>44047</c:v>
                </c:pt>
                <c:pt idx="148">
                  <c:v>44048</c:v>
                </c:pt>
                <c:pt idx="149">
                  <c:v>44049</c:v>
                </c:pt>
                <c:pt idx="150">
                  <c:v>44050</c:v>
                </c:pt>
                <c:pt idx="151">
                  <c:v>44053</c:v>
                </c:pt>
                <c:pt idx="152">
                  <c:v>44054</c:v>
                </c:pt>
                <c:pt idx="153">
                  <c:v>44055</c:v>
                </c:pt>
                <c:pt idx="154">
                  <c:v>44056</c:v>
                </c:pt>
                <c:pt idx="155">
                  <c:v>44057</c:v>
                </c:pt>
                <c:pt idx="156">
                  <c:v>44060</c:v>
                </c:pt>
                <c:pt idx="157">
                  <c:v>44061</c:v>
                </c:pt>
                <c:pt idx="158">
                  <c:v>44062</c:v>
                </c:pt>
                <c:pt idx="159">
                  <c:v>44063</c:v>
                </c:pt>
                <c:pt idx="160">
                  <c:v>44064</c:v>
                </c:pt>
                <c:pt idx="161">
                  <c:v>44067</c:v>
                </c:pt>
                <c:pt idx="162">
                  <c:v>44068</c:v>
                </c:pt>
                <c:pt idx="163">
                  <c:v>44069</c:v>
                </c:pt>
                <c:pt idx="164">
                  <c:v>44070</c:v>
                </c:pt>
                <c:pt idx="165">
                  <c:v>44071</c:v>
                </c:pt>
                <c:pt idx="166">
                  <c:v>44074</c:v>
                </c:pt>
                <c:pt idx="167">
                  <c:v>44075</c:v>
                </c:pt>
                <c:pt idx="168">
                  <c:v>44076</c:v>
                </c:pt>
                <c:pt idx="169">
                  <c:v>44077</c:v>
                </c:pt>
                <c:pt idx="170">
                  <c:v>44078</c:v>
                </c:pt>
                <c:pt idx="171">
                  <c:v>44081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44109</c:v>
                </c:pt>
                <c:pt idx="191">
                  <c:v>44110</c:v>
                </c:pt>
                <c:pt idx="192">
                  <c:v>44111</c:v>
                </c:pt>
                <c:pt idx="193">
                  <c:v>44112</c:v>
                </c:pt>
                <c:pt idx="194">
                  <c:v>44113</c:v>
                </c:pt>
                <c:pt idx="195">
                  <c:v>44116</c:v>
                </c:pt>
                <c:pt idx="196">
                  <c:v>44117</c:v>
                </c:pt>
                <c:pt idx="197">
                  <c:v>44118</c:v>
                </c:pt>
                <c:pt idx="198">
                  <c:v>44119</c:v>
                </c:pt>
                <c:pt idx="199">
                  <c:v>44120</c:v>
                </c:pt>
                <c:pt idx="200">
                  <c:v>44123</c:v>
                </c:pt>
                <c:pt idx="201">
                  <c:v>44124</c:v>
                </c:pt>
                <c:pt idx="202">
                  <c:v>44125</c:v>
                </c:pt>
                <c:pt idx="203">
                  <c:v>44126</c:v>
                </c:pt>
                <c:pt idx="204">
                  <c:v>44127</c:v>
                </c:pt>
                <c:pt idx="205">
                  <c:v>44130</c:v>
                </c:pt>
                <c:pt idx="206">
                  <c:v>44131</c:v>
                </c:pt>
                <c:pt idx="207">
                  <c:v>44132</c:v>
                </c:pt>
                <c:pt idx="208">
                  <c:v>44133</c:v>
                </c:pt>
                <c:pt idx="209">
                  <c:v>44134</c:v>
                </c:pt>
                <c:pt idx="210">
                  <c:v>44137</c:v>
                </c:pt>
                <c:pt idx="211">
                  <c:v>44138</c:v>
                </c:pt>
                <c:pt idx="212">
                  <c:v>44139</c:v>
                </c:pt>
                <c:pt idx="213">
                  <c:v>44140</c:v>
                </c:pt>
                <c:pt idx="214">
                  <c:v>44141</c:v>
                </c:pt>
                <c:pt idx="215">
                  <c:v>44144</c:v>
                </c:pt>
                <c:pt idx="216">
                  <c:v>44145</c:v>
                </c:pt>
                <c:pt idx="217">
                  <c:v>44146</c:v>
                </c:pt>
                <c:pt idx="218">
                  <c:v>44147</c:v>
                </c:pt>
                <c:pt idx="219">
                  <c:v>44148</c:v>
                </c:pt>
                <c:pt idx="220">
                  <c:v>44152</c:v>
                </c:pt>
                <c:pt idx="221">
                  <c:v>44153</c:v>
                </c:pt>
                <c:pt idx="222">
                  <c:v>44154</c:v>
                </c:pt>
                <c:pt idx="223">
                  <c:v>44155</c:v>
                </c:pt>
                <c:pt idx="224">
                  <c:v>44158</c:v>
                </c:pt>
                <c:pt idx="225">
                  <c:v>44159</c:v>
                </c:pt>
                <c:pt idx="226">
                  <c:v>44160</c:v>
                </c:pt>
                <c:pt idx="227">
                  <c:v>44161</c:v>
                </c:pt>
                <c:pt idx="228">
                  <c:v>44162</c:v>
                </c:pt>
                <c:pt idx="229">
                  <c:v>44166</c:v>
                </c:pt>
                <c:pt idx="230">
                  <c:v>44167</c:v>
                </c:pt>
                <c:pt idx="231">
                  <c:v>44168</c:v>
                </c:pt>
                <c:pt idx="232">
                  <c:v>44169</c:v>
                </c:pt>
                <c:pt idx="233">
                  <c:v>44172</c:v>
                </c:pt>
                <c:pt idx="234">
                  <c:v>44173</c:v>
                </c:pt>
                <c:pt idx="235">
                  <c:v>44174</c:v>
                </c:pt>
                <c:pt idx="236">
                  <c:v>44175</c:v>
                </c:pt>
                <c:pt idx="237">
                  <c:v>44176</c:v>
                </c:pt>
                <c:pt idx="238">
                  <c:v>44179</c:v>
                </c:pt>
                <c:pt idx="239">
                  <c:v>44180</c:v>
                </c:pt>
                <c:pt idx="240">
                  <c:v>44181</c:v>
                </c:pt>
                <c:pt idx="241">
                  <c:v>44182</c:v>
                </c:pt>
                <c:pt idx="242">
                  <c:v>44183</c:v>
                </c:pt>
                <c:pt idx="243">
                  <c:v>44186</c:v>
                </c:pt>
                <c:pt idx="244">
                  <c:v>44187</c:v>
                </c:pt>
                <c:pt idx="245">
                  <c:v>44188</c:v>
                </c:pt>
                <c:pt idx="246">
                  <c:v>44189</c:v>
                </c:pt>
                <c:pt idx="247">
                  <c:v>44193</c:v>
                </c:pt>
                <c:pt idx="248">
                  <c:v>44194</c:v>
                </c:pt>
                <c:pt idx="249">
                  <c:v>44195</c:v>
                </c:pt>
                <c:pt idx="250">
                  <c:v>44196</c:v>
                </c:pt>
                <c:pt idx="251">
                  <c:v>44197</c:v>
                </c:pt>
                <c:pt idx="252">
                  <c:v>44200</c:v>
                </c:pt>
                <c:pt idx="253">
                  <c:v>44201</c:v>
                </c:pt>
                <c:pt idx="254">
                  <c:v>44202</c:v>
                </c:pt>
                <c:pt idx="255">
                  <c:v>44203</c:v>
                </c:pt>
                <c:pt idx="256">
                  <c:v>44204</c:v>
                </c:pt>
                <c:pt idx="257">
                  <c:v>44207</c:v>
                </c:pt>
                <c:pt idx="258">
                  <c:v>44208</c:v>
                </c:pt>
                <c:pt idx="259">
                  <c:v>44209</c:v>
                </c:pt>
                <c:pt idx="260">
                  <c:v>44210</c:v>
                </c:pt>
                <c:pt idx="261">
                  <c:v>44211</c:v>
                </c:pt>
                <c:pt idx="262">
                  <c:v>44214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44223</c:v>
                </c:pt>
                <c:pt idx="269">
                  <c:v>44224</c:v>
                </c:pt>
                <c:pt idx="270">
                  <c:v>44225</c:v>
                </c:pt>
                <c:pt idx="271">
                  <c:v>44228</c:v>
                </c:pt>
                <c:pt idx="272">
                  <c:v>44229</c:v>
                </c:pt>
                <c:pt idx="273">
                  <c:v>44230</c:v>
                </c:pt>
                <c:pt idx="274">
                  <c:v>44231</c:v>
                </c:pt>
                <c:pt idx="275">
                  <c:v>44232</c:v>
                </c:pt>
                <c:pt idx="276">
                  <c:v>44235</c:v>
                </c:pt>
                <c:pt idx="277">
                  <c:v>44236</c:v>
                </c:pt>
                <c:pt idx="278">
                  <c:v>44237</c:v>
                </c:pt>
                <c:pt idx="279">
                  <c:v>44238</c:v>
                </c:pt>
                <c:pt idx="280">
                  <c:v>44239</c:v>
                </c:pt>
                <c:pt idx="281">
                  <c:v>44242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44267</c:v>
                </c:pt>
                <c:pt idx="300">
                  <c:v>44270</c:v>
                </c:pt>
                <c:pt idx="301">
                  <c:v>44271</c:v>
                </c:pt>
                <c:pt idx="302">
                  <c:v>44272</c:v>
                </c:pt>
                <c:pt idx="303">
                  <c:v>44273</c:v>
                </c:pt>
                <c:pt idx="304">
                  <c:v>44274</c:v>
                </c:pt>
                <c:pt idx="305">
                  <c:v>44277</c:v>
                </c:pt>
                <c:pt idx="306">
                  <c:v>44278</c:v>
                </c:pt>
                <c:pt idx="307">
                  <c:v>44279</c:v>
                </c:pt>
                <c:pt idx="308">
                  <c:v>44280</c:v>
                </c:pt>
                <c:pt idx="309">
                  <c:v>44281</c:v>
                </c:pt>
                <c:pt idx="310">
                  <c:v>44285</c:v>
                </c:pt>
                <c:pt idx="311">
                  <c:v>44286</c:v>
                </c:pt>
                <c:pt idx="312">
                  <c:v>44287</c:v>
                </c:pt>
                <c:pt idx="313">
                  <c:v>44291</c:v>
                </c:pt>
                <c:pt idx="314">
                  <c:v>44292</c:v>
                </c:pt>
                <c:pt idx="315">
                  <c:v>44293</c:v>
                </c:pt>
                <c:pt idx="316">
                  <c:v>44294</c:v>
                </c:pt>
                <c:pt idx="317">
                  <c:v>44295</c:v>
                </c:pt>
                <c:pt idx="318">
                  <c:v>44298</c:v>
                </c:pt>
                <c:pt idx="319">
                  <c:v>44299</c:v>
                </c:pt>
                <c:pt idx="320">
                  <c:v>44301</c:v>
                </c:pt>
                <c:pt idx="321">
                  <c:v>44302</c:v>
                </c:pt>
                <c:pt idx="322">
                  <c:v>44305</c:v>
                </c:pt>
                <c:pt idx="323">
                  <c:v>44306</c:v>
                </c:pt>
                <c:pt idx="324">
                  <c:v>44308</c:v>
                </c:pt>
                <c:pt idx="325">
                  <c:v>44309</c:v>
                </c:pt>
                <c:pt idx="326">
                  <c:v>44312</c:v>
                </c:pt>
                <c:pt idx="327">
                  <c:v>44313</c:v>
                </c:pt>
                <c:pt idx="328">
                  <c:v>44314</c:v>
                </c:pt>
                <c:pt idx="329">
                  <c:v>44315</c:v>
                </c:pt>
                <c:pt idx="330">
                  <c:v>44316</c:v>
                </c:pt>
                <c:pt idx="331">
                  <c:v>44319</c:v>
                </c:pt>
                <c:pt idx="332">
                  <c:v>44320</c:v>
                </c:pt>
                <c:pt idx="333">
                  <c:v>44321</c:v>
                </c:pt>
                <c:pt idx="334">
                  <c:v>44322</c:v>
                </c:pt>
                <c:pt idx="335">
                  <c:v>44323</c:v>
                </c:pt>
                <c:pt idx="336">
                  <c:v>44326</c:v>
                </c:pt>
                <c:pt idx="337">
                  <c:v>44327</c:v>
                </c:pt>
                <c:pt idx="338">
                  <c:v>44328</c:v>
                </c:pt>
                <c:pt idx="339">
                  <c:v>44330</c:v>
                </c:pt>
                <c:pt idx="340">
                  <c:v>44333</c:v>
                </c:pt>
                <c:pt idx="341">
                  <c:v>44334</c:v>
                </c:pt>
                <c:pt idx="342">
                  <c:v>44335</c:v>
                </c:pt>
                <c:pt idx="343">
                  <c:v>44336</c:v>
                </c:pt>
                <c:pt idx="344">
                  <c:v>44337</c:v>
                </c:pt>
                <c:pt idx="345">
                  <c:v>44340</c:v>
                </c:pt>
                <c:pt idx="346">
                  <c:v>44341</c:v>
                </c:pt>
                <c:pt idx="347">
                  <c:v>44342</c:v>
                </c:pt>
                <c:pt idx="348">
                  <c:v>44343</c:v>
                </c:pt>
                <c:pt idx="349">
                  <c:v>44344</c:v>
                </c:pt>
                <c:pt idx="350">
                  <c:v>44347</c:v>
                </c:pt>
                <c:pt idx="351">
                  <c:v>44348</c:v>
                </c:pt>
                <c:pt idx="352">
                  <c:v>44349</c:v>
                </c:pt>
                <c:pt idx="353">
                  <c:v>44350</c:v>
                </c:pt>
                <c:pt idx="354">
                  <c:v>44351</c:v>
                </c:pt>
                <c:pt idx="355">
                  <c:v>44354</c:v>
                </c:pt>
                <c:pt idx="356">
                  <c:v>44355</c:v>
                </c:pt>
                <c:pt idx="357">
                  <c:v>44356</c:v>
                </c:pt>
                <c:pt idx="358">
                  <c:v>44357</c:v>
                </c:pt>
                <c:pt idx="359">
                  <c:v>44358</c:v>
                </c:pt>
                <c:pt idx="360">
                  <c:v>44361</c:v>
                </c:pt>
                <c:pt idx="361">
                  <c:v>44362</c:v>
                </c:pt>
                <c:pt idx="362">
                  <c:v>44363</c:v>
                </c:pt>
                <c:pt idx="363">
                  <c:v>44364</c:v>
                </c:pt>
                <c:pt idx="364">
                  <c:v>44365</c:v>
                </c:pt>
                <c:pt idx="365">
                  <c:v>44368</c:v>
                </c:pt>
                <c:pt idx="366">
                  <c:v>44369</c:v>
                </c:pt>
                <c:pt idx="367">
                  <c:v>44370</c:v>
                </c:pt>
                <c:pt idx="368">
                  <c:v>44371</c:v>
                </c:pt>
                <c:pt idx="369">
                  <c:v>44372</c:v>
                </c:pt>
                <c:pt idx="370">
                  <c:v>44375</c:v>
                </c:pt>
                <c:pt idx="371">
                  <c:v>44376</c:v>
                </c:pt>
                <c:pt idx="372">
                  <c:v>44377</c:v>
                </c:pt>
                <c:pt idx="373">
                  <c:v>44378</c:v>
                </c:pt>
                <c:pt idx="374">
                  <c:v>44379</c:v>
                </c:pt>
                <c:pt idx="375">
                  <c:v>44382</c:v>
                </c:pt>
                <c:pt idx="376">
                  <c:v>44383</c:v>
                </c:pt>
                <c:pt idx="377">
                  <c:v>44384</c:v>
                </c:pt>
                <c:pt idx="378">
                  <c:v>44385</c:v>
                </c:pt>
                <c:pt idx="379">
                  <c:v>44386</c:v>
                </c:pt>
                <c:pt idx="380">
                  <c:v>44389</c:v>
                </c:pt>
                <c:pt idx="381">
                  <c:v>44390</c:v>
                </c:pt>
                <c:pt idx="382">
                  <c:v>44391</c:v>
                </c:pt>
                <c:pt idx="383">
                  <c:v>44392</c:v>
                </c:pt>
                <c:pt idx="384">
                  <c:v>44393</c:v>
                </c:pt>
                <c:pt idx="385">
                  <c:v>44396</c:v>
                </c:pt>
                <c:pt idx="386">
                  <c:v>44397</c:v>
                </c:pt>
                <c:pt idx="387">
                  <c:v>44399</c:v>
                </c:pt>
                <c:pt idx="388">
                  <c:v>44400</c:v>
                </c:pt>
                <c:pt idx="389">
                  <c:v>44403</c:v>
                </c:pt>
                <c:pt idx="390">
                  <c:v>44404</c:v>
                </c:pt>
                <c:pt idx="391">
                  <c:v>44405</c:v>
                </c:pt>
                <c:pt idx="392">
                  <c:v>44406</c:v>
                </c:pt>
                <c:pt idx="393">
                  <c:v>44407</c:v>
                </c:pt>
                <c:pt idx="394">
                  <c:v>44410</c:v>
                </c:pt>
                <c:pt idx="395">
                  <c:v>44411</c:v>
                </c:pt>
                <c:pt idx="396">
                  <c:v>44412</c:v>
                </c:pt>
                <c:pt idx="397">
                  <c:v>44413</c:v>
                </c:pt>
                <c:pt idx="398">
                  <c:v>44414</c:v>
                </c:pt>
                <c:pt idx="399">
                  <c:v>44417</c:v>
                </c:pt>
                <c:pt idx="400">
                  <c:v>44418</c:v>
                </c:pt>
                <c:pt idx="401">
                  <c:v>44419</c:v>
                </c:pt>
                <c:pt idx="402">
                  <c:v>44420</c:v>
                </c:pt>
                <c:pt idx="403">
                  <c:v>44421</c:v>
                </c:pt>
                <c:pt idx="404">
                  <c:v>44424</c:v>
                </c:pt>
                <c:pt idx="405">
                  <c:v>44425</c:v>
                </c:pt>
                <c:pt idx="406">
                  <c:v>44426</c:v>
                </c:pt>
                <c:pt idx="407">
                  <c:v>44428</c:v>
                </c:pt>
                <c:pt idx="408">
                  <c:v>44431</c:v>
                </c:pt>
                <c:pt idx="409">
                  <c:v>44432</c:v>
                </c:pt>
                <c:pt idx="410">
                  <c:v>44433</c:v>
                </c:pt>
                <c:pt idx="411">
                  <c:v>44434</c:v>
                </c:pt>
                <c:pt idx="412">
                  <c:v>44435</c:v>
                </c:pt>
                <c:pt idx="413">
                  <c:v>44438</c:v>
                </c:pt>
                <c:pt idx="414">
                  <c:v>44439</c:v>
                </c:pt>
                <c:pt idx="415">
                  <c:v>44440</c:v>
                </c:pt>
                <c:pt idx="416">
                  <c:v>44441</c:v>
                </c:pt>
                <c:pt idx="417">
                  <c:v>44442</c:v>
                </c:pt>
                <c:pt idx="418">
                  <c:v>44445</c:v>
                </c:pt>
                <c:pt idx="419">
                  <c:v>44446</c:v>
                </c:pt>
                <c:pt idx="420">
                  <c:v>44447</c:v>
                </c:pt>
                <c:pt idx="421">
                  <c:v>44448</c:v>
                </c:pt>
                <c:pt idx="422">
                  <c:v>44452</c:v>
                </c:pt>
                <c:pt idx="423">
                  <c:v>44453</c:v>
                </c:pt>
                <c:pt idx="424">
                  <c:v>44454</c:v>
                </c:pt>
                <c:pt idx="425">
                  <c:v>44455</c:v>
                </c:pt>
                <c:pt idx="426">
                  <c:v>44456</c:v>
                </c:pt>
                <c:pt idx="427">
                  <c:v>44459</c:v>
                </c:pt>
                <c:pt idx="428">
                  <c:v>44460</c:v>
                </c:pt>
                <c:pt idx="429">
                  <c:v>44461</c:v>
                </c:pt>
                <c:pt idx="430">
                  <c:v>44462</c:v>
                </c:pt>
                <c:pt idx="431">
                  <c:v>44463</c:v>
                </c:pt>
                <c:pt idx="432">
                  <c:v>44466</c:v>
                </c:pt>
                <c:pt idx="433">
                  <c:v>44467</c:v>
                </c:pt>
                <c:pt idx="434">
                  <c:v>44468</c:v>
                </c:pt>
                <c:pt idx="435">
                  <c:v>44469</c:v>
                </c:pt>
                <c:pt idx="436">
                  <c:v>44470</c:v>
                </c:pt>
                <c:pt idx="437">
                  <c:v>44473</c:v>
                </c:pt>
                <c:pt idx="438">
                  <c:v>44474</c:v>
                </c:pt>
                <c:pt idx="439">
                  <c:v>44475</c:v>
                </c:pt>
                <c:pt idx="440">
                  <c:v>44476</c:v>
                </c:pt>
                <c:pt idx="441">
                  <c:v>44477</c:v>
                </c:pt>
                <c:pt idx="442">
                  <c:v>44480</c:v>
                </c:pt>
                <c:pt idx="443">
                  <c:v>44481</c:v>
                </c:pt>
                <c:pt idx="444">
                  <c:v>44482</c:v>
                </c:pt>
                <c:pt idx="445">
                  <c:v>44483</c:v>
                </c:pt>
                <c:pt idx="446">
                  <c:v>44487</c:v>
                </c:pt>
                <c:pt idx="447">
                  <c:v>44488</c:v>
                </c:pt>
                <c:pt idx="448">
                  <c:v>44489</c:v>
                </c:pt>
                <c:pt idx="449">
                  <c:v>44490</c:v>
                </c:pt>
                <c:pt idx="450">
                  <c:v>44491</c:v>
                </c:pt>
                <c:pt idx="451">
                  <c:v>44494</c:v>
                </c:pt>
                <c:pt idx="452">
                  <c:v>44495</c:v>
                </c:pt>
                <c:pt idx="453">
                  <c:v>44496</c:v>
                </c:pt>
                <c:pt idx="454">
                  <c:v>44497</c:v>
                </c:pt>
                <c:pt idx="455">
                  <c:v>44498</c:v>
                </c:pt>
                <c:pt idx="456">
                  <c:v>44501</c:v>
                </c:pt>
                <c:pt idx="457">
                  <c:v>44502</c:v>
                </c:pt>
                <c:pt idx="458">
                  <c:v>44503</c:v>
                </c:pt>
                <c:pt idx="459">
                  <c:v>44504</c:v>
                </c:pt>
                <c:pt idx="460">
                  <c:v>44508</c:v>
                </c:pt>
                <c:pt idx="461">
                  <c:v>44509</c:v>
                </c:pt>
                <c:pt idx="462">
                  <c:v>44510</c:v>
                </c:pt>
                <c:pt idx="463">
                  <c:v>44511</c:v>
                </c:pt>
                <c:pt idx="464">
                  <c:v>44512</c:v>
                </c:pt>
                <c:pt idx="465">
                  <c:v>44515</c:v>
                </c:pt>
                <c:pt idx="466">
                  <c:v>44516</c:v>
                </c:pt>
                <c:pt idx="467">
                  <c:v>44517</c:v>
                </c:pt>
                <c:pt idx="468">
                  <c:v>44518</c:v>
                </c:pt>
                <c:pt idx="469">
                  <c:v>44522</c:v>
                </c:pt>
                <c:pt idx="470">
                  <c:v>44523</c:v>
                </c:pt>
                <c:pt idx="471">
                  <c:v>44524</c:v>
                </c:pt>
                <c:pt idx="472">
                  <c:v>44525</c:v>
                </c:pt>
                <c:pt idx="473">
                  <c:v>44526</c:v>
                </c:pt>
                <c:pt idx="474">
                  <c:v>44529</c:v>
                </c:pt>
                <c:pt idx="475">
                  <c:v>44530</c:v>
                </c:pt>
                <c:pt idx="476">
                  <c:v>44531</c:v>
                </c:pt>
                <c:pt idx="477">
                  <c:v>44532</c:v>
                </c:pt>
                <c:pt idx="478">
                  <c:v>44533</c:v>
                </c:pt>
                <c:pt idx="479">
                  <c:v>44536</c:v>
                </c:pt>
                <c:pt idx="480">
                  <c:v>44537</c:v>
                </c:pt>
                <c:pt idx="481">
                  <c:v>44538</c:v>
                </c:pt>
                <c:pt idx="482">
                  <c:v>44539</c:v>
                </c:pt>
                <c:pt idx="483">
                  <c:v>44540</c:v>
                </c:pt>
                <c:pt idx="484">
                  <c:v>44543</c:v>
                </c:pt>
                <c:pt idx="485">
                  <c:v>44544</c:v>
                </c:pt>
                <c:pt idx="486">
                  <c:v>44545</c:v>
                </c:pt>
                <c:pt idx="487">
                  <c:v>44546</c:v>
                </c:pt>
                <c:pt idx="488">
                  <c:v>44547</c:v>
                </c:pt>
                <c:pt idx="489">
                  <c:v>44550</c:v>
                </c:pt>
                <c:pt idx="490">
                  <c:v>44551</c:v>
                </c:pt>
                <c:pt idx="491">
                  <c:v>44552</c:v>
                </c:pt>
                <c:pt idx="492">
                  <c:v>44553</c:v>
                </c:pt>
                <c:pt idx="493">
                  <c:v>44554</c:v>
                </c:pt>
                <c:pt idx="494">
                  <c:v>44557</c:v>
                </c:pt>
                <c:pt idx="495">
                  <c:v>44558</c:v>
                </c:pt>
                <c:pt idx="496">
                  <c:v>44559</c:v>
                </c:pt>
                <c:pt idx="497">
                  <c:v>44560</c:v>
                </c:pt>
                <c:pt idx="498">
                  <c:v>44561</c:v>
                </c:pt>
                <c:pt idx="499">
                  <c:v>44564</c:v>
                </c:pt>
                <c:pt idx="500">
                  <c:v>44565</c:v>
                </c:pt>
                <c:pt idx="501">
                  <c:v>44566</c:v>
                </c:pt>
                <c:pt idx="502">
                  <c:v>44567</c:v>
                </c:pt>
                <c:pt idx="503">
                  <c:v>44568</c:v>
                </c:pt>
                <c:pt idx="504">
                  <c:v>44571</c:v>
                </c:pt>
                <c:pt idx="505">
                  <c:v>44572</c:v>
                </c:pt>
                <c:pt idx="506">
                  <c:v>44573</c:v>
                </c:pt>
                <c:pt idx="507">
                  <c:v>44574</c:v>
                </c:pt>
                <c:pt idx="508">
                  <c:v>44575</c:v>
                </c:pt>
                <c:pt idx="509">
                  <c:v>44578</c:v>
                </c:pt>
                <c:pt idx="510">
                  <c:v>44579</c:v>
                </c:pt>
                <c:pt idx="511">
                  <c:v>44580</c:v>
                </c:pt>
                <c:pt idx="512">
                  <c:v>44581</c:v>
                </c:pt>
                <c:pt idx="513">
                  <c:v>44582</c:v>
                </c:pt>
                <c:pt idx="514">
                  <c:v>44585</c:v>
                </c:pt>
                <c:pt idx="515">
                  <c:v>44586</c:v>
                </c:pt>
                <c:pt idx="516">
                  <c:v>44588</c:v>
                </c:pt>
                <c:pt idx="517">
                  <c:v>44589</c:v>
                </c:pt>
                <c:pt idx="518">
                  <c:v>44592</c:v>
                </c:pt>
                <c:pt idx="519">
                  <c:v>44593</c:v>
                </c:pt>
                <c:pt idx="520">
                  <c:v>44594</c:v>
                </c:pt>
                <c:pt idx="521">
                  <c:v>44595</c:v>
                </c:pt>
                <c:pt idx="522">
                  <c:v>44596</c:v>
                </c:pt>
                <c:pt idx="523">
                  <c:v>44599</c:v>
                </c:pt>
                <c:pt idx="524">
                  <c:v>44600</c:v>
                </c:pt>
                <c:pt idx="525">
                  <c:v>44601</c:v>
                </c:pt>
                <c:pt idx="526">
                  <c:v>44602</c:v>
                </c:pt>
                <c:pt idx="527">
                  <c:v>44603</c:v>
                </c:pt>
                <c:pt idx="528">
                  <c:v>44606</c:v>
                </c:pt>
                <c:pt idx="529">
                  <c:v>44607</c:v>
                </c:pt>
                <c:pt idx="530">
                  <c:v>44608</c:v>
                </c:pt>
                <c:pt idx="531">
                  <c:v>44609</c:v>
                </c:pt>
                <c:pt idx="532">
                  <c:v>44610</c:v>
                </c:pt>
                <c:pt idx="533">
                  <c:v>44613</c:v>
                </c:pt>
                <c:pt idx="534">
                  <c:v>44614</c:v>
                </c:pt>
                <c:pt idx="535">
                  <c:v>44615</c:v>
                </c:pt>
                <c:pt idx="536">
                  <c:v>44616</c:v>
                </c:pt>
                <c:pt idx="537">
                  <c:v>44617</c:v>
                </c:pt>
                <c:pt idx="538">
                  <c:v>44620</c:v>
                </c:pt>
                <c:pt idx="539">
                  <c:v>44622</c:v>
                </c:pt>
                <c:pt idx="540">
                  <c:v>44623</c:v>
                </c:pt>
                <c:pt idx="541">
                  <c:v>44624</c:v>
                </c:pt>
                <c:pt idx="542">
                  <c:v>44627</c:v>
                </c:pt>
                <c:pt idx="543">
                  <c:v>44628</c:v>
                </c:pt>
                <c:pt idx="544">
                  <c:v>44629</c:v>
                </c:pt>
                <c:pt idx="545">
                  <c:v>44630</c:v>
                </c:pt>
                <c:pt idx="546">
                  <c:v>44631</c:v>
                </c:pt>
                <c:pt idx="547">
                  <c:v>44634</c:v>
                </c:pt>
                <c:pt idx="548">
                  <c:v>44635</c:v>
                </c:pt>
                <c:pt idx="549">
                  <c:v>44636</c:v>
                </c:pt>
                <c:pt idx="550">
                  <c:v>44637</c:v>
                </c:pt>
                <c:pt idx="551">
                  <c:v>44641</c:v>
                </c:pt>
                <c:pt idx="552">
                  <c:v>44642</c:v>
                </c:pt>
                <c:pt idx="553">
                  <c:v>44643</c:v>
                </c:pt>
                <c:pt idx="554">
                  <c:v>44644</c:v>
                </c:pt>
                <c:pt idx="555">
                  <c:v>44645</c:v>
                </c:pt>
                <c:pt idx="556">
                  <c:v>44648</c:v>
                </c:pt>
                <c:pt idx="557">
                  <c:v>44649</c:v>
                </c:pt>
                <c:pt idx="558">
                  <c:v>44650</c:v>
                </c:pt>
                <c:pt idx="559">
                  <c:v>44651</c:v>
                </c:pt>
                <c:pt idx="560">
                  <c:v>44652</c:v>
                </c:pt>
                <c:pt idx="561">
                  <c:v>44655</c:v>
                </c:pt>
                <c:pt idx="562">
                  <c:v>44656</c:v>
                </c:pt>
                <c:pt idx="563">
                  <c:v>44657</c:v>
                </c:pt>
                <c:pt idx="564">
                  <c:v>44658</c:v>
                </c:pt>
                <c:pt idx="565">
                  <c:v>44659</c:v>
                </c:pt>
                <c:pt idx="566">
                  <c:v>44662</c:v>
                </c:pt>
                <c:pt idx="567">
                  <c:v>44663</c:v>
                </c:pt>
                <c:pt idx="568">
                  <c:v>44664</c:v>
                </c:pt>
                <c:pt idx="569">
                  <c:v>44669</c:v>
                </c:pt>
                <c:pt idx="570">
                  <c:v>44670</c:v>
                </c:pt>
                <c:pt idx="571">
                  <c:v>44671</c:v>
                </c:pt>
                <c:pt idx="572">
                  <c:v>44672</c:v>
                </c:pt>
                <c:pt idx="573">
                  <c:v>44673</c:v>
                </c:pt>
                <c:pt idx="574">
                  <c:v>44676</c:v>
                </c:pt>
                <c:pt idx="575">
                  <c:v>44677</c:v>
                </c:pt>
                <c:pt idx="576">
                  <c:v>44678</c:v>
                </c:pt>
                <c:pt idx="577">
                  <c:v>44679</c:v>
                </c:pt>
                <c:pt idx="578">
                  <c:v>44680</c:v>
                </c:pt>
                <c:pt idx="579">
                  <c:v>44683</c:v>
                </c:pt>
                <c:pt idx="580">
                  <c:v>44685</c:v>
                </c:pt>
                <c:pt idx="581">
                  <c:v>44686</c:v>
                </c:pt>
                <c:pt idx="582">
                  <c:v>44687</c:v>
                </c:pt>
                <c:pt idx="583">
                  <c:v>44690</c:v>
                </c:pt>
                <c:pt idx="584">
                  <c:v>44691</c:v>
                </c:pt>
                <c:pt idx="585">
                  <c:v>44692</c:v>
                </c:pt>
                <c:pt idx="586">
                  <c:v>44693</c:v>
                </c:pt>
                <c:pt idx="587">
                  <c:v>44694</c:v>
                </c:pt>
                <c:pt idx="588">
                  <c:v>44697</c:v>
                </c:pt>
                <c:pt idx="589">
                  <c:v>44698</c:v>
                </c:pt>
                <c:pt idx="590">
                  <c:v>44699</c:v>
                </c:pt>
                <c:pt idx="591">
                  <c:v>44700</c:v>
                </c:pt>
                <c:pt idx="592">
                  <c:v>44701</c:v>
                </c:pt>
                <c:pt idx="593">
                  <c:v>44704</c:v>
                </c:pt>
                <c:pt idx="594">
                  <c:v>44705</c:v>
                </c:pt>
                <c:pt idx="595">
                  <c:v>44706</c:v>
                </c:pt>
                <c:pt idx="596">
                  <c:v>44707</c:v>
                </c:pt>
                <c:pt idx="597">
                  <c:v>44708</c:v>
                </c:pt>
                <c:pt idx="598">
                  <c:v>44711</c:v>
                </c:pt>
                <c:pt idx="599">
                  <c:v>44712</c:v>
                </c:pt>
                <c:pt idx="600">
                  <c:v>44713</c:v>
                </c:pt>
                <c:pt idx="601">
                  <c:v>44714</c:v>
                </c:pt>
                <c:pt idx="602">
                  <c:v>44715</c:v>
                </c:pt>
                <c:pt idx="603">
                  <c:v>44718</c:v>
                </c:pt>
                <c:pt idx="604">
                  <c:v>44719</c:v>
                </c:pt>
                <c:pt idx="605">
                  <c:v>44720</c:v>
                </c:pt>
                <c:pt idx="606">
                  <c:v>44721</c:v>
                </c:pt>
                <c:pt idx="607">
                  <c:v>44722</c:v>
                </c:pt>
                <c:pt idx="608">
                  <c:v>44725</c:v>
                </c:pt>
                <c:pt idx="609">
                  <c:v>44726</c:v>
                </c:pt>
                <c:pt idx="610">
                  <c:v>44727</c:v>
                </c:pt>
                <c:pt idx="611">
                  <c:v>44728</c:v>
                </c:pt>
                <c:pt idx="612">
                  <c:v>44729</c:v>
                </c:pt>
                <c:pt idx="613">
                  <c:v>44732</c:v>
                </c:pt>
                <c:pt idx="614">
                  <c:v>44733</c:v>
                </c:pt>
                <c:pt idx="615">
                  <c:v>44734</c:v>
                </c:pt>
                <c:pt idx="616">
                  <c:v>44735</c:v>
                </c:pt>
                <c:pt idx="617">
                  <c:v>44736</c:v>
                </c:pt>
                <c:pt idx="618">
                  <c:v>44739</c:v>
                </c:pt>
                <c:pt idx="619">
                  <c:v>44740</c:v>
                </c:pt>
                <c:pt idx="620">
                  <c:v>44741</c:v>
                </c:pt>
                <c:pt idx="621">
                  <c:v>44742</c:v>
                </c:pt>
                <c:pt idx="622">
                  <c:v>44743</c:v>
                </c:pt>
                <c:pt idx="623">
                  <c:v>44746</c:v>
                </c:pt>
                <c:pt idx="624">
                  <c:v>44747</c:v>
                </c:pt>
                <c:pt idx="625">
                  <c:v>44748</c:v>
                </c:pt>
                <c:pt idx="626">
                  <c:v>44749</c:v>
                </c:pt>
                <c:pt idx="627">
                  <c:v>44750</c:v>
                </c:pt>
                <c:pt idx="628">
                  <c:v>44753</c:v>
                </c:pt>
                <c:pt idx="629">
                  <c:v>44754</c:v>
                </c:pt>
                <c:pt idx="630">
                  <c:v>44755</c:v>
                </c:pt>
                <c:pt idx="631">
                  <c:v>44756</c:v>
                </c:pt>
                <c:pt idx="632">
                  <c:v>44757</c:v>
                </c:pt>
                <c:pt idx="633">
                  <c:v>44760</c:v>
                </c:pt>
                <c:pt idx="634">
                  <c:v>44761</c:v>
                </c:pt>
                <c:pt idx="635">
                  <c:v>44762</c:v>
                </c:pt>
                <c:pt idx="636">
                  <c:v>44763</c:v>
                </c:pt>
                <c:pt idx="637">
                  <c:v>44764</c:v>
                </c:pt>
                <c:pt idx="638">
                  <c:v>44767</c:v>
                </c:pt>
                <c:pt idx="639">
                  <c:v>44768</c:v>
                </c:pt>
                <c:pt idx="640">
                  <c:v>44769</c:v>
                </c:pt>
                <c:pt idx="641">
                  <c:v>44770</c:v>
                </c:pt>
                <c:pt idx="642">
                  <c:v>44771</c:v>
                </c:pt>
                <c:pt idx="643">
                  <c:v>44774</c:v>
                </c:pt>
                <c:pt idx="644">
                  <c:v>44775</c:v>
                </c:pt>
                <c:pt idx="645">
                  <c:v>44776</c:v>
                </c:pt>
                <c:pt idx="646">
                  <c:v>44777</c:v>
                </c:pt>
                <c:pt idx="647">
                  <c:v>44778</c:v>
                </c:pt>
                <c:pt idx="648">
                  <c:v>44781</c:v>
                </c:pt>
                <c:pt idx="649">
                  <c:v>44783</c:v>
                </c:pt>
                <c:pt idx="650">
                  <c:v>44784</c:v>
                </c:pt>
                <c:pt idx="651">
                  <c:v>44785</c:v>
                </c:pt>
                <c:pt idx="652">
                  <c:v>44789</c:v>
                </c:pt>
                <c:pt idx="653">
                  <c:v>44790</c:v>
                </c:pt>
                <c:pt idx="654">
                  <c:v>44791</c:v>
                </c:pt>
                <c:pt idx="655">
                  <c:v>44792</c:v>
                </c:pt>
                <c:pt idx="656">
                  <c:v>44795</c:v>
                </c:pt>
                <c:pt idx="657">
                  <c:v>44796</c:v>
                </c:pt>
                <c:pt idx="658">
                  <c:v>44797</c:v>
                </c:pt>
                <c:pt idx="659">
                  <c:v>44798</c:v>
                </c:pt>
                <c:pt idx="660">
                  <c:v>44799</c:v>
                </c:pt>
                <c:pt idx="661">
                  <c:v>44802</c:v>
                </c:pt>
                <c:pt idx="662">
                  <c:v>44803</c:v>
                </c:pt>
                <c:pt idx="663">
                  <c:v>44805</c:v>
                </c:pt>
                <c:pt idx="664">
                  <c:v>44806</c:v>
                </c:pt>
                <c:pt idx="665">
                  <c:v>44809</c:v>
                </c:pt>
                <c:pt idx="666">
                  <c:v>44810</c:v>
                </c:pt>
                <c:pt idx="667">
                  <c:v>44811</c:v>
                </c:pt>
                <c:pt idx="668">
                  <c:v>44812</c:v>
                </c:pt>
                <c:pt idx="669">
                  <c:v>44813</c:v>
                </c:pt>
                <c:pt idx="670">
                  <c:v>44816</c:v>
                </c:pt>
                <c:pt idx="671">
                  <c:v>44817</c:v>
                </c:pt>
                <c:pt idx="672">
                  <c:v>44818</c:v>
                </c:pt>
                <c:pt idx="673">
                  <c:v>44819</c:v>
                </c:pt>
                <c:pt idx="674">
                  <c:v>44820</c:v>
                </c:pt>
                <c:pt idx="675">
                  <c:v>44823</c:v>
                </c:pt>
                <c:pt idx="676">
                  <c:v>44824</c:v>
                </c:pt>
                <c:pt idx="677">
                  <c:v>44825</c:v>
                </c:pt>
                <c:pt idx="678">
                  <c:v>44826</c:v>
                </c:pt>
                <c:pt idx="679">
                  <c:v>44827</c:v>
                </c:pt>
                <c:pt idx="680">
                  <c:v>44830</c:v>
                </c:pt>
                <c:pt idx="681">
                  <c:v>44831</c:v>
                </c:pt>
                <c:pt idx="682">
                  <c:v>44832</c:v>
                </c:pt>
                <c:pt idx="683">
                  <c:v>44833</c:v>
                </c:pt>
                <c:pt idx="684">
                  <c:v>44834</c:v>
                </c:pt>
                <c:pt idx="685">
                  <c:v>44837</c:v>
                </c:pt>
                <c:pt idx="686">
                  <c:v>44838</c:v>
                </c:pt>
                <c:pt idx="687">
                  <c:v>44840</c:v>
                </c:pt>
                <c:pt idx="688">
                  <c:v>44841</c:v>
                </c:pt>
                <c:pt idx="689">
                  <c:v>44844</c:v>
                </c:pt>
                <c:pt idx="690">
                  <c:v>44845</c:v>
                </c:pt>
                <c:pt idx="691">
                  <c:v>44846</c:v>
                </c:pt>
                <c:pt idx="692">
                  <c:v>44847</c:v>
                </c:pt>
                <c:pt idx="693">
                  <c:v>44848</c:v>
                </c:pt>
                <c:pt idx="694">
                  <c:v>44851</c:v>
                </c:pt>
                <c:pt idx="695">
                  <c:v>44852</c:v>
                </c:pt>
                <c:pt idx="696">
                  <c:v>44853</c:v>
                </c:pt>
                <c:pt idx="697">
                  <c:v>44854</c:v>
                </c:pt>
                <c:pt idx="698">
                  <c:v>44855</c:v>
                </c:pt>
                <c:pt idx="699">
                  <c:v>44858</c:v>
                </c:pt>
                <c:pt idx="700">
                  <c:v>44859</c:v>
                </c:pt>
                <c:pt idx="701">
                  <c:v>44861</c:v>
                </c:pt>
                <c:pt idx="702">
                  <c:v>44862</c:v>
                </c:pt>
                <c:pt idx="703">
                  <c:v>44865</c:v>
                </c:pt>
                <c:pt idx="704">
                  <c:v>44866</c:v>
                </c:pt>
                <c:pt idx="705">
                  <c:v>44867</c:v>
                </c:pt>
                <c:pt idx="706">
                  <c:v>44868</c:v>
                </c:pt>
                <c:pt idx="707">
                  <c:v>44869</c:v>
                </c:pt>
                <c:pt idx="708">
                  <c:v>44872</c:v>
                </c:pt>
                <c:pt idx="709">
                  <c:v>44874</c:v>
                </c:pt>
                <c:pt idx="710">
                  <c:v>44875</c:v>
                </c:pt>
                <c:pt idx="711">
                  <c:v>44876</c:v>
                </c:pt>
                <c:pt idx="712">
                  <c:v>44879</c:v>
                </c:pt>
                <c:pt idx="713">
                  <c:v>44880</c:v>
                </c:pt>
                <c:pt idx="714">
                  <c:v>44881</c:v>
                </c:pt>
                <c:pt idx="715">
                  <c:v>44882</c:v>
                </c:pt>
                <c:pt idx="716">
                  <c:v>44883</c:v>
                </c:pt>
                <c:pt idx="717">
                  <c:v>44886</c:v>
                </c:pt>
                <c:pt idx="718">
                  <c:v>44887</c:v>
                </c:pt>
                <c:pt idx="719">
                  <c:v>44888</c:v>
                </c:pt>
                <c:pt idx="720">
                  <c:v>44889</c:v>
                </c:pt>
                <c:pt idx="721">
                  <c:v>44890</c:v>
                </c:pt>
                <c:pt idx="722">
                  <c:v>44893</c:v>
                </c:pt>
                <c:pt idx="723">
                  <c:v>44894</c:v>
                </c:pt>
                <c:pt idx="724">
                  <c:v>44895</c:v>
                </c:pt>
                <c:pt idx="725">
                  <c:v>44896</c:v>
                </c:pt>
                <c:pt idx="726">
                  <c:v>44897</c:v>
                </c:pt>
                <c:pt idx="727">
                  <c:v>44900</c:v>
                </c:pt>
                <c:pt idx="728">
                  <c:v>44901</c:v>
                </c:pt>
                <c:pt idx="729">
                  <c:v>44902</c:v>
                </c:pt>
                <c:pt idx="730">
                  <c:v>44903</c:v>
                </c:pt>
                <c:pt idx="731">
                  <c:v>44904</c:v>
                </c:pt>
                <c:pt idx="732">
                  <c:v>44907</c:v>
                </c:pt>
                <c:pt idx="733">
                  <c:v>44908</c:v>
                </c:pt>
                <c:pt idx="734">
                  <c:v>44909</c:v>
                </c:pt>
                <c:pt idx="735">
                  <c:v>44910</c:v>
                </c:pt>
                <c:pt idx="736">
                  <c:v>44911</c:v>
                </c:pt>
                <c:pt idx="737">
                  <c:v>44914</c:v>
                </c:pt>
                <c:pt idx="738">
                  <c:v>44915</c:v>
                </c:pt>
                <c:pt idx="739">
                  <c:v>44916</c:v>
                </c:pt>
                <c:pt idx="740">
                  <c:v>44917</c:v>
                </c:pt>
                <c:pt idx="741">
                  <c:v>44918</c:v>
                </c:pt>
                <c:pt idx="742">
                  <c:v>44921</c:v>
                </c:pt>
                <c:pt idx="743">
                  <c:v>44922</c:v>
                </c:pt>
                <c:pt idx="744">
                  <c:v>44923</c:v>
                </c:pt>
                <c:pt idx="745">
                  <c:v>44924</c:v>
                </c:pt>
                <c:pt idx="746">
                  <c:v>44925</c:v>
                </c:pt>
                <c:pt idx="747">
                  <c:v>44928</c:v>
                </c:pt>
                <c:pt idx="748">
                  <c:v>44929</c:v>
                </c:pt>
                <c:pt idx="749">
                  <c:v>44930</c:v>
                </c:pt>
                <c:pt idx="750">
                  <c:v>44931</c:v>
                </c:pt>
                <c:pt idx="751">
                  <c:v>44932</c:v>
                </c:pt>
                <c:pt idx="752">
                  <c:v>44935</c:v>
                </c:pt>
                <c:pt idx="753">
                  <c:v>44936</c:v>
                </c:pt>
                <c:pt idx="754">
                  <c:v>44937</c:v>
                </c:pt>
                <c:pt idx="755">
                  <c:v>44938</c:v>
                </c:pt>
                <c:pt idx="756">
                  <c:v>44939</c:v>
                </c:pt>
                <c:pt idx="757">
                  <c:v>44942</c:v>
                </c:pt>
                <c:pt idx="758">
                  <c:v>44943</c:v>
                </c:pt>
                <c:pt idx="759">
                  <c:v>44944</c:v>
                </c:pt>
                <c:pt idx="760">
                  <c:v>44945</c:v>
                </c:pt>
                <c:pt idx="761">
                  <c:v>44946</c:v>
                </c:pt>
                <c:pt idx="762">
                  <c:v>44949</c:v>
                </c:pt>
                <c:pt idx="763">
                  <c:v>44950</c:v>
                </c:pt>
                <c:pt idx="764">
                  <c:v>44951</c:v>
                </c:pt>
                <c:pt idx="765">
                  <c:v>44953</c:v>
                </c:pt>
                <c:pt idx="766">
                  <c:v>44956</c:v>
                </c:pt>
                <c:pt idx="767">
                  <c:v>44957</c:v>
                </c:pt>
                <c:pt idx="768">
                  <c:v>44958</c:v>
                </c:pt>
                <c:pt idx="769">
                  <c:v>44959</c:v>
                </c:pt>
                <c:pt idx="770">
                  <c:v>44960</c:v>
                </c:pt>
                <c:pt idx="771">
                  <c:v>44963</c:v>
                </c:pt>
                <c:pt idx="772">
                  <c:v>44964</c:v>
                </c:pt>
                <c:pt idx="773">
                  <c:v>44965</c:v>
                </c:pt>
                <c:pt idx="774">
                  <c:v>44966</c:v>
                </c:pt>
                <c:pt idx="775">
                  <c:v>44967</c:v>
                </c:pt>
                <c:pt idx="776">
                  <c:v>44970</c:v>
                </c:pt>
                <c:pt idx="777">
                  <c:v>44971</c:v>
                </c:pt>
                <c:pt idx="778">
                  <c:v>44972</c:v>
                </c:pt>
                <c:pt idx="779">
                  <c:v>44973</c:v>
                </c:pt>
                <c:pt idx="780">
                  <c:v>44974</c:v>
                </c:pt>
                <c:pt idx="781">
                  <c:v>44977</c:v>
                </c:pt>
                <c:pt idx="782">
                  <c:v>44978</c:v>
                </c:pt>
                <c:pt idx="783">
                  <c:v>44979</c:v>
                </c:pt>
                <c:pt idx="784">
                  <c:v>44980</c:v>
                </c:pt>
                <c:pt idx="785">
                  <c:v>44981</c:v>
                </c:pt>
                <c:pt idx="786">
                  <c:v>44984</c:v>
                </c:pt>
                <c:pt idx="787">
                  <c:v>44985</c:v>
                </c:pt>
                <c:pt idx="788">
                  <c:v>44986</c:v>
                </c:pt>
                <c:pt idx="789">
                  <c:v>44987</c:v>
                </c:pt>
                <c:pt idx="790">
                  <c:v>44988</c:v>
                </c:pt>
                <c:pt idx="791">
                  <c:v>44991</c:v>
                </c:pt>
                <c:pt idx="792">
                  <c:v>44993</c:v>
                </c:pt>
                <c:pt idx="793">
                  <c:v>44994</c:v>
                </c:pt>
                <c:pt idx="794">
                  <c:v>44995</c:v>
                </c:pt>
                <c:pt idx="795">
                  <c:v>44998</c:v>
                </c:pt>
                <c:pt idx="796">
                  <c:v>44999</c:v>
                </c:pt>
                <c:pt idx="797">
                  <c:v>45000</c:v>
                </c:pt>
                <c:pt idx="798">
                  <c:v>45001</c:v>
                </c:pt>
                <c:pt idx="799">
                  <c:v>45002</c:v>
                </c:pt>
                <c:pt idx="800">
                  <c:v>45005</c:v>
                </c:pt>
                <c:pt idx="801">
                  <c:v>45006</c:v>
                </c:pt>
                <c:pt idx="802">
                  <c:v>45007</c:v>
                </c:pt>
                <c:pt idx="803">
                  <c:v>45008</c:v>
                </c:pt>
                <c:pt idx="804">
                  <c:v>45009</c:v>
                </c:pt>
                <c:pt idx="805">
                  <c:v>45012</c:v>
                </c:pt>
                <c:pt idx="806">
                  <c:v>45013</c:v>
                </c:pt>
                <c:pt idx="807">
                  <c:v>45014</c:v>
                </c:pt>
                <c:pt idx="808">
                  <c:v>45016</c:v>
                </c:pt>
                <c:pt idx="809">
                  <c:v>45019</c:v>
                </c:pt>
                <c:pt idx="810">
                  <c:v>45021</c:v>
                </c:pt>
                <c:pt idx="811">
                  <c:v>45022</c:v>
                </c:pt>
                <c:pt idx="812">
                  <c:v>45026</c:v>
                </c:pt>
                <c:pt idx="813">
                  <c:v>45027</c:v>
                </c:pt>
                <c:pt idx="814">
                  <c:v>45028</c:v>
                </c:pt>
                <c:pt idx="815">
                  <c:v>45029</c:v>
                </c:pt>
                <c:pt idx="816">
                  <c:v>45033</c:v>
                </c:pt>
                <c:pt idx="817">
                  <c:v>45034</c:v>
                </c:pt>
                <c:pt idx="818">
                  <c:v>45035</c:v>
                </c:pt>
                <c:pt idx="819">
                  <c:v>45036</c:v>
                </c:pt>
                <c:pt idx="820">
                  <c:v>45037</c:v>
                </c:pt>
                <c:pt idx="821">
                  <c:v>45040</c:v>
                </c:pt>
                <c:pt idx="822">
                  <c:v>45041</c:v>
                </c:pt>
                <c:pt idx="823">
                  <c:v>45042</c:v>
                </c:pt>
                <c:pt idx="824">
                  <c:v>45043</c:v>
                </c:pt>
                <c:pt idx="825">
                  <c:v>45044</c:v>
                </c:pt>
                <c:pt idx="826">
                  <c:v>45048</c:v>
                </c:pt>
                <c:pt idx="827">
                  <c:v>45049</c:v>
                </c:pt>
                <c:pt idx="828">
                  <c:v>45050</c:v>
                </c:pt>
                <c:pt idx="829">
                  <c:v>45051</c:v>
                </c:pt>
                <c:pt idx="830">
                  <c:v>45054</c:v>
                </c:pt>
                <c:pt idx="831">
                  <c:v>45055</c:v>
                </c:pt>
                <c:pt idx="832">
                  <c:v>45056</c:v>
                </c:pt>
                <c:pt idx="833">
                  <c:v>45057</c:v>
                </c:pt>
                <c:pt idx="834">
                  <c:v>45058</c:v>
                </c:pt>
                <c:pt idx="835">
                  <c:v>45061</c:v>
                </c:pt>
                <c:pt idx="836">
                  <c:v>45062</c:v>
                </c:pt>
                <c:pt idx="837">
                  <c:v>45063</c:v>
                </c:pt>
                <c:pt idx="838">
                  <c:v>45064</c:v>
                </c:pt>
                <c:pt idx="839">
                  <c:v>45065</c:v>
                </c:pt>
                <c:pt idx="840">
                  <c:v>45068</c:v>
                </c:pt>
                <c:pt idx="841">
                  <c:v>45069</c:v>
                </c:pt>
                <c:pt idx="842">
                  <c:v>45070</c:v>
                </c:pt>
                <c:pt idx="843">
                  <c:v>45071</c:v>
                </c:pt>
                <c:pt idx="844">
                  <c:v>45072</c:v>
                </c:pt>
                <c:pt idx="845">
                  <c:v>45075</c:v>
                </c:pt>
                <c:pt idx="846">
                  <c:v>45076</c:v>
                </c:pt>
                <c:pt idx="847">
                  <c:v>45077</c:v>
                </c:pt>
                <c:pt idx="848">
                  <c:v>45078</c:v>
                </c:pt>
                <c:pt idx="849">
                  <c:v>45079</c:v>
                </c:pt>
                <c:pt idx="850">
                  <c:v>45082</c:v>
                </c:pt>
                <c:pt idx="851">
                  <c:v>45083</c:v>
                </c:pt>
                <c:pt idx="852">
                  <c:v>45084</c:v>
                </c:pt>
                <c:pt idx="853">
                  <c:v>45085</c:v>
                </c:pt>
                <c:pt idx="854">
                  <c:v>45086</c:v>
                </c:pt>
                <c:pt idx="855">
                  <c:v>45089</c:v>
                </c:pt>
                <c:pt idx="856">
                  <c:v>45090</c:v>
                </c:pt>
                <c:pt idx="857">
                  <c:v>45091</c:v>
                </c:pt>
                <c:pt idx="858">
                  <c:v>45092</c:v>
                </c:pt>
                <c:pt idx="859">
                  <c:v>45093</c:v>
                </c:pt>
                <c:pt idx="860">
                  <c:v>45096</c:v>
                </c:pt>
                <c:pt idx="861">
                  <c:v>45097</c:v>
                </c:pt>
                <c:pt idx="862">
                  <c:v>45098</c:v>
                </c:pt>
                <c:pt idx="863">
                  <c:v>45099</c:v>
                </c:pt>
                <c:pt idx="864">
                  <c:v>45100</c:v>
                </c:pt>
                <c:pt idx="865">
                  <c:v>45103</c:v>
                </c:pt>
                <c:pt idx="866">
                  <c:v>45104</c:v>
                </c:pt>
                <c:pt idx="867">
                  <c:v>45105</c:v>
                </c:pt>
                <c:pt idx="868">
                  <c:v>45107</c:v>
                </c:pt>
                <c:pt idx="869">
                  <c:v>45110</c:v>
                </c:pt>
                <c:pt idx="870">
                  <c:v>45111</c:v>
                </c:pt>
                <c:pt idx="871">
                  <c:v>45112</c:v>
                </c:pt>
                <c:pt idx="872">
                  <c:v>45113</c:v>
                </c:pt>
                <c:pt idx="873">
                  <c:v>45114</c:v>
                </c:pt>
                <c:pt idx="874">
                  <c:v>45117</c:v>
                </c:pt>
                <c:pt idx="875">
                  <c:v>45118</c:v>
                </c:pt>
                <c:pt idx="876">
                  <c:v>45119</c:v>
                </c:pt>
                <c:pt idx="877">
                  <c:v>45120</c:v>
                </c:pt>
                <c:pt idx="878">
                  <c:v>45121</c:v>
                </c:pt>
                <c:pt idx="879">
                  <c:v>45124</c:v>
                </c:pt>
                <c:pt idx="880">
                  <c:v>45125</c:v>
                </c:pt>
                <c:pt idx="881">
                  <c:v>45126</c:v>
                </c:pt>
                <c:pt idx="882">
                  <c:v>45127</c:v>
                </c:pt>
                <c:pt idx="883">
                  <c:v>45128</c:v>
                </c:pt>
                <c:pt idx="884">
                  <c:v>45131</c:v>
                </c:pt>
                <c:pt idx="885">
                  <c:v>45132</c:v>
                </c:pt>
                <c:pt idx="886">
                  <c:v>45133</c:v>
                </c:pt>
                <c:pt idx="887">
                  <c:v>45134</c:v>
                </c:pt>
                <c:pt idx="888">
                  <c:v>45135</c:v>
                </c:pt>
                <c:pt idx="889">
                  <c:v>45138</c:v>
                </c:pt>
                <c:pt idx="890">
                  <c:v>45139</c:v>
                </c:pt>
                <c:pt idx="891">
                  <c:v>45140</c:v>
                </c:pt>
                <c:pt idx="892">
                  <c:v>45141</c:v>
                </c:pt>
                <c:pt idx="893">
                  <c:v>45142</c:v>
                </c:pt>
                <c:pt idx="894">
                  <c:v>45145</c:v>
                </c:pt>
                <c:pt idx="895">
                  <c:v>45146</c:v>
                </c:pt>
                <c:pt idx="896">
                  <c:v>45147</c:v>
                </c:pt>
                <c:pt idx="897">
                  <c:v>45148</c:v>
                </c:pt>
                <c:pt idx="898">
                  <c:v>45149</c:v>
                </c:pt>
                <c:pt idx="899">
                  <c:v>45152</c:v>
                </c:pt>
                <c:pt idx="900">
                  <c:v>45154</c:v>
                </c:pt>
                <c:pt idx="901">
                  <c:v>45155</c:v>
                </c:pt>
                <c:pt idx="902">
                  <c:v>45156</c:v>
                </c:pt>
                <c:pt idx="903">
                  <c:v>45159</c:v>
                </c:pt>
                <c:pt idx="904">
                  <c:v>45160</c:v>
                </c:pt>
                <c:pt idx="905">
                  <c:v>45161</c:v>
                </c:pt>
                <c:pt idx="906">
                  <c:v>45162</c:v>
                </c:pt>
                <c:pt idx="907">
                  <c:v>45163</c:v>
                </c:pt>
                <c:pt idx="908">
                  <c:v>45166</c:v>
                </c:pt>
                <c:pt idx="909">
                  <c:v>45167</c:v>
                </c:pt>
                <c:pt idx="910">
                  <c:v>45168</c:v>
                </c:pt>
                <c:pt idx="911">
                  <c:v>45169</c:v>
                </c:pt>
                <c:pt idx="912">
                  <c:v>45170</c:v>
                </c:pt>
                <c:pt idx="913">
                  <c:v>45173</c:v>
                </c:pt>
                <c:pt idx="914">
                  <c:v>45174</c:v>
                </c:pt>
                <c:pt idx="915">
                  <c:v>45175</c:v>
                </c:pt>
                <c:pt idx="916">
                  <c:v>45176</c:v>
                </c:pt>
                <c:pt idx="917">
                  <c:v>45177</c:v>
                </c:pt>
                <c:pt idx="918">
                  <c:v>45180</c:v>
                </c:pt>
                <c:pt idx="919">
                  <c:v>45181</c:v>
                </c:pt>
                <c:pt idx="920">
                  <c:v>45182</c:v>
                </c:pt>
                <c:pt idx="921">
                  <c:v>45183</c:v>
                </c:pt>
                <c:pt idx="922">
                  <c:v>45184</c:v>
                </c:pt>
                <c:pt idx="923">
                  <c:v>45187</c:v>
                </c:pt>
                <c:pt idx="924">
                  <c:v>45189</c:v>
                </c:pt>
                <c:pt idx="925">
                  <c:v>45190</c:v>
                </c:pt>
                <c:pt idx="926">
                  <c:v>45191</c:v>
                </c:pt>
                <c:pt idx="927">
                  <c:v>45194</c:v>
                </c:pt>
                <c:pt idx="928">
                  <c:v>45195</c:v>
                </c:pt>
                <c:pt idx="929">
                  <c:v>45196</c:v>
                </c:pt>
                <c:pt idx="930">
                  <c:v>45197</c:v>
                </c:pt>
                <c:pt idx="931">
                  <c:v>45198</c:v>
                </c:pt>
                <c:pt idx="932">
                  <c:v>45202</c:v>
                </c:pt>
                <c:pt idx="933">
                  <c:v>45203</c:v>
                </c:pt>
                <c:pt idx="934">
                  <c:v>45204</c:v>
                </c:pt>
                <c:pt idx="935">
                  <c:v>45205</c:v>
                </c:pt>
                <c:pt idx="936">
                  <c:v>45208</c:v>
                </c:pt>
                <c:pt idx="937">
                  <c:v>45209</c:v>
                </c:pt>
                <c:pt idx="938">
                  <c:v>45210</c:v>
                </c:pt>
                <c:pt idx="939">
                  <c:v>45211</c:v>
                </c:pt>
                <c:pt idx="940">
                  <c:v>45212</c:v>
                </c:pt>
                <c:pt idx="941">
                  <c:v>45215</c:v>
                </c:pt>
                <c:pt idx="942">
                  <c:v>45216</c:v>
                </c:pt>
                <c:pt idx="943">
                  <c:v>45217</c:v>
                </c:pt>
                <c:pt idx="944">
                  <c:v>45218</c:v>
                </c:pt>
                <c:pt idx="945">
                  <c:v>45219</c:v>
                </c:pt>
                <c:pt idx="946">
                  <c:v>45222</c:v>
                </c:pt>
                <c:pt idx="947">
                  <c:v>45224</c:v>
                </c:pt>
                <c:pt idx="948">
                  <c:v>45225</c:v>
                </c:pt>
                <c:pt idx="949">
                  <c:v>45226</c:v>
                </c:pt>
                <c:pt idx="950">
                  <c:v>45229</c:v>
                </c:pt>
                <c:pt idx="951">
                  <c:v>45230</c:v>
                </c:pt>
                <c:pt idx="952">
                  <c:v>45231</c:v>
                </c:pt>
                <c:pt idx="953">
                  <c:v>45232</c:v>
                </c:pt>
                <c:pt idx="954">
                  <c:v>45233</c:v>
                </c:pt>
                <c:pt idx="955">
                  <c:v>45236</c:v>
                </c:pt>
                <c:pt idx="956">
                  <c:v>45237</c:v>
                </c:pt>
                <c:pt idx="957">
                  <c:v>45238</c:v>
                </c:pt>
                <c:pt idx="958">
                  <c:v>45239</c:v>
                </c:pt>
                <c:pt idx="959">
                  <c:v>45240</c:v>
                </c:pt>
                <c:pt idx="960">
                  <c:v>45242</c:v>
                </c:pt>
                <c:pt idx="961">
                  <c:v>45243</c:v>
                </c:pt>
                <c:pt idx="962">
                  <c:v>45245</c:v>
                </c:pt>
                <c:pt idx="963">
                  <c:v>45246</c:v>
                </c:pt>
                <c:pt idx="964">
                  <c:v>45247</c:v>
                </c:pt>
                <c:pt idx="965">
                  <c:v>45250</c:v>
                </c:pt>
                <c:pt idx="966">
                  <c:v>45251</c:v>
                </c:pt>
                <c:pt idx="967">
                  <c:v>45252</c:v>
                </c:pt>
                <c:pt idx="968">
                  <c:v>45253</c:v>
                </c:pt>
                <c:pt idx="969">
                  <c:v>45254</c:v>
                </c:pt>
                <c:pt idx="970">
                  <c:v>45258</c:v>
                </c:pt>
                <c:pt idx="971">
                  <c:v>45259</c:v>
                </c:pt>
                <c:pt idx="972">
                  <c:v>45260</c:v>
                </c:pt>
                <c:pt idx="973">
                  <c:v>45261</c:v>
                </c:pt>
                <c:pt idx="974">
                  <c:v>45264</c:v>
                </c:pt>
                <c:pt idx="975">
                  <c:v>45265</c:v>
                </c:pt>
                <c:pt idx="976">
                  <c:v>45266</c:v>
                </c:pt>
                <c:pt idx="977">
                  <c:v>45267</c:v>
                </c:pt>
                <c:pt idx="978">
                  <c:v>45268</c:v>
                </c:pt>
                <c:pt idx="979">
                  <c:v>45271</c:v>
                </c:pt>
                <c:pt idx="980">
                  <c:v>45272</c:v>
                </c:pt>
                <c:pt idx="981">
                  <c:v>45273</c:v>
                </c:pt>
                <c:pt idx="982">
                  <c:v>45274</c:v>
                </c:pt>
                <c:pt idx="983">
                  <c:v>45275</c:v>
                </c:pt>
                <c:pt idx="984">
                  <c:v>45278</c:v>
                </c:pt>
                <c:pt idx="985">
                  <c:v>45279</c:v>
                </c:pt>
                <c:pt idx="986">
                  <c:v>45280</c:v>
                </c:pt>
                <c:pt idx="987">
                  <c:v>45281</c:v>
                </c:pt>
                <c:pt idx="988">
                  <c:v>45282</c:v>
                </c:pt>
                <c:pt idx="989">
                  <c:v>45286</c:v>
                </c:pt>
                <c:pt idx="990">
                  <c:v>45287</c:v>
                </c:pt>
                <c:pt idx="991">
                  <c:v>45288</c:v>
                </c:pt>
                <c:pt idx="992">
                  <c:v>45289</c:v>
                </c:pt>
                <c:pt idx="993">
                  <c:v>45292</c:v>
                </c:pt>
                <c:pt idx="994">
                  <c:v>45293</c:v>
                </c:pt>
                <c:pt idx="995">
                  <c:v>45294</c:v>
                </c:pt>
                <c:pt idx="996">
                  <c:v>45295</c:v>
                </c:pt>
                <c:pt idx="997">
                  <c:v>45296</c:v>
                </c:pt>
                <c:pt idx="998">
                  <c:v>45299</c:v>
                </c:pt>
                <c:pt idx="999">
                  <c:v>45300</c:v>
                </c:pt>
                <c:pt idx="1000">
                  <c:v>45301</c:v>
                </c:pt>
                <c:pt idx="1001">
                  <c:v>45302</c:v>
                </c:pt>
                <c:pt idx="1002">
                  <c:v>45303</c:v>
                </c:pt>
                <c:pt idx="1003">
                  <c:v>45306</c:v>
                </c:pt>
                <c:pt idx="1004">
                  <c:v>45307</c:v>
                </c:pt>
                <c:pt idx="1005">
                  <c:v>45308</c:v>
                </c:pt>
                <c:pt idx="1006">
                  <c:v>45309</c:v>
                </c:pt>
                <c:pt idx="1007">
                  <c:v>45310</c:v>
                </c:pt>
                <c:pt idx="1008">
                  <c:v>45311</c:v>
                </c:pt>
                <c:pt idx="1009">
                  <c:v>45314</c:v>
                </c:pt>
                <c:pt idx="1010">
                  <c:v>45315</c:v>
                </c:pt>
                <c:pt idx="1011">
                  <c:v>45316</c:v>
                </c:pt>
                <c:pt idx="1012">
                  <c:v>45320</c:v>
                </c:pt>
                <c:pt idx="1013">
                  <c:v>45321</c:v>
                </c:pt>
                <c:pt idx="1014">
                  <c:v>45322</c:v>
                </c:pt>
                <c:pt idx="1015">
                  <c:v>45323</c:v>
                </c:pt>
                <c:pt idx="1016">
                  <c:v>45324</c:v>
                </c:pt>
                <c:pt idx="1017">
                  <c:v>45327</c:v>
                </c:pt>
                <c:pt idx="1018">
                  <c:v>45328</c:v>
                </c:pt>
                <c:pt idx="1019">
                  <c:v>45329</c:v>
                </c:pt>
                <c:pt idx="1020">
                  <c:v>45330</c:v>
                </c:pt>
                <c:pt idx="1021">
                  <c:v>45331</c:v>
                </c:pt>
                <c:pt idx="1022">
                  <c:v>45334</c:v>
                </c:pt>
                <c:pt idx="1023">
                  <c:v>45335</c:v>
                </c:pt>
                <c:pt idx="1024">
                  <c:v>45336</c:v>
                </c:pt>
                <c:pt idx="1025">
                  <c:v>45337</c:v>
                </c:pt>
                <c:pt idx="1026">
                  <c:v>45338</c:v>
                </c:pt>
                <c:pt idx="1027">
                  <c:v>45341</c:v>
                </c:pt>
                <c:pt idx="1028">
                  <c:v>45342</c:v>
                </c:pt>
                <c:pt idx="1029">
                  <c:v>45343</c:v>
                </c:pt>
                <c:pt idx="1030">
                  <c:v>45344</c:v>
                </c:pt>
                <c:pt idx="1031">
                  <c:v>45345</c:v>
                </c:pt>
                <c:pt idx="1032">
                  <c:v>45348</c:v>
                </c:pt>
                <c:pt idx="1033">
                  <c:v>45349</c:v>
                </c:pt>
                <c:pt idx="1034">
                  <c:v>45350</c:v>
                </c:pt>
                <c:pt idx="1035">
                  <c:v>45351</c:v>
                </c:pt>
                <c:pt idx="1036">
                  <c:v>45352</c:v>
                </c:pt>
                <c:pt idx="1037">
                  <c:v>45353</c:v>
                </c:pt>
                <c:pt idx="1038">
                  <c:v>45355</c:v>
                </c:pt>
                <c:pt idx="1039">
                  <c:v>45356</c:v>
                </c:pt>
                <c:pt idx="1040">
                  <c:v>45357</c:v>
                </c:pt>
                <c:pt idx="1041">
                  <c:v>45358</c:v>
                </c:pt>
                <c:pt idx="1042">
                  <c:v>45362</c:v>
                </c:pt>
                <c:pt idx="1043">
                  <c:v>45363</c:v>
                </c:pt>
                <c:pt idx="1044">
                  <c:v>45364</c:v>
                </c:pt>
                <c:pt idx="1045">
                  <c:v>45365</c:v>
                </c:pt>
                <c:pt idx="1046">
                  <c:v>45366</c:v>
                </c:pt>
                <c:pt idx="1047">
                  <c:v>45369</c:v>
                </c:pt>
                <c:pt idx="1048">
                  <c:v>45370</c:v>
                </c:pt>
                <c:pt idx="1049">
                  <c:v>45371</c:v>
                </c:pt>
                <c:pt idx="1050">
                  <c:v>45372</c:v>
                </c:pt>
                <c:pt idx="1051">
                  <c:v>45373</c:v>
                </c:pt>
                <c:pt idx="1052">
                  <c:v>45377</c:v>
                </c:pt>
                <c:pt idx="1053">
                  <c:v>45378</c:v>
                </c:pt>
                <c:pt idx="1054">
                  <c:v>45379</c:v>
                </c:pt>
                <c:pt idx="1055">
                  <c:v>45383</c:v>
                </c:pt>
                <c:pt idx="1056">
                  <c:v>45384</c:v>
                </c:pt>
                <c:pt idx="1057">
                  <c:v>45385</c:v>
                </c:pt>
                <c:pt idx="1058">
                  <c:v>45386</c:v>
                </c:pt>
                <c:pt idx="1059">
                  <c:v>45387</c:v>
                </c:pt>
                <c:pt idx="1060">
                  <c:v>45390</c:v>
                </c:pt>
                <c:pt idx="1061">
                  <c:v>45391</c:v>
                </c:pt>
                <c:pt idx="1062">
                  <c:v>45392</c:v>
                </c:pt>
                <c:pt idx="1063">
                  <c:v>45394</c:v>
                </c:pt>
                <c:pt idx="1064">
                  <c:v>45397</c:v>
                </c:pt>
                <c:pt idx="1065">
                  <c:v>45398</c:v>
                </c:pt>
                <c:pt idx="1066">
                  <c:v>45400</c:v>
                </c:pt>
                <c:pt idx="1067">
                  <c:v>45401</c:v>
                </c:pt>
                <c:pt idx="1068">
                  <c:v>45404</c:v>
                </c:pt>
                <c:pt idx="1069">
                  <c:v>45405</c:v>
                </c:pt>
                <c:pt idx="1070">
                  <c:v>45406</c:v>
                </c:pt>
                <c:pt idx="1071">
                  <c:v>45407</c:v>
                </c:pt>
                <c:pt idx="1072">
                  <c:v>45408</c:v>
                </c:pt>
                <c:pt idx="1073">
                  <c:v>45411</c:v>
                </c:pt>
                <c:pt idx="1074">
                  <c:v>45412</c:v>
                </c:pt>
                <c:pt idx="1075">
                  <c:v>45414</c:v>
                </c:pt>
                <c:pt idx="1076">
                  <c:v>45415</c:v>
                </c:pt>
                <c:pt idx="1077">
                  <c:v>45418</c:v>
                </c:pt>
                <c:pt idx="1078">
                  <c:v>45419</c:v>
                </c:pt>
                <c:pt idx="1079">
                  <c:v>45420</c:v>
                </c:pt>
                <c:pt idx="1080">
                  <c:v>45421</c:v>
                </c:pt>
                <c:pt idx="1081">
                  <c:v>45422</c:v>
                </c:pt>
                <c:pt idx="1082">
                  <c:v>45425</c:v>
                </c:pt>
                <c:pt idx="1083">
                  <c:v>45426</c:v>
                </c:pt>
                <c:pt idx="1084">
                  <c:v>45427</c:v>
                </c:pt>
                <c:pt idx="1085">
                  <c:v>45428</c:v>
                </c:pt>
                <c:pt idx="1086">
                  <c:v>45429</c:v>
                </c:pt>
                <c:pt idx="1087">
                  <c:v>45430</c:v>
                </c:pt>
                <c:pt idx="1088">
                  <c:v>45433</c:v>
                </c:pt>
                <c:pt idx="1089">
                  <c:v>45434</c:v>
                </c:pt>
                <c:pt idx="1090">
                  <c:v>45435</c:v>
                </c:pt>
                <c:pt idx="1091">
                  <c:v>45436</c:v>
                </c:pt>
                <c:pt idx="1092">
                  <c:v>45439</c:v>
                </c:pt>
                <c:pt idx="1093">
                  <c:v>45440</c:v>
                </c:pt>
                <c:pt idx="1094">
                  <c:v>45441</c:v>
                </c:pt>
                <c:pt idx="1095">
                  <c:v>45442</c:v>
                </c:pt>
                <c:pt idx="1096">
                  <c:v>45443</c:v>
                </c:pt>
                <c:pt idx="1097">
                  <c:v>45446</c:v>
                </c:pt>
                <c:pt idx="1098">
                  <c:v>45447</c:v>
                </c:pt>
                <c:pt idx="1099">
                  <c:v>45448</c:v>
                </c:pt>
                <c:pt idx="1100">
                  <c:v>45449</c:v>
                </c:pt>
                <c:pt idx="1101">
                  <c:v>45450</c:v>
                </c:pt>
                <c:pt idx="1102">
                  <c:v>45453</c:v>
                </c:pt>
                <c:pt idx="1103">
                  <c:v>45454</c:v>
                </c:pt>
                <c:pt idx="1104">
                  <c:v>45455</c:v>
                </c:pt>
                <c:pt idx="1105">
                  <c:v>45456</c:v>
                </c:pt>
                <c:pt idx="1106">
                  <c:v>45457</c:v>
                </c:pt>
                <c:pt idx="1107">
                  <c:v>45461</c:v>
                </c:pt>
                <c:pt idx="1108">
                  <c:v>45462</c:v>
                </c:pt>
                <c:pt idx="1109">
                  <c:v>45463</c:v>
                </c:pt>
                <c:pt idx="1110">
                  <c:v>45464</c:v>
                </c:pt>
                <c:pt idx="1111">
                  <c:v>45467</c:v>
                </c:pt>
                <c:pt idx="1112">
                  <c:v>45468</c:v>
                </c:pt>
                <c:pt idx="1113">
                  <c:v>45469</c:v>
                </c:pt>
                <c:pt idx="1114">
                  <c:v>45470</c:v>
                </c:pt>
                <c:pt idx="1115">
                  <c:v>45471</c:v>
                </c:pt>
                <c:pt idx="1116">
                  <c:v>45474</c:v>
                </c:pt>
                <c:pt idx="1117">
                  <c:v>45475</c:v>
                </c:pt>
                <c:pt idx="1118">
                  <c:v>45476</c:v>
                </c:pt>
                <c:pt idx="1119">
                  <c:v>45477</c:v>
                </c:pt>
                <c:pt idx="1120">
                  <c:v>45478</c:v>
                </c:pt>
                <c:pt idx="1121">
                  <c:v>45481</c:v>
                </c:pt>
                <c:pt idx="1122">
                  <c:v>45482</c:v>
                </c:pt>
                <c:pt idx="1123">
                  <c:v>45483</c:v>
                </c:pt>
                <c:pt idx="1124">
                  <c:v>45484</c:v>
                </c:pt>
                <c:pt idx="1125">
                  <c:v>45485</c:v>
                </c:pt>
                <c:pt idx="1126">
                  <c:v>45488</c:v>
                </c:pt>
                <c:pt idx="1127">
                  <c:v>45489</c:v>
                </c:pt>
                <c:pt idx="1128">
                  <c:v>45491</c:v>
                </c:pt>
                <c:pt idx="1129">
                  <c:v>45492</c:v>
                </c:pt>
                <c:pt idx="1130">
                  <c:v>45495</c:v>
                </c:pt>
                <c:pt idx="1131">
                  <c:v>45496</c:v>
                </c:pt>
                <c:pt idx="1132">
                  <c:v>45497</c:v>
                </c:pt>
                <c:pt idx="1133">
                  <c:v>45498</c:v>
                </c:pt>
                <c:pt idx="1134">
                  <c:v>45499</c:v>
                </c:pt>
                <c:pt idx="1135">
                  <c:v>45502</c:v>
                </c:pt>
                <c:pt idx="1136">
                  <c:v>45503</c:v>
                </c:pt>
                <c:pt idx="1137">
                  <c:v>45504</c:v>
                </c:pt>
                <c:pt idx="1138">
                  <c:v>45505</c:v>
                </c:pt>
                <c:pt idx="1139">
                  <c:v>45506</c:v>
                </c:pt>
                <c:pt idx="1140">
                  <c:v>45509</c:v>
                </c:pt>
                <c:pt idx="1141">
                  <c:v>45510</c:v>
                </c:pt>
                <c:pt idx="1142">
                  <c:v>45511</c:v>
                </c:pt>
                <c:pt idx="1143">
                  <c:v>45512</c:v>
                </c:pt>
                <c:pt idx="1144">
                  <c:v>45513</c:v>
                </c:pt>
                <c:pt idx="1145">
                  <c:v>45516</c:v>
                </c:pt>
                <c:pt idx="1146">
                  <c:v>45517</c:v>
                </c:pt>
                <c:pt idx="1147">
                  <c:v>45518</c:v>
                </c:pt>
                <c:pt idx="1148">
                  <c:v>45520</c:v>
                </c:pt>
                <c:pt idx="1149">
                  <c:v>45523</c:v>
                </c:pt>
                <c:pt idx="1150">
                  <c:v>45524</c:v>
                </c:pt>
                <c:pt idx="1151">
                  <c:v>45525</c:v>
                </c:pt>
                <c:pt idx="1152">
                  <c:v>45526</c:v>
                </c:pt>
                <c:pt idx="1153">
                  <c:v>45527</c:v>
                </c:pt>
                <c:pt idx="1154">
                  <c:v>45530</c:v>
                </c:pt>
                <c:pt idx="1155">
                  <c:v>45531</c:v>
                </c:pt>
                <c:pt idx="1156">
                  <c:v>45532</c:v>
                </c:pt>
                <c:pt idx="1157">
                  <c:v>45533</c:v>
                </c:pt>
                <c:pt idx="1158">
                  <c:v>45534</c:v>
                </c:pt>
                <c:pt idx="1159">
                  <c:v>45537</c:v>
                </c:pt>
                <c:pt idx="1160">
                  <c:v>45538</c:v>
                </c:pt>
                <c:pt idx="1161">
                  <c:v>45539</c:v>
                </c:pt>
                <c:pt idx="1162">
                  <c:v>45540</c:v>
                </c:pt>
                <c:pt idx="1163">
                  <c:v>45541</c:v>
                </c:pt>
                <c:pt idx="1164">
                  <c:v>45544</c:v>
                </c:pt>
                <c:pt idx="1165">
                  <c:v>45545</c:v>
                </c:pt>
                <c:pt idx="1166">
                  <c:v>45546</c:v>
                </c:pt>
                <c:pt idx="1167">
                  <c:v>45547</c:v>
                </c:pt>
                <c:pt idx="1168">
                  <c:v>45548</c:v>
                </c:pt>
                <c:pt idx="1169">
                  <c:v>45551</c:v>
                </c:pt>
                <c:pt idx="1170">
                  <c:v>45552</c:v>
                </c:pt>
                <c:pt idx="1171">
                  <c:v>45553</c:v>
                </c:pt>
                <c:pt idx="1172">
                  <c:v>45554</c:v>
                </c:pt>
                <c:pt idx="1173">
                  <c:v>45555</c:v>
                </c:pt>
                <c:pt idx="1174">
                  <c:v>45558</c:v>
                </c:pt>
                <c:pt idx="1175">
                  <c:v>45559</c:v>
                </c:pt>
                <c:pt idx="1176">
                  <c:v>45560</c:v>
                </c:pt>
                <c:pt idx="1177">
                  <c:v>45561</c:v>
                </c:pt>
                <c:pt idx="1178">
                  <c:v>45562</c:v>
                </c:pt>
                <c:pt idx="1179">
                  <c:v>45565</c:v>
                </c:pt>
                <c:pt idx="1180">
                  <c:v>45566</c:v>
                </c:pt>
                <c:pt idx="1181">
                  <c:v>45568</c:v>
                </c:pt>
                <c:pt idx="1182">
                  <c:v>45569</c:v>
                </c:pt>
                <c:pt idx="1183">
                  <c:v>45572</c:v>
                </c:pt>
                <c:pt idx="1184">
                  <c:v>45573</c:v>
                </c:pt>
                <c:pt idx="1185">
                  <c:v>45574</c:v>
                </c:pt>
                <c:pt idx="1186">
                  <c:v>45575</c:v>
                </c:pt>
                <c:pt idx="1187">
                  <c:v>45576</c:v>
                </c:pt>
                <c:pt idx="1188">
                  <c:v>45579</c:v>
                </c:pt>
                <c:pt idx="1189">
                  <c:v>45580</c:v>
                </c:pt>
                <c:pt idx="1190">
                  <c:v>45581</c:v>
                </c:pt>
                <c:pt idx="1191">
                  <c:v>45582</c:v>
                </c:pt>
                <c:pt idx="1192">
                  <c:v>45583</c:v>
                </c:pt>
                <c:pt idx="1193">
                  <c:v>45586</c:v>
                </c:pt>
                <c:pt idx="1194">
                  <c:v>45587</c:v>
                </c:pt>
                <c:pt idx="1195">
                  <c:v>45588</c:v>
                </c:pt>
                <c:pt idx="1196">
                  <c:v>45589</c:v>
                </c:pt>
                <c:pt idx="1197">
                  <c:v>45590</c:v>
                </c:pt>
                <c:pt idx="1198">
                  <c:v>45593</c:v>
                </c:pt>
                <c:pt idx="1199">
                  <c:v>45594</c:v>
                </c:pt>
                <c:pt idx="1200">
                  <c:v>45595</c:v>
                </c:pt>
                <c:pt idx="1201">
                  <c:v>45596</c:v>
                </c:pt>
                <c:pt idx="1202">
                  <c:v>45597</c:v>
                </c:pt>
                <c:pt idx="1203">
                  <c:v>45600</c:v>
                </c:pt>
                <c:pt idx="1204">
                  <c:v>45601</c:v>
                </c:pt>
                <c:pt idx="1205">
                  <c:v>45602</c:v>
                </c:pt>
                <c:pt idx="1206">
                  <c:v>45603</c:v>
                </c:pt>
                <c:pt idx="1207">
                  <c:v>45604</c:v>
                </c:pt>
                <c:pt idx="1208">
                  <c:v>45607</c:v>
                </c:pt>
                <c:pt idx="1209">
                  <c:v>45608</c:v>
                </c:pt>
                <c:pt idx="1210">
                  <c:v>45609</c:v>
                </c:pt>
                <c:pt idx="1211">
                  <c:v>45610</c:v>
                </c:pt>
                <c:pt idx="1212">
                  <c:v>45614</c:v>
                </c:pt>
                <c:pt idx="1213">
                  <c:v>45615</c:v>
                </c:pt>
                <c:pt idx="1214">
                  <c:v>45617</c:v>
                </c:pt>
                <c:pt idx="1215">
                  <c:v>45618</c:v>
                </c:pt>
                <c:pt idx="1216">
                  <c:v>45621</c:v>
                </c:pt>
                <c:pt idx="1217">
                  <c:v>45622</c:v>
                </c:pt>
                <c:pt idx="1218">
                  <c:v>45623</c:v>
                </c:pt>
                <c:pt idx="1219">
                  <c:v>45624</c:v>
                </c:pt>
                <c:pt idx="1220">
                  <c:v>45625</c:v>
                </c:pt>
                <c:pt idx="1221">
                  <c:v>45628</c:v>
                </c:pt>
                <c:pt idx="1222">
                  <c:v>45629</c:v>
                </c:pt>
                <c:pt idx="1223">
                  <c:v>45630</c:v>
                </c:pt>
                <c:pt idx="1224">
                  <c:v>45631</c:v>
                </c:pt>
                <c:pt idx="1225">
                  <c:v>45632</c:v>
                </c:pt>
                <c:pt idx="1226">
                  <c:v>45635</c:v>
                </c:pt>
                <c:pt idx="1227">
                  <c:v>45636</c:v>
                </c:pt>
                <c:pt idx="1228">
                  <c:v>45637</c:v>
                </c:pt>
                <c:pt idx="1229">
                  <c:v>45638</c:v>
                </c:pt>
                <c:pt idx="1230">
                  <c:v>45639</c:v>
                </c:pt>
                <c:pt idx="1231">
                  <c:v>45642</c:v>
                </c:pt>
                <c:pt idx="1232">
                  <c:v>45643</c:v>
                </c:pt>
                <c:pt idx="1233">
                  <c:v>45644</c:v>
                </c:pt>
                <c:pt idx="1234">
                  <c:v>45645</c:v>
                </c:pt>
                <c:pt idx="1235">
                  <c:v>45646</c:v>
                </c:pt>
                <c:pt idx="1236">
                  <c:v>45649</c:v>
                </c:pt>
                <c:pt idx="1237">
                  <c:v>45650</c:v>
                </c:pt>
                <c:pt idx="1238">
                  <c:v>45652</c:v>
                </c:pt>
                <c:pt idx="1239">
                  <c:v>45653</c:v>
                </c:pt>
                <c:pt idx="1240">
                  <c:v>45656</c:v>
                </c:pt>
                <c:pt idx="1241">
                  <c:v>45657</c:v>
                </c:pt>
                <c:pt idx="1242">
                  <c:v>45658</c:v>
                </c:pt>
                <c:pt idx="1243">
                  <c:v>45659</c:v>
                </c:pt>
                <c:pt idx="1244">
                  <c:v>45660</c:v>
                </c:pt>
                <c:pt idx="1245">
                  <c:v>45663</c:v>
                </c:pt>
                <c:pt idx="1246">
                  <c:v>45664</c:v>
                </c:pt>
                <c:pt idx="1247">
                  <c:v>45665</c:v>
                </c:pt>
                <c:pt idx="1248">
                  <c:v>45666</c:v>
                </c:pt>
                <c:pt idx="1249">
                  <c:v>45667</c:v>
                </c:pt>
                <c:pt idx="1250">
                  <c:v>45670</c:v>
                </c:pt>
                <c:pt idx="1251">
                  <c:v>45671</c:v>
                </c:pt>
                <c:pt idx="1252">
                  <c:v>45672</c:v>
                </c:pt>
                <c:pt idx="1253">
                  <c:v>45673</c:v>
                </c:pt>
                <c:pt idx="1254">
                  <c:v>45674</c:v>
                </c:pt>
                <c:pt idx="1255">
                  <c:v>45677</c:v>
                </c:pt>
                <c:pt idx="1256">
                  <c:v>45678</c:v>
                </c:pt>
                <c:pt idx="1257">
                  <c:v>45679</c:v>
                </c:pt>
                <c:pt idx="1258">
                  <c:v>45680</c:v>
                </c:pt>
                <c:pt idx="1259">
                  <c:v>45681</c:v>
                </c:pt>
                <c:pt idx="1260">
                  <c:v>45684</c:v>
                </c:pt>
                <c:pt idx="1261">
                  <c:v>45685</c:v>
                </c:pt>
                <c:pt idx="1262">
                  <c:v>45686</c:v>
                </c:pt>
                <c:pt idx="1263">
                  <c:v>45687</c:v>
                </c:pt>
                <c:pt idx="1264">
                  <c:v>45688</c:v>
                </c:pt>
                <c:pt idx="1265">
                  <c:v>45689</c:v>
                </c:pt>
                <c:pt idx="1266">
                  <c:v>45691</c:v>
                </c:pt>
                <c:pt idx="1267">
                  <c:v>45692</c:v>
                </c:pt>
                <c:pt idx="1268">
                  <c:v>45693</c:v>
                </c:pt>
                <c:pt idx="1269">
                  <c:v>45694</c:v>
                </c:pt>
                <c:pt idx="1270">
                  <c:v>45695</c:v>
                </c:pt>
                <c:pt idx="1271">
                  <c:v>45698</c:v>
                </c:pt>
                <c:pt idx="1272">
                  <c:v>45699</c:v>
                </c:pt>
                <c:pt idx="1273">
                  <c:v>45700</c:v>
                </c:pt>
                <c:pt idx="1274">
                  <c:v>45701</c:v>
                </c:pt>
                <c:pt idx="1275">
                  <c:v>45702</c:v>
                </c:pt>
                <c:pt idx="1276">
                  <c:v>45705</c:v>
                </c:pt>
                <c:pt idx="1277">
                  <c:v>45706</c:v>
                </c:pt>
                <c:pt idx="1278">
                  <c:v>45707</c:v>
                </c:pt>
                <c:pt idx="1279">
                  <c:v>45708</c:v>
                </c:pt>
                <c:pt idx="1280">
                  <c:v>45709</c:v>
                </c:pt>
                <c:pt idx="1281">
                  <c:v>45712</c:v>
                </c:pt>
                <c:pt idx="1282">
                  <c:v>45713</c:v>
                </c:pt>
                <c:pt idx="1283">
                  <c:v>45715</c:v>
                </c:pt>
                <c:pt idx="1284">
                  <c:v>45716</c:v>
                </c:pt>
                <c:pt idx="1285">
                  <c:v>45719</c:v>
                </c:pt>
                <c:pt idx="1286">
                  <c:v>45720</c:v>
                </c:pt>
                <c:pt idx="1287">
                  <c:v>45721</c:v>
                </c:pt>
                <c:pt idx="1288">
                  <c:v>45722</c:v>
                </c:pt>
                <c:pt idx="1289">
                  <c:v>45723</c:v>
                </c:pt>
                <c:pt idx="1290">
                  <c:v>45726</c:v>
                </c:pt>
                <c:pt idx="1291">
                  <c:v>45727</c:v>
                </c:pt>
                <c:pt idx="1292">
                  <c:v>45728</c:v>
                </c:pt>
                <c:pt idx="1293">
                  <c:v>45729</c:v>
                </c:pt>
                <c:pt idx="1294">
                  <c:v>45733</c:v>
                </c:pt>
                <c:pt idx="1295">
                  <c:v>45734</c:v>
                </c:pt>
                <c:pt idx="1296">
                  <c:v>45735</c:v>
                </c:pt>
                <c:pt idx="1297">
                  <c:v>45736</c:v>
                </c:pt>
                <c:pt idx="1298">
                  <c:v>45737</c:v>
                </c:pt>
                <c:pt idx="1299">
                  <c:v>45740</c:v>
                </c:pt>
                <c:pt idx="1300">
                  <c:v>45741</c:v>
                </c:pt>
                <c:pt idx="1301">
                  <c:v>45742</c:v>
                </c:pt>
                <c:pt idx="1302">
                  <c:v>45743</c:v>
                </c:pt>
                <c:pt idx="1303">
                  <c:v>45744</c:v>
                </c:pt>
                <c:pt idx="1304">
                  <c:v>45748</c:v>
                </c:pt>
                <c:pt idx="1305">
                  <c:v>45749</c:v>
                </c:pt>
                <c:pt idx="1306">
                  <c:v>45750</c:v>
                </c:pt>
                <c:pt idx="1307">
                  <c:v>45751</c:v>
                </c:pt>
                <c:pt idx="1308">
                  <c:v>45754</c:v>
                </c:pt>
                <c:pt idx="1309">
                  <c:v>45755</c:v>
                </c:pt>
                <c:pt idx="1310">
                  <c:v>45756</c:v>
                </c:pt>
                <c:pt idx="1311">
                  <c:v>45758</c:v>
                </c:pt>
                <c:pt idx="1312">
                  <c:v>45762</c:v>
                </c:pt>
                <c:pt idx="1313">
                  <c:v>45763</c:v>
                </c:pt>
                <c:pt idx="1314">
                  <c:v>45764</c:v>
                </c:pt>
                <c:pt idx="1315">
                  <c:v>45768</c:v>
                </c:pt>
                <c:pt idx="1316">
                  <c:v>45769</c:v>
                </c:pt>
                <c:pt idx="1317">
                  <c:v>45770</c:v>
                </c:pt>
                <c:pt idx="1318">
                  <c:v>45771</c:v>
                </c:pt>
                <c:pt idx="1319">
                  <c:v>45772</c:v>
                </c:pt>
                <c:pt idx="1320">
                  <c:v>45775</c:v>
                </c:pt>
                <c:pt idx="1321">
                  <c:v>45776</c:v>
                </c:pt>
                <c:pt idx="1322">
                  <c:v>45777</c:v>
                </c:pt>
                <c:pt idx="1323">
                  <c:v>45779</c:v>
                </c:pt>
                <c:pt idx="1324">
                  <c:v>45782</c:v>
                </c:pt>
                <c:pt idx="1325">
                  <c:v>45783</c:v>
                </c:pt>
                <c:pt idx="1326">
                  <c:v>45784</c:v>
                </c:pt>
                <c:pt idx="1327">
                  <c:v>45785</c:v>
                </c:pt>
                <c:pt idx="1328">
                  <c:v>45786</c:v>
                </c:pt>
                <c:pt idx="1329">
                  <c:v>45789</c:v>
                </c:pt>
                <c:pt idx="1330">
                  <c:v>45790</c:v>
                </c:pt>
                <c:pt idx="1331">
                  <c:v>45791</c:v>
                </c:pt>
                <c:pt idx="1332">
                  <c:v>45792</c:v>
                </c:pt>
                <c:pt idx="1333">
                  <c:v>45793</c:v>
                </c:pt>
                <c:pt idx="1334">
                  <c:v>45796</c:v>
                </c:pt>
                <c:pt idx="1335">
                  <c:v>45797</c:v>
                </c:pt>
                <c:pt idx="1336">
                  <c:v>45798</c:v>
                </c:pt>
                <c:pt idx="1337">
                  <c:v>45799</c:v>
                </c:pt>
                <c:pt idx="1338">
                  <c:v>45800</c:v>
                </c:pt>
                <c:pt idx="1339">
                  <c:v>45803</c:v>
                </c:pt>
                <c:pt idx="1340">
                  <c:v>45804</c:v>
                </c:pt>
                <c:pt idx="1341">
                  <c:v>45805</c:v>
                </c:pt>
                <c:pt idx="1342">
                  <c:v>45806</c:v>
                </c:pt>
                <c:pt idx="1343">
                  <c:v>45807</c:v>
                </c:pt>
                <c:pt idx="1344">
                  <c:v>45810</c:v>
                </c:pt>
                <c:pt idx="1345">
                  <c:v>45811</c:v>
                </c:pt>
                <c:pt idx="1346">
                  <c:v>45812</c:v>
                </c:pt>
                <c:pt idx="1347">
                  <c:v>45813</c:v>
                </c:pt>
                <c:pt idx="1348">
                  <c:v>45814</c:v>
                </c:pt>
                <c:pt idx="1349">
                  <c:v>45817</c:v>
                </c:pt>
                <c:pt idx="1350">
                  <c:v>45818</c:v>
                </c:pt>
                <c:pt idx="1351">
                  <c:v>45819</c:v>
                </c:pt>
                <c:pt idx="1352">
                  <c:v>45820</c:v>
                </c:pt>
                <c:pt idx="1353">
                  <c:v>45821</c:v>
                </c:pt>
                <c:pt idx="1354">
                  <c:v>45824</c:v>
                </c:pt>
                <c:pt idx="1355">
                  <c:v>45825</c:v>
                </c:pt>
                <c:pt idx="1356">
                  <c:v>45826</c:v>
                </c:pt>
                <c:pt idx="1357">
                  <c:v>45827</c:v>
                </c:pt>
                <c:pt idx="1358">
                  <c:v>45828</c:v>
                </c:pt>
                <c:pt idx="1359">
                  <c:v>45831</c:v>
                </c:pt>
                <c:pt idx="1360">
                  <c:v>45832</c:v>
                </c:pt>
                <c:pt idx="1361">
                  <c:v>45833</c:v>
                </c:pt>
                <c:pt idx="1362">
                  <c:v>45834</c:v>
                </c:pt>
                <c:pt idx="1363">
                  <c:v>45835</c:v>
                </c:pt>
                <c:pt idx="1364">
                  <c:v>45838</c:v>
                </c:pt>
                <c:pt idx="1365">
                  <c:v>45839</c:v>
                </c:pt>
                <c:pt idx="1366">
                  <c:v>45840</c:v>
                </c:pt>
                <c:pt idx="1367">
                  <c:v>45841</c:v>
                </c:pt>
                <c:pt idx="1368">
                  <c:v>45842</c:v>
                </c:pt>
                <c:pt idx="1369">
                  <c:v>45845</c:v>
                </c:pt>
                <c:pt idx="1370">
                  <c:v>45846</c:v>
                </c:pt>
                <c:pt idx="1371">
                  <c:v>45847</c:v>
                </c:pt>
                <c:pt idx="1372">
                  <c:v>45848</c:v>
                </c:pt>
                <c:pt idx="1373">
                  <c:v>45849</c:v>
                </c:pt>
                <c:pt idx="1374">
                  <c:v>45852</c:v>
                </c:pt>
                <c:pt idx="1375">
                  <c:v>45853</c:v>
                </c:pt>
                <c:pt idx="1376">
                  <c:v>45854</c:v>
                </c:pt>
                <c:pt idx="1377">
                  <c:v>45855</c:v>
                </c:pt>
                <c:pt idx="1378">
                  <c:v>45856</c:v>
                </c:pt>
                <c:pt idx="1379">
                  <c:v>45859</c:v>
                </c:pt>
                <c:pt idx="1380">
                  <c:v>45860</c:v>
                </c:pt>
                <c:pt idx="1381">
                  <c:v>45861</c:v>
                </c:pt>
                <c:pt idx="1382">
                  <c:v>45862</c:v>
                </c:pt>
                <c:pt idx="1383">
                  <c:v>45863</c:v>
                </c:pt>
                <c:pt idx="1384">
                  <c:v>45866</c:v>
                </c:pt>
                <c:pt idx="1385">
                  <c:v>45867</c:v>
                </c:pt>
                <c:pt idx="1386">
                  <c:v>45868</c:v>
                </c:pt>
                <c:pt idx="1387">
                  <c:v>45869</c:v>
                </c:pt>
                <c:pt idx="1388">
                  <c:v>45870</c:v>
                </c:pt>
                <c:pt idx="1389">
                  <c:v>45873</c:v>
                </c:pt>
                <c:pt idx="1390">
                  <c:v>45874</c:v>
                </c:pt>
                <c:pt idx="1391">
                  <c:v>45875</c:v>
                </c:pt>
                <c:pt idx="1392">
                  <c:v>45876</c:v>
                </c:pt>
                <c:pt idx="1393">
                  <c:v>45877</c:v>
                </c:pt>
                <c:pt idx="1394">
                  <c:v>45880</c:v>
                </c:pt>
                <c:pt idx="1395">
                  <c:v>45881</c:v>
                </c:pt>
                <c:pt idx="1396">
                  <c:v>45882</c:v>
                </c:pt>
                <c:pt idx="1397">
                  <c:v>45883</c:v>
                </c:pt>
                <c:pt idx="1398">
                  <c:v>45887</c:v>
                </c:pt>
                <c:pt idx="1399">
                  <c:v>45888</c:v>
                </c:pt>
                <c:pt idx="1400">
                  <c:v>45889</c:v>
                </c:pt>
                <c:pt idx="1401">
                  <c:v>45890</c:v>
                </c:pt>
                <c:pt idx="1402">
                  <c:v>45891</c:v>
                </c:pt>
                <c:pt idx="1403">
                  <c:v>45894</c:v>
                </c:pt>
                <c:pt idx="1404">
                  <c:v>45895</c:v>
                </c:pt>
                <c:pt idx="1405">
                  <c:v>45897</c:v>
                </c:pt>
                <c:pt idx="1406">
                  <c:v>45898</c:v>
                </c:pt>
                <c:pt idx="1407">
                  <c:v>45901</c:v>
                </c:pt>
                <c:pt idx="1408">
                  <c:v>45902</c:v>
                </c:pt>
                <c:pt idx="1409">
                  <c:v>45903</c:v>
                </c:pt>
                <c:pt idx="1410">
                  <c:v>45904</c:v>
                </c:pt>
                <c:pt idx="1411">
                  <c:v>45905</c:v>
                </c:pt>
                <c:pt idx="1412">
                  <c:v>45908</c:v>
                </c:pt>
                <c:pt idx="1413">
                  <c:v>45909</c:v>
                </c:pt>
                <c:pt idx="1414">
                  <c:v>45910</c:v>
                </c:pt>
                <c:pt idx="1415">
                  <c:v>45911</c:v>
                </c:pt>
                <c:pt idx="1416">
                  <c:v>45912</c:v>
                </c:pt>
                <c:pt idx="1417">
                  <c:v>45915</c:v>
                </c:pt>
                <c:pt idx="1418">
                  <c:v>45916</c:v>
                </c:pt>
                <c:pt idx="1419">
                  <c:v>45917</c:v>
                </c:pt>
                <c:pt idx="1420">
                  <c:v>45918</c:v>
                </c:pt>
                <c:pt idx="1421">
                  <c:v>45919</c:v>
                </c:pt>
                <c:pt idx="1422">
                  <c:v>45922</c:v>
                </c:pt>
                <c:pt idx="1423">
                  <c:v>45923</c:v>
                </c:pt>
                <c:pt idx="1424">
                  <c:v>45924</c:v>
                </c:pt>
                <c:pt idx="1425">
                  <c:v>45925</c:v>
                </c:pt>
                <c:pt idx="1426">
                  <c:v>45926</c:v>
                </c:pt>
                <c:pt idx="1427">
                  <c:v>45929</c:v>
                </c:pt>
                <c:pt idx="1428">
                  <c:v>45930</c:v>
                </c:pt>
                <c:pt idx="1429">
                  <c:v>45931</c:v>
                </c:pt>
                <c:pt idx="1430">
                  <c:v>45933</c:v>
                </c:pt>
                <c:pt idx="1431">
                  <c:v>45936</c:v>
                </c:pt>
                <c:pt idx="1432">
                  <c:v>45937</c:v>
                </c:pt>
                <c:pt idx="1433">
                  <c:v>45938</c:v>
                </c:pt>
                <c:pt idx="1434">
                  <c:v>45939</c:v>
                </c:pt>
                <c:pt idx="1435">
                  <c:v>45940</c:v>
                </c:pt>
                <c:pt idx="1436">
                  <c:v>45943</c:v>
                </c:pt>
                <c:pt idx="1437">
                  <c:v>45944</c:v>
                </c:pt>
                <c:pt idx="1438">
                  <c:v>45945</c:v>
                </c:pt>
                <c:pt idx="1439">
                  <c:v>45946</c:v>
                </c:pt>
                <c:pt idx="1440">
                  <c:v>45947</c:v>
                </c:pt>
                <c:pt idx="1441">
                  <c:v>45950</c:v>
                </c:pt>
                <c:pt idx="1442">
                  <c:v>45951</c:v>
                </c:pt>
                <c:pt idx="1443">
                  <c:v>45953</c:v>
                </c:pt>
                <c:pt idx="1444">
                  <c:v>45954</c:v>
                </c:pt>
                <c:pt idx="1445">
                  <c:v>45957</c:v>
                </c:pt>
                <c:pt idx="1446">
                  <c:v>45958</c:v>
                </c:pt>
                <c:pt idx="1447">
                  <c:v>45959</c:v>
                </c:pt>
                <c:pt idx="1448">
                  <c:v>45960</c:v>
                </c:pt>
                <c:pt idx="1449">
                  <c:v>45961</c:v>
                </c:pt>
                <c:pt idx="1450">
                  <c:v>45964</c:v>
                </c:pt>
                <c:pt idx="1451">
                  <c:v>45965</c:v>
                </c:pt>
                <c:pt idx="1452">
                  <c:v>45967</c:v>
                </c:pt>
                <c:pt idx="1453">
                  <c:v>45968</c:v>
                </c:pt>
                <c:pt idx="1454">
                  <c:v>45971</c:v>
                </c:pt>
                <c:pt idx="1455">
                  <c:v>45972</c:v>
                </c:pt>
                <c:pt idx="1456">
                  <c:v>45973</c:v>
                </c:pt>
                <c:pt idx="1457">
                  <c:v>45974</c:v>
                </c:pt>
                <c:pt idx="1458">
                  <c:v>45975</c:v>
                </c:pt>
                <c:pt idx="1459">
                  <c:v>45978</c:v>
                </c:pt>
                <c:pt idx="1460">
                  <c:v>45979</c:v>
                </c:pt>
                <c:pt idx="1461">
                  <c:v>45980</c:v>
                </c:pt>
                <c:pt idx="1462">
                  <c:v>45981</c:v>
                </c:pt>
                <c:pt idx="1463">
                  <c:v>45982</c:v>
                </c:pt>
                <c:pt idx="1464">
                  <c:v>45985</c:v>
                </c:pt>
                <c:pt idx="1465">
                  <c:v>45986</c:v>
                </c:pt>
                <c:pt idx="1466">
                  <c:v>45987</c:v>
                </c:pt>
                <c:pt idx="1467">
                  <c:v>45988</c:v>
                </c:pt>
                <c:pt idx="1468">
                  <c:v>45989</c:v>
                </c:pt>
                <c:pt idx="1469">
                  <c:v>45992</c:v>
                </c:pt>
                <c:pt idx="1470">
                  <c:v>45993</c:v>
                </c:pt>
                <c:pt idx="1471">
                  <c:v>45994</c:v>
                </c:pt>
                <c:pt idx="1472">
                  <c:v>45995</c:v>
                </c:pt>
                <c:pt idx="1473">
                  <c:v>45996</c:v>
                </c:pt>
                <c:pt idx="1474">
                  <c:v>45999</c:v>
                </c:pt>
                <c:pt idx="1475">
                  <c:v>46000</c:v>
                </c:pt>
                <c:pt idx="1476">
                  <c:v>46001</c:v>
                </c:pt>
                <c:pt idx="1477">
                  <c:v>46002</c:v>
                </c:pt>
                <c:pt idx="1478">
                  <c:v>46003</c:v>
                </c:pt>
                <c:pt idx="1479">
                  <c:v>46006</c:v>
                </c:pt>
                <c:pt idx="1480">
                  <c:v>46007</c:v>
                </c:pt>
                <c:pt idx="1481">
                  <c:v>46008</c:v>
                </c:pt>
                <c:pt idx="1482">
                  <c:v>46009</c:v>
                </c:pt>
                <c:pt idx="1483">
                  <c:v>46010</c:v>
                </c:pt>
                <c:pt idx="1484">
                  <c:v>46013</c:v>
                </c:pt>
                <c:pt idx="1485">
                  <c:v>46014</c:v>
                </c:pt>
                <c:pt idx="1486">
                  <c:v>46015</c:v>
                </c:pt>
                <c:pt idx="1487">
                  <c:v>46017</c:v>
                </c:pt>
                <c:pt idx="1488">
                  <c:v>46020</c:v>
                </c:pt>
                <c:pt idx="1489">
                  <c:v>46021</c:v>
                </c:pt>
                <c:pt idx="1490">
                  <c:v>46022</c:v>
                </c:pt>
                <c:pt idx="1491">
                  <c:v>46023</c:v>
                </c:pt>
                <c:pt idx="1492">
                  <c:v>46024</c:v>
                </c:pt>
                <c:pt idx="1493">
                  <c:v>46027</c:v>
                </c:pt>
                <c:pt idx="1494">
                  <c:v>46028</c:v>
                </c:pt>
                <c:pt idx="1495">
                  <c:v>46029</c:v>
                </c:pt>
                <c:pt idx="1496">
                  <c:v>46030</c:v>
                </c:pt>
                <c:pt idx="1497">
                  <c:v>46031</c:v>
                </c:pt>
                <c:pt idx="1498">
                  <c:v>46034</c:v>
                </c:pt>
                <c:pt idx="1499">
                  <c:v>46035</c:v>
                </c:pt>
                <c:pt idx="1500">
                  <c:v>46036</c:v>
                </c:pt>
                <c:pt idx="1501">
                  <c:v>46038</c:v>
                </c:pt>
                <c:pt idx="1502">
                  <c:v>46041</c:v>
                </c:pt>
                <c:pt idx="1503">
                  <c:v>46042</c:v>
                </c:pt>
                <c:pt idx="1504">
                  <c:v>46043</c:v>
                </c:pt>
                <c:pt idx="1505">
                  <c:v>46044</c:v>
                </c:pt>
                <c:pt idx="1506">
                  <c:v>46045</c:v>
                </c:pt>
                <c:pt idx="1507">
                  <c:v>46049</c:v>
                </c:pt>
                <c:pt idx="1508">
                  <c:v>46050</c:v>
                </c:pt>
                <c:pt idx="1509">
                  <c:v>46051</c:v>
                </c:pt>
                <c:pt idx="1510">
                  <c:v>46052</c:v>
                </c:pt>
                <c:pt idx="1511">
                  <c:v>46054</c:v>
                </c:pt>
                <c:pt idx="1512">
                  <c:v>46055</c:v>
                </c:pt>
                <c:pt idx="1513">
                  <c:v>46056</c:v>
                </c:pt>
                <c:pt idx="1514">
                  <c:v>46057</c:v>
                </c:pt>
                <c:pt idx="1515">
                  <c:v>46058</c:v>
                </c:pt>
                <c:pt idx="1516">
                  <c:v>46059</c:v>
                </c:pt>
                <c:pt idx="1517">
                  <c:v>46062</c:v>
                </c:pt>
                <c:pt idx="1518">
                  <c:v>46063</c:v>
                </c:pt>
                <c:pt idx="1519">
                  <c:v>46064</c:v>
                </c:pt>
                <c:pt idx="1520">
                  <c:v>46065</c:v>
                </c:pt>
                <c:pt idx="1521">
                  <c:v>46066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9D-45AE-BA25-3524F5B8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4746544"/>
        <c:axId val="824743184"/>
      </c:lineChart>
      <c:catAx>
        <c:axId val="82474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43184"/>
        <c:crosses val="autoZero"/>
        <c:auto val="1"/>
        <c:lblAlgn val="ctr"/>
        <c:lblOffset val="100"/>
        <c:noMultiLvlLbl val="0"/>
      </c:catAx>
      <c:valAx>
        <c:axId val="82474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74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data!$I$40:$I$44</c:f>
              <c:strCache>
                <c:ptCount val="5"/>
                <c:pt idx="0">
                  <c:v>Promoters</c:v>
                </c:pt>
                <c:pt idx="1">
                  <c:v>FIIs</c:v>
                </c:pt>
                <c:pt idx="2">
                  <c:v>DIIs</c:v>
                </c:pt>
                <c:pt idx="3">
                  <c:v>Public</c:v>
                </c:pt>
                <c:pt idx="4">
                  <c:v>Government</c:v>
                </c:pt>
              </c:strCache>
            </c:strRef>
          </c:cat>
          <c:val>
            <c:numRef>
              <c:f>data!$J$40:$J$44</c:f>
              <c:numCache>
                <c:formatCode>0.00%</c:formatCode>
                <c:ptCount val="5"/>
                <c:pt idx="0">
                  <c:v>0.49059999999999998</c:v>
                </c:pt>
                <c:pt idx="1">
                  <c:v>0.27010000000000001</c:v>
                </c:pt>
                <c:pt idx="2">
                  <c:v>0.1464</c:v>
                </c:pt>
                <c:pt idx="3">
                  <c:v>9.1899999999999996E-2</c:v>
                </c:pt>
                <c:pt idx="4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7-41A6-A734-0E49C75CD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9193999"/>
        <c:axId val="1809195439"/>
      </c:barChart>
      <c:catAx>
        <c:axId val="1809193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195439"/>
        <c:crosses val="autoZero"/>
        <c:auto val="1"/>
        <c:lblAlgn val="ctr"/>
        <c:lblOffset val="100"/>
        <c:noMultiLvlLbl val="0"/>
      </c:catAx>
      <c:valAx>
        <c:axId val="1809195439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19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data!$T$1</c:f>
              <c:strCache>
                <c:ptCount val="1"/>
                <c:pt idx="0">
                  <c:v>Valoume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data!$T$2:$T$1523</c:f>
              <c:numCache>
                <c:formatCode>General</c:formatCode>
                <c:ptCount val="1522"/>
                <c:pt idx="0">
                  <c:v>1090000</c:v>
                </c:pt>
                <c:pt idx="1">
                  <c:v>2290000</c:v>
                </c:pt>
                <c:pt idx="2">
                  <c:v>1570000</c:v>
                </c:pt>
                <c:pt idx="3">
                  <c:v>1260000</c:v>
                </c:pt>
                <c:pt idx="4">
                  <c:v>1370000</c:v>
                </c:pt>
                <c:pt idx="5">
                  <c:v>2890000</c:v>
                </c:pt>
                <c:pt idx="6">
                  <c:v>2590000</c:v>
                </c:pt>
                <c:pt idx="7">
                  <c:v>2170000</c:v>
                </c:pt>
                <c:pt idx="8">
                  <c:v>1320000</c:v>
                </c:pt>
                <c:pt idx="9">
                  <c:v>1160000</c:v>
                </c:pt>
                <c:pt idx="10">
                  <c:v>1080000</c:v>
                </c:pt>
                <c:pt idx="11">
                  <c:v>2920000</c:v>
                </c:pt>
                <c:pt idx="12">
                  <c:v>1830000</c:v>
                </c:pt>
                <c:pt idx="13">
                  <c:v>1010000</c:v>
                </c:pt>
                <c:pt idx="14">
                  <c:v>1030000</c:v>
                </c:pt>
                <c:pt idx="15">
                  <c:v>786810</c:v>
                </c:pt>
                <c:pt idx="16">
                  <c:v>1060000</c:v>
                </c:pt>
                <c:pt idx="17">
                  <c:v>770750</c:v>
                </c:pt>
                <c:pt idx="18">
                  <c:v>971080</c:v>
                </c:pt>
                <c:pt idx="19">
                  <c:v>972770</c:v>
                </c:pt>
                <c:pt idx="20">
                  <c:v>2870000</c:v>
                </c:pt>
                <c:pt idx="21">
                  <c:v>1390000</c:v>
                </c:pt>
                <c:pt idx="22">
                  <c:v>1020000</c:v>
                </c:pt>
                <c:pt idx="23">
                  <c:v>1010000</c:v>
                </c:pt>
                <c:pt idx="24">
                  <c:v>1490000</c:v>
                </c:pt>
                <c:pt idx="25">
                  <c:v>1500000</c:v>
                </c:pt>
                <c:pt idx="26">
                  <c:v>1280000</c:v>
                </c:pt>
                <c:pt idx="27">
                  <c:v>3950000</c:v>
                </c:pt>
                <c:pt idx="28">
                  <c:v>2220000</c:v>
                </c:pt>
                <c:pt idx="29">
                  <c:v>2440000</c:v>
                </c:pt>
                <c:pt idx="30">
                  <c:v>1300000</c:v>
                </c:pt>
                <c:pt idx="31">
                  <c:v>1530000</c:v>
                </c:pt>
                <c:pt idx="32">
                  <c:v>919630</c:v>
                </c:pt>
                <c:pt idx="33">
                  <c:v>2320000</c:v>
                </c:pt>
                <c:pt idx="34">
                  <c:v>1290000</c:v>
                </c:pt>
                <c:pt idx="35">
                  <c:v>1810000</c:v>
                </c:pt>
                <c:pt idx="36">
                  <c:v>1320000</c:v>
                </c:pt>
                <c:pt idx="37">
                  <c:v>1250000</c:v>
                </c:pt>
                <c:pt idx="38">
                  <c:v>1930000</c:v>
                </c:pt>
                <c:pt idx="39">
                  <c:v>2570000</c:v>
                </c:pt>
                <c:pt idx="40">
                  <c:v>2150000</c:v>
                </c:pt>
                <c:pt idx="41">
                  <c:v>2550000</c:v>
                </c:pt>
                <c:pt idx="42">
                  <c:v>3260000</c:v>
                </c:pt>
                <c:pt idx="43">
                  <c:v>3480000</c:v>
                </c:pt>
                <c:pt idx="44">
                  <c:v>2750000</c:v>
                </c:pt>
                <c:pt idx="45">
                  <c:v>4190000.0000000005</c:v>
                </c:pt>
                <c:pt idx="46">
                  <c:v>2310000</c:v>
                </c:pt>
                <c:pt idx="47">
                  <c:v>1710000</c:v>
                </c:pt>
                <c:pt idx="48">
                  <c:v>1930000</c:v>
                </c:pt>
                <c:pt idx="49">
                  <c:v>2220000</c:v>
                </c:pt>
                <c:pt idx="50">
                  <c:v>3640000</c:v>
                </c:pt>
                <c:pt idx="51">
                  <c:v>2790000</c:v>
                </c:pt>
                <c:pt idx="52">
                  <c:v>1920000</c:v>
                </c:pt>
                <c:pt idx="53">
                  <c:v>1680000</c:v>
                </c:pt>
                <c:pt idx="54">
                  <c:v>1590000</c:v>
                </c:pt>
                <c:pt idx="55">
                  <c:v>1610000</c:v>
                </c:pt>
                <c:pt idx="56">
                  <c:v>2110000</c:v>
                </c:pt>
                <c:pt idx="57">
                  <c:v>1440000</c:v>
                </c:pt>
                <c:pt idx="58">
                  <c:v>1130000</c:v>
                </c:pt>
                <c:pt idx="59">
                  <c:v>761180</c:v>
                </c:pt>
                <c:pt idx="60">
                  <c:v>2049999.9999999998</c:v>
                </c:pt>
                <c:pt idx="61">
                  <c:v>1110000</c:v>
                </c:pt>
                <c:pt idx="62">
                  <c:v>2260000</c:v>
                </c:pt>
                <c:pt idx="63">
                  <c:v>1670000</c:v>
                </c:pt>
                <c:pt idx="64">
                  <c:v>1390000</c:v>
                </c:pt>
                <c:pt idx="65">
                  <c:v>1810000</c:v>
                </c:pt>
                <c:pt idx="66">
                  <c:v>2410000</c:v>
                </c:pt>
                <c:pt idx="67">
                  <c:v>2800000</c:v>
                </c:pt>
                <c:pt idx="68">
                  <c:v>3620000</c:v>
                </c:pt>
                <c:pt idx="69">
                  <c:v>1270000</c:v>
                </c:pt>
                <c:pt idx="70">
                  <c:v>2760000</c:v>
                </c:pt>
                <c:pt idx="71">
                  <c:v>2500000</c:v>
                </c:pt>
                <c:pt idx="72">
                  <c:v>5660000</c:v>
                </c:pt>
                <c:pt idx="73">
                  <c:v>3000000</c:v>
                </c:pt>
                <c:pt idx="74">
                  <c:v>1660000</c:v>
                </c:pt>
                <c:pt idx="75">
                  <c:v>2770000</c:v>
                </c:pt>
                <c:pt idx="76">
                  <c:v>2069999.9999999998</c:v>
                </c:pt>
                <c:pt idx="77">
                  <c:v>1800000</c:v>
                </c:pt>
                <c:pt idx="78">
                  <c:v>1840000</c:v>
                </c:pt>
                <c:pt idx="79">
                  <c:v>1850000</c:v>
                </c:pt>
                <c:pt idx="80">
                  <c:v>1480000</c:v>
                </c:pt>
                <c:pt idx="81">
                  <c:v>3470000</c:v>
                </c:pt>
                <c:pt idx="82">
                  <c:v>1920000</c:v>
                </c:pt>
                <c:pt idx="83">
                  <c:v>1520000</c:v>
                </c:pt>
                <c:pt idx="84">
                  <c:v>1870000</c:v>
                </c:pt>
                <c:pt idx="85">
                  <c:v>1270000</c:v>
                </c:pt>
                <c:pt idx="86">
                  <c:v>1640000</c:v>
                </c:pt>
                <c:pt idx="87">
                  <c:v>1960000</c:v>
                </c:pt>
                <c:pt idx="88">
                  <c:v>1480000</c:v>
                </c:pt>
                <c:pt idx="89">
                  <c:v>2530000</c:v>
                </c:pt>
                <c:pt idx="90">
                  <c:v>1480000</c:v>
                </c:pt>
                <c:pt idx="91">
                  <c:v>2350000</c:v>
                </c:pt>
                <c:pt idx="92">
                  <c:v>2750000</c:v>
                </c:pt>
                <c:pt idx="93">
                  <c:v>2510000</c:v>
                </c:pt>
                <c:pt idx="94">
                  <c:v>2670000</c:v>
                </c:pt>
                <c:pt idx="95">
                  <c:v>3220000</c:v>
                </c:pt>
                <c:pt idx="96">
                  <c:v>1840000</c:v>
                </c:pt>
                <c:pt idx="97">
                  <c:v>3190000</c:v>
                </c:pt>
                <c:pt idx="98">
                  <c:v>3020000</c:v>
                </c:pt>
                <c:pt idx="99">
                  <c:v>8150000</c:v>
                </c:pt>
                <c:pt idx="100">
                  <c:v>8500000</c:v>
                </c:pt>
                <c:pt idx="101">
                  <c:v>4640000</c:v>
                </c:pt>
                <c:pt idx="102">
                  <c:v>3970000</c:v>
                </c:pt>
                <c:pt idx="103">
                  <c:v>2850000</c:v>
                </c:pt>
                <c:pt idx="104">
                  <c:v>3040000</c:v>
                </c:pt>
                <c:pt idx="105">
                  <c:v>1950000</c:v>
                </c:pt>
                <c:pt idx="106">
                  <c:v>2740000</c:v>
                </c:pt>
                <c:pt idx="107">
                  <c:v>3250000</c:v>
                </c:pt>
                <c:pt idx="108">
                  <c:v>1630000</c:v>
                </c:pt>
                <c:pt idx="109">
                  <c:v>2190000</c:v>
                </c:pt>
                <c:pt idx="110">
                  <c:v>3800000</c:v>
                </c:pt>
                <c:pt idx="111">
                  <c:v>5370000</c:v>
                </c:pt>
                <c:pt idx="112">
                  <c:v>3580000</c:v>
                </c:pt>
                <c:pt idx="113">
                  <c:v>2520000</c:v>
                </c:pt>
                <c:pt idx="114">
                  <c:v>2089999.9999999998</c:v>
                </c:pt>
                <c:pt idx="115">
                  <c:v>3120000</c:v>
                </c:pt>
                <c:pt idx="116">
                  <c:v>2340000</c:v>
                </c:pt>
                <c:pt idx="117">
                  <c:v>2060000</c:v>
                </c:pt>
                <c:pt idx="118">
                  <c:v>3380000</c:v>
                </c:pt>
                <c:pt idx="119">
                  <c:v>2770000</c:v>
                </c:pt>
                <c:pt idx="120">
                  <c:v>2250000</c:v>
                </c:pt>
                <c:pt idx="121">
                  <c:v>1950000</c:v>
                </c:pt>
                <c:pt idx="122">
                  <c:v>2009999.9999999998</c:v>
                </c:pt>
                <c:pt idx="123">
                  <c:v>2330000</c:v>
                </c:pt>
                <c:pt idx="124">
                  <c:v>2770000</c:v>
                </c:pt>
                <c:pt idx="125">
                  <c:v>2510000</c:v>
                </c:pt>
                <c:pt idx="126">
                  <c:v>2830000</c:v>
                </c:pt>
                <c:pt idx="127">
                  <c:v>2870000</c:v>
                </c:pt>
                <c:pt idx="128">
                  <c:v>3570000</c:v>
                </c:pt>
                <c:pt idx="129">
                  <c:v>2740000</c:v>
                </c:pt>
                <c:pt idx="130">
                  <c:v>2040000</c:v>
                </c:pt>
                <c:pt idx="131">
                  <c:v>1330000</c:v>
                </c:pt>
                <c:pt idx="132">
                  <c:v>2480000</c:v>
                </c:pt>
                <c:pt idx="133">
                  <c:v>2820000</c:v>
                </c:pt>
                <c:pt idx="134">
                  <c:v>2650000</c:v>
                </c:pt>
                <c:pt idx="135">
                  <c:v>1670000</c:v>
                </c:pt>
                <c:pt idx="136">
                  <c:v>1600000</c:v>
                </c:pt>
                <c:pt idx="137">
                  <c:v>3690000</c:v>
                </c:pt>
                <c:pt idx="138">
                  <c:v>3360000</c:v>
                </c:pt>
                <c:pt idx="139">
                  <c:v>4460000</c:v>
                </c:pt>
                <c:pt idx="140">
                  <c:v>3950000</c:v>
                </c:pt>
                <c:pt idx="141">
                  <c:v>1920000</c:v>
                </c:pt>
                <c:pt idx="142">
                  <c:v>2620000</c:v>
                </c:pt>
                <c:pt idx="143">
                  <c:v>2260000</c:v>
                </c:pt>
                <c:pt idx="144">
                  <c:v>2460000</c:v>
                </c:pt>
                <c:pt idx="145">
                  <c:v>2190000</c:v>
                </c:pt>
                <c:pt idx="146">
                  <c:v>2020000</c:v>
                </c:pt>
                <c:pt idx="147">
                  <c:v>1560000</c:v>
                </c:pt>
                <c:pt idx="148">
                  <c:v>2380000</c:v>
                </c:pt>
                <c:pt idx="149">
                  <c:v>2040000</c:v>
                </c:pt>
                <c:pt idx="150">
                  <c:v>1950000</c:v>
                </c:pt>
                <c:pt idx="151">
                  <c:v>1680000</c:v>
                </c:pt>
                <c:pt idx="152">
                  <c:v>1620000</c:v>
                </c:pt>
                <c:pt idx="153">
                  <c:v>2990000</c:v>
                </c:pt>
                <c:pt idx="154">
                  <c:v>2200000</c:v>
                </c:pt>
                <c:pt idx="155">
                  <c:v>5920000</c:v>
                </c:pt>
                <c:pt idx="156">
                  <c:v>6530000</c:v>
                </c:pt>
                <c:pt idx="157">
                  <c:v>3400000</c:v>
                </c:pt>
                <c:pt idx="158">
                  <c:v>2850000</c:v>
                </c:pt>
                <c:pt idx="159">
                  <c:v>2240000</c:v>
                </c:pt>
                <c:pt idx="160">
                  <c:v>2610000</c:v>
                </c:pt>
                <c:pt idx="161">
                  <c:v>11490000</c:v>
                </c:pt>
                <c:pt idx="162">
                  <c:v>4760000</c:v>
                </c:pt>
                <c:pt idx="163">
                  <c:v>2440000</c:v>
                </c:pt>
                <c:pt idx="164">
                  <c:v>1370000</c:v>
                </c:pt>
                <c:pt idx="165">
                  <c:v>1470000</c:v>
                </c:pt>
                <c:pt idx="166">
                  <c:v>3090000</c:v>
                </c:pt>
                <c:pt idx="167">
                  <c:v>2260000</c:v>
                </c:pt>
                <c:pt idx="168">
                  <c:v>1970000</c:v>
                </c:pt>
                <c:pt idx="169">
                  <c:v>2580000</c:v>
                </c:pt>
                <c:pt idx="170">
                  <c:v>1520000</c:v>
                </c:pt>
                <c:pt idx="171">
                  <c:v>1350000</c:v>
                </c:pt>
                <c:pt idx="172">
                  <c:v>1180000</c:v>
                </c:pt>
                <c:pt idx="173">
                  <c:v>1360000</c:v>
                </c:pt>
                <c:pt idx="174">
                  <c:v>948270</c:v>
                </c:pt>
                <c:pt idx="175">
                  <c:v>1140000</c:v>
                </c:pt>
                <c:pt idx="176">
                  <c:v>1180000</c:v>
                </c:pt>
                <c:pt idx="177">
                  <c:v>1260000</c:v>
                </c:pt>
                <c:pt idx="178">
                  <c:v>1030000</c:v>
                </c:pt>
                <c:pt idx="179">
                  <c:v>768950</c:v>
                </c:pt>
                <c:pt idx="180">
                  <c:v>1310000</c:v>
                </c:pt>
                <c:pt idx="181">
                  <c:v>1940000</c:v>
                </c:pt>
                <c:pt idx="182">
                  <c:v>1520000</c:v>
                </c:pt>
                <c:pt idx="183">
                  <c:v>1350000</c:v>
                </c:pt>
                <c:pt idx="184">
                  <c:v>1350000</c:v>
                </c:pt>
                <c:pt idx="185">
                  <c:v>1530000</c:v>
                </c:pt>
                <c:pt idx="186">
                  <c:v>1140000</c:v>
                </c:pt>
                <c:pt idx="187">
                  <c:v>1340000</c:v>
                </c:pt>
                <c:pt idx="188">
                  <c:v>925940</c:v>
                </c:pt>
                <c:pt idx="189">
                  <c:v>999890</c:v>
                </c:pt>
                <c:pt idx="190">
                  <c:v>930510</c:v>
                </c:pt>
                <c:pt idx="191">
                  <c:v>2750000</c:v>
                </c:pt>
                <c:pt idx="192">
                  <c:v>1520000</c:v>
                </c:pt>
                <c:pt idx="193">
                  <c:v>1520000</c:v>
                </c:pt>
                <c:pt idx="194">
                  <c:v>1210000</c:v>
                </c:pt>
                <c:pt idx="195">
                  <c:v>1100000</c:v>
                </c:pt>
                <c:pt idx="196">
                  <c:v>1590000</c:v>
                </c:pt>
                <c:pt idx="197">
                  <c:v>1360000</c:v>
                </c:pt>
                <c:pt idx="198">
                  <c:v>1900000</c:v>
                </c:pt>
                <c:pt idx="199">
                  <c:v>816000</c:v>
                </c:pt>
                <c:pt idx="200">
                  <c:v>1260000</c:v>
                </c:pt>
                <c:pt idx="201">
                  <c:v>976230</c:v>
                </c:pt>
                <c:pt idx="202">
                  <c:v>1310000</c:v>
                </c:pt>
                <c:pt idx="203">
                  <c:v>1020000</c:v>
                </c:pt>
                <c:pt idx="204">
                  <c:v>1150000</c:v>
                </c:pt>
                <c:pt idx="205">
                  <c:v>1550000</c:v>
                </c:pt>
                <c:pt idx="206">
                  <c:v>1020000</c:v>
                </c:pt>
                <c:pt idx="207">
                  <c:v>1040000</c:v>
                </c:pt>
                <c:pt idx="208">
                  <c:v>834130</c:v>
                </c:pt>
                <c:pt idx="209">
                  <c:v>1010000</c:v>
                </c:pt>
                <c:pt idx="210">
                  <c:v>1130000</c:v>
                </c:pt>
                <c:pt idx="211">
                  <c:v>1940000</c:v>
                </c:pt>
                <c:pt idx="212">
                  <c:v>1110000</c:v>
                </c:pt>
                <c:pt idx="213">
                  <c:v>828400</c:v>
                </c:pt>
                <c:pt idx="214">
                  <c:v>996380</c:v>
                </c:pt>
                <c:pt idx="215">
                  <c:v>1130000</c:v>
                </c:pt>
                <c:pt idx="216">
                  <c:v>986760</c:v>
                </c:pt>
                <c:pt idx="217">
                  <c:v>2130000</c:v>
                </c:pt>
                <c:pt idx="218">
                  <c:v>1910000</c:v>
                </c:pt>
                <c:pt idx="219">
                  <c:v>9480000</c:v>
                </c:pt>
                <c:pt idx="220">
                  <c:v>2110000</c:v>
                </c:pt>
                <c:pt idx="221">
                  <c:v>1880000</c:v>
                </c:pt>
                <c:pt idx="222">
                  <c:v>2430000</c:v>
                </c:pt>
                <c:pt idx="223">
                  <c:v>1390000</c:v>
                </c:pt>
                <c:pt idx="224">
                  <c:v>823240</c:v>
                </c:pt>
                <c:pt idx="225">
                  <c:v>2420000</c:v>
                </c:pt>
                <c:pt idx="226">
                  <c:v>1760000</c:v>
                </c:pt>
                <c:pt idx="227">
                  <c:v>2080000</c:v>
                </c:pt>
                <c:pt idx="228">
                  <c:v>2600000</c:v>
                </c:pt>
                <c:pt idx="229">
                  <c:v>1230000</c:v>
                </c:pt>
                <c:pt idx="230">
                  <c:v>1290000</c:v>
                </c:pt>
                <c:pt idx="231">
                  <c:v>1070000</c:v>
                </c:pt>
                <c:pt idx="232">
                  <c:v>1140000</c:v>
                </c:pt>
                <c:pt idx="233">
                  <c:v>723080</c:v>
                </c:pt>
                <c:pt idx="234">
                  <c:v>1300000</c:v>
                </c:pt>
                <c:pt idx="235">
                  <c:v>954150</c:v>
                </c:pt>
                <c:pt idx="236">
                  <c:v>1110000</c:v>
                </c:pt>
                <c:pt idx="237">
                  <c:v>1490000</c:v>
                </c:pt>
                <c:pt idx="238">
                  <c:v>2480000</c:v>
                </c:pt>
                <c:pt idx="239">
                  <c:v>2910000</c:v>
                </c:pt>
                <c:pt idx="240">
                  <c:v>1460000</c:v>
                </c:pt>
                <c:pt idx="241">
                  <c:v>1060000</c:v>
                </c:pt>
                <c:pt idx="242">
                  <c:v>849960</c:v>
                </c:pt>
                <c:pt idx="243">
                  <c:v>1190000</c:v>
                </c:pt>
                <c:pt idx="244">
                  <c:v>1200000</c:v>
                </c:pt>
                <c:pt idx="245">
                  <c:v>954700</c:v>
                </c:pt>
                <c:pt idx="246">
                  <c:v>599390</c:v>
                </c:pt>
                <c:pt idx="247">
                  <c:v>711670</c:v>
                </c:pt>
                <c:pt idx="248">
                  <c:v>1960000</c:v>
                </c:pt>
                <c:pt idx="249">
                  <c:v>2430000</c:v>
                </c:pt>
                <c:pt idx="250">
                  <c:v>1760000</c:v>
                </c:pt>
                <c:pt idx="251">
                  <c:v>914820</c:v>
                </c:pt>
                <c:pt idx="252">
                  <c:v>3290000</c:v>
                </c:pt>
                <c:pt idx="253">
                  <c:v>1490000</c:v>
                </c:pt>
                <c:pt idx="254">
                  <c:v>949390</c:v>
                </c:pt>
                <c:pt idx="255">
                  <c:v>1250000</c:v>
                </c:pt>
                <c:pt idx="256">
                  <c:v>2590000</c:v>
                </c:pt>
                <c:pt idx="257">
                  <c:v>1620000</c:v>
                </c:pt>
                <c:pt idx="258">
                  <c:v>4830000</c:v>
                </c:pt>
                <c:pt idx="259">
                  <c:v>1880000</c:v>
                </c:pt>
                <c:pt idx="260">
                  <c:v>1160000</c:v>
                </c:pt>
                <c:pt idx="261">
                  <c:v>882690</c:v>
                </c:pt>
                <c:pt idx="262">
                  <c:v>2069999.9999999998</c:v>
                </c:pt>
                <c:pt idx="263">
                  <c:v>1450000</c:v>
                </c:pt>
                <c:pt idx="264">
                  <c:v>1760000</c:v>
                </c:pt>
                <c:pt idx="265">
                  <c:v>1450000</c:v>
                </c:pt>
                <c:pt idx="266">
                  <c:v>3090000</c:v>
                </c:pt>
                <c:pt idx="267">
                  <c:v>2020000</c:v>
                </c:pt>
                <c:pt idx="268">
                  <c:v>2570000</c:v>
                </c:pt>
                <c:pt idx="269">
                  <c:v>1430000</c:v>
                </c:pt>
                <c:pt idx="270">
                  <c:v>2069999.9999999998</c:v>
                </c:pt>
                <c:pt idx="271">
                  <c:v>1850000</c:v>
                </c:pt>
                <c:pt idx="272">
                  <c:v>2130000</c:v>
                </c:pt>
                <c:pt idx="273">
                  <c:v>1350000</c:v>
                </c:pt>
                <c:pt idx="274">
                  <c:v>1260000</c:v>
                </c:pt>
                <c:pt idx="275">
                  <c:v>915840</c:v>
                </c:pt>
                <c:pt idx="276">
                  <c:v>654480</c:v>
                </c:pt>
                <c:pt idx="277">
                  <c:v>1130000</c:v>
                </c:pt>
                <c:pt idx="278">
                  <c:v>2160000</c:v>
                </c:pt>
                <c:pt idx="279">
                  <c:v>4480000</c:v>
                </c:pt>
                <c:pt idx="280">
                  <c:v>1910000</c:v>
                </c:pt>
                <c:pt idx="281">
                  <c:v>930510</c:v>
                </c:pt>
                <c:pt idx="282">
                  <c:v>1530000</c:v>
                </c:pt>
                <c:pt idx="283">
                  <c:v>1490000</c:v>
                </c:pt>
                <c:pt idx="284">
                  <c:v>1920000</c:v>
                </c:pt>
                <c:pt idx="285">
                  <c:v>1590000</c:v>
                </c:pt>
                <c:pt idx="286">
                  <c:v>2190000</c:v>
                </c:pt>
                <c:pt idx="287">
                  <c:v>1820000</c:v>
                </c:pt>
                <c:pt idx="288">
                  <c:v>807590</c:v>
                </c:pt>
                <c:pt idx="289">
                  <c:v>1350000</c:v>
                </c:pt>
                <c:pt idx="290">
                  <c:v>1700000</c:v>
                </c:pt>
                <c:pt idx="291">
                  <c:v>1280000</c:v>
                </c:pt>
                <c:pt idx="292">
                  <c:v>1490000</c:v>
                </c:pt>
                <c:pt idx="293">
                  <c:v>1290000</c:v>
                </c:pt>
                <c:pt idx="294">
                  <c:v>1350000</c:v>
                </c:pt>
                <c:pt idx="295">
                  <c:v>1150000</c:v>
                </c:pt>
                <c:pt idx="296">
                  <c:v>950810</c:v>
                </c:pt>
                <c:pt idx="297">
                  <c:v>677920</c:v>
                </c:pt>
                <c:pt idx="298">
                  <c:v>1980000</c:v>
                </c:pt>
                <c:pt idx="299">
                  <c:v>1110000</c:v>
                </c:pt>
                <c:pt idx="300">
                  <c:v>839740</c:v>
                </c:pt>
                <c:pt idx="301">
                  <c:v>654830</c:v>
                </c:pt>
                <c:pt idx="302">
                  <c:v>634980</c:v>
                </c:pt>
                <c:pt idx="303">
                  <c:v>1070000</c:v>
                </c:pt>
                <c:pt idx="304">
                  <c:v>906720</c:v>
                </c:pt>
                <c:pt idx="305">
                  <c:v>694230</c:v>
                </c:pt>
                <c:pt idx="306">
                  <c:v>1130000</c:v>
                </c:pt>
                <c:pt idx="307">
                  <c:v>1150000</c:v>
                </c:pt>
                <c:pt idx="308">
                  <c:v>1120000</c:v>
                </c:pt>
                <c:pt idx="309">
                  <c:v>676280</c:v>
                </c:pt>
                <c:pt idx="310">
                  <c:v>980340</c:v>
                </c:pt>
                <c:pt idx="311">
                  <c:v>829500</c:v>
                </c:pt>
                <c:pt idx="312">
                  <c:v>744420</c:v>
                </c:pt>
                <c:pt idx="313">
                  <c:v>1210000</c:v>
                </c:pt>
                <c:pt idx="314">
                  <c:v>916830</c:v>
                </c:pt>
                <c:pt idx="315">
                  <c:v>684430</c:v>
                </c:pt>
                <c:pt idx="316">
                  <c:v>760850</c:v>
                </c:pt>
                <c:pt idx="317">
                  <c:v>719040</c:v>
                </c:pt>
                <c:pt idx="318">
                  <c:v>1050000</c:v>
                </c:pt>
                <c:pt idx="319">
                  <c:v>720900</c:v>
                </c:pt>
                <c:pt idx="320">
                  <c:v>1980000</c:v>
                </c:pt>
                <c:pt idx="321">
                  <c:v>789680</c:v>
                </c:pt>
                <c:pt idx="322">
                  <c:v>882320</c:v>
                </c:pt>
                <c:pt idx="323">
                  <c:v>1040000</c:v>
                </c:pt>
                <c:pt idx="324">
                  <c:v>834720</c:v>
                </c:pt>
                <c:pt idx="325">
                  <c:v>962270</c:v>
                </c:pt>
                <c:pt idx="326">
                  <c:v>1330000</c:v>
                </c:pt>
                <c:pt idx="327">
                  <c:v>523799.99999999994</c:v>
                </c:pt>
                <c:pt idx="328">
                  <c:v>1680000</c:v>
                </c:pt>
                <c:pt idx="329">
                  <c:v>1170000</c:v>
                </c:pt>
                <c:pt idx="330">
                  <c:v>646260</c:v>
                </c:pt>
                <c:pt idx="331">
                  <c:v>461090</c:v>
                </c:pt>
                <c:pt idx="332">
                  <c:v>623480</c:v>
                </c:pt>
                <c:pt idx="333">
                  <c:v>382620</c:v>
                </c:pt>
                <c:pt idx="334">
                  <c:v>628780</c:v>
                </c:pt>
                <c:pt idx="335">
                  <c:v>464240</c:v>
                </c:pt>
                <c:pt idx="336">
                  <c:v>350560</c:v>
                </c:pt>
                <c:pt idx="337">
                  <c:v>500449.99999999994</c:v>
                </c:pt>
                <c:pt idx="338">
                  <c:v>334230</c:v>
                </c:pt>
                <c:pt idx="339">
                  <c:v>429170</c:v>
                </c:pt>
                <c:pt idx="340">
                  <c:v>577280</c:v>
                </c:pt>
                <c:pt idx="341">
                  <c:v>1020000</c:v>
                </c:pt>
                <c:pt idx="342">
                  <c:v>1090000</c:v>
                </c:pt>
                <c:pt idx="343">
                  <c:v>509270</c:v>
                </c:pt>
                <c:pt idx="344">
                  <c:v>743110</c:v>
                </c:pt>
                <c:pt idx="345">
                  <c:v>850200</c:v>
                </c:pt>
                <c:pt idx="346">
                  <c:v>1020000</c:v>
                </c:pt>
                <c:pt idx="347">
                  <c:v>1030000</c:v>
                </c:pt>
                <c:pt idx="348">
                  <c:v>1510000</c:v>
                </c:pt>
                <c:pt idx="349">
                  <c:v>2280000</c:v>
                </c:pt>
                <c:pt idx="350">
                  <c:v>838680</c:v>
                </c:pt>
                <c:pt idx="351">
                  <c:v>1130000</c:v>
                </c:pt>
                <c:pt idx="352">
                  <c:v>659430</c:v>
                </c:pt>
                <c:pt idx="353">
                  <c:v>1270000</c:v>
                </c:pt>
                <c:pt idx="354">
                  <c:v>621360</c:v>
                </c:pt>
                <c:pt idx="355">
                  <c:v>602330</c:v>
                </c:pt>
                <c:pt idx="356">
                  <c:v>441930</c:v>
                </c:pt>
                <c:pt idx="357">
                  <c:v>471760</c:v>
                </c:pt>
                <c:pt idx="358">
                  <c:v>571290</c:v>
                </c:pt>
                <c:pt idx="359">
                  <c:v>596670</c:v>
                </c:pt>
                <c:pt idx="360">
                  <c:v>525550</c:v>
                </c:pt>
                <c:pt idx="361">
                  <c:v>646740</c:v>
                </c:pt>
                <c:pt idx="362">
                  <c:v>312870</c:v>
                </c:pt>
                <c:pt idx="363">
                  <c:v>701970</c:v>
                </c:pt>
                <c:pt idx="364">
                  <c:v>649500</c:v>
                </c:pt>
                <c:pt idx="365">
                  <c:v>528920</c:v>
                </c:pt>
                <c:pt idx="366">
                  <c:v>477520</c:v>
                </c:pt>
                <c:pt idx="367">
                  <c:v>432920</c:v>
                </c:pt>
                <c:pt idx="368">
                  <c:v>402740</c:v>
                </c:pt>
                <c:pt idx="369">
                  <c:v>455800</c:v>
                </c:pt>
                <c:pt idx="370">
                  <c:v>243080</c:v>
                </c:pt>
                <c:pt idx="371">
                  <c:v>290140</c:v>
                </c:pt>
                <c:pt idx="372">
                  <c:v>391740</c:v>
                </c:pt>
                <c:pt idx="373">
                  <c:v>463030</c:v>
                </c:pt>
                <c:pt idx="374">
                  <c:v>621220</c:v>
                </c:pt>
                <c:pt idx="375">
                  <c:v>489160</c:v>
                </c:pt>
                <c:pt idx="376">
                  <c:v>331770</c:v>
                </c:pt>
                <c:pt idx="377">
                  <c:v>517130</c:v>
                </c:pt>
                <c:pt idx="378">
                  <c:v>509970.00000000006</c:v>
                </c:pt>
                <c:pt idx="379">
                  <c:v>971880</c:v>
                </c:pt>
                <c:pt idx="380">
                  <c:v>273840</c:v>
                </c:pt>
                <c:pt idx="381">
                  <c:v>488410</c:v>
                </c:pt>
                <c:pt idx="382">
                  <c:v>830880</c:v>
                </c:pt>
                <c:pt idx="383">
                  <c:v>730940</c:v>
                </c:pt>
                <c:pt idx="384">
                  <c:v>1040000</c:v>
                </c:pt>
                <c:pt idx="385">
                  <c:v>561170</c:v>
                </c:pt>
                <c:pt idx="386">
                  <c:v>890120</c:v>
                </c:pt>
                <c:pt idx="387">
                  <c:v>1320000</c:v>
                </c:pt>
                <c:pt idx="388">
                  <c:v>379800</c:v>
                </c:pt>
                <c:pt idx="389">
                  <c:v>309300</c:v>
                </c:pt>
                <c:pt idx="390">
                  <c:v>492850</c:v>
                </c:pt>
                <c:pt idx="391">
                  <c:v>383900</c:v>
                </c:pt>
                <c:pt idx="392">
                  <c:v>341350</c:v>
                </c:pt>
                <c:pt idx="393">
                  <c:v>606230</c:v>
                </c:pt>
                <c:pt idx="394">
                  <c:v>691440</c:v>
                </c:pt>
                <c:pt idx="395">
                  <c:v>678470</c:v>
                </c:pt>
                <c:pt idx="396">
                  <c:v>548190</c:v>
                </c:pt>
                <c:pt idx="397">
                  <c:v>2170000</c:v>
                </c:pt>
                <c:pt idx="398">
                  <c:v>799080</c:v>
                </c:pt>
                <c:pt idx="399">
                  <c:v>516619.99999999994</c:v>
                </c:pt>
                <c:pt idx="400">
                  <c:v>733890</c:v>
                </c:pt>
                <c:pt idx="401">
                  <c:v>361520</c:v>
                </c:pt>
                <c:pt idx="402">
                  <c:v>2250000</c:v>
                </c:pt>
                <c:pt idx="403">
                  <c:v>4130000</c:v>
                </c:pt>
                <c:pt idx="404">
                  <c:v>1020000</c:v>
                </c:pt>
                <c:pt idx="405">
                  <c:v>1300000</c:v>
                </c:pt>
                <c:pt idx="406">
                  <c:v>1900000</c:v>
                </c:pt>
                <c:pt idx="407">
                  <c:v>2190000</c:v>
                </c:pt>
                <c:pt idx="408">
                  <c:v>1270000</c:v>
                </c:pt>
                <c:pt idx="409">
                  <c:v>1280000</c:v>
                </c:pt>
                <c:pt idx="410">
                  <c:v>721580</c:v>
                </c:pt>
                <c:pt idx="411">
                  <c:v>440540</c:v>
                </c:pt>
                <c:pt idx="412">
                  <c:v>541880</c:v>
                </c:pt>
                <c:pt idx="413">
                  <c:v>926190</c:v>
                </c:pt>
                <c:pt idx="414">
                  <c:v>2380000</c:v>
                </c:pt>
                <c:pt idx="415">
                  <c:v>2000000</c:v>
                </c:pt>
                <c:pt idx="416">
                  <c:v>898430</c:v>
                </c:pt>
                <c:pt idx="417">
                  <c:v>2310000</c:v>
                </c:pt>
                <c:pt idx="418">
                  <c:v>1200000</c:v>
                </c:pt>
                <c:pt idx="419">
                  <c:v>545230</c:v>
                </c:pt>
                <c:pt idx="420">
                  <c:v>616050</c:v>
                </c:pt>
                <c:pt idx="421">
                  <c:v>456150</c:v>
                </c:pt>
                <c:pt idx="422">
                  <c:v>287430</c:v>
                </c:pt>
                <c:pt idx="423">
                  <c:v>672700</c:v>
                </c:pt>
                <c:pt idx="424">
                  <c:v>412750</c:v>
                </c:pt>
                <c:pt idx="425">
                  <c:v>570870</c:v>
                </c:pt>
                <c:pt idx="426">
                  <c:v>1380000</c:v>
                </c:pt>
                <c:pt idx="427">
                  <c:v>1190000</c:v>
                </c:pt>
                <c:pt idx="428">
                  <c:v>595120</c:v>
                </c:pt>
                <c:pt idx="429">
                  <c:v>424340</c:v>
                </c:pt>
                <c:pt idx="430">
                  <c:v>452680</c:v>
                </c:pt>
                <c:pt idx="431">
                  <c:v>806910</c:v>
                </c:pt>
                <c:pt idx="432">
                  <c:v>1330000</c:v>
                </c:pt>
                <c:pt idx="433">
                  <c:v>838120</c:v>
                </c:pt>
                <c:pt idx="434">
                  <c:v>386610</c:v>
                </c:pt>
                <c:pt idx="435">
                  <c:v>861340</c:v>
                </c:pt>
                <c:pt idx="436">
                  <c:v>411010</c:v>
                </c:pt>
                <c:pt idx="437">
                  <c:v>874870</c:v>
                </c:pt>
                <c:pt idx="438">
                  <c:v>452280</c:v>
                </c:pt>
                <c:pt idx="439">
                  <c:v>589260</c:v>
                </c:pt>
                <c:pt idx="440">
                  <c:v>897520</c:v>
                </c:pt>
                <c:pt idx="441">
                  <c:v>572890</c:v>
                </c:pt>
                <c:pt idx="442">
                  <c:v>622400</c:v>
                </c:pt>
                <c:pt idx="443">
                  <c:v>786360</c:v>
                </c:pt>
                <c:pt idx="444">
                  <c:v>687450</c:v>
                </c:pt>
                <c:pt idx="445">
                  <c:v>497010</c:v>
                </c:pt>
                <c:pt idx="446">
                  <c:v>360160</c:v>
                </c:pt>
                <c:pt idx="447">
                  <c:v>999100</c:v>
                </c:pt>
                <c:pt idx="448">
                  <c:v>1160000</c:v>
                </c:pt>
                <c:pt idx="449">
                  <c:v>816200</c:v>
                </c:pt>
                <c:pt idx="450">
                  <c:v>519030</c:v>
                </c:pt>
                <c:pt idx="451">
                  <c:v>457700</c:v>
                </c:pt>
                <c:pt idx="452">
                  <c:v>677510</c:v>
                </c:pt>
                <c:pt idx="453">
                  <c:v>430370</c:v>
                </c:pt>
                <c:pt idx="454">
                  <c:v>1330000</c:v>
                </c:pt>
                <c:pt idx="455">
                  <c:v>1630000</c:v>
                </c:pt>
                <c:pt idx="456">
                  <c:v>1070000</c:v>
                </c:pt>
                <c:pt idx="457">
                  <c:v>657520</c:v>
                </c:pt>
                <c:pt idx="458">
                  <c:v>930850</c:v>
                </c:pt>
                <c:pt idx="459">
                  <c:v>1390000</c:v>
                </c:pt>
                <c:pt idx="460">
                  <c:v>3080000</c:v>
                </c:pt>
                <c:pt idx="461">
                  <c:v>726390</c:v>
                </c:pt>
                <c:pt idx="462">
                  <c:v>861640</c:v>
                </c:pt>
                <c:pt idx="463">
                  <c:v>533140</c:v>
                </c:pt>
                <c:pt idx="464">
                  <c:v>879210</c:v>
                </c:pt>
                <c:pt idx="465">
                  <c:v>686530</c:v>
                </c:pt>
                <c:pt idx="466">
                  <c:v>1230000</c:v>
                </c:pt>
                <c:pt idx="467">
                  <c:v>848880</c:v>
                </c:pt>
                <c:pt idx="468">
                  <c:v>823300</c:v>
                </c:pt>
                <c:pt idx="469">
                  <c:v>1010000</c:v>
                </c:pt>
                <c:pt idx="470">
                  <c:v>611140</c:v>
                </c:pt>
                <c:pt idx="471">
                  <c:v>455220</c:v>
                </c:pt>
                <c:pt idx="472">
                  <c:v>525540</c:v>
                </c:pt>
                <c:pt idx="473">
                  <c:v>554630</c:v>
                </c:pt>
                <c:pt idx="474">
                  <c:v>342550</c:v>
                </c:pt>
                <c:pt idx="475">
                  <c:v>1100000</c:v>
                </c:pt>
                <c:pt idx="476">
                  <c:v>1690000</c:v>
                </c:pt>
                <c:pt idx="477">
                  <c:v>363180</c:v>
                </c:pt>
                <c:pt idx="478">
                  <c:v>659150</c:v>
                </c:pt>
                <c:pt idx="479">
                  <c:v>537940</c:v>
                </c:pt>
                <c:pt idx="480">
                  <c:v>262330</c:v>
                </c:pt>
                <c:pt idx="481">
                  <c:v>404130</c:v>
                </c:pt>
                <c:pt idx="482">
                  <c:v>831120</c:v>
                </c:pt>
                <c:pt idx="483">
                  <c:v>325670</c:v>
                </c:pt>
                <c:pt idx="484">
                  <c:v>403780</c:v>
                </c:pt>
                <c:pt idx="485">
                  <c:v>395360</c:v>
                </c:pt>
                <c:pt idx="486">
                  <c:v>314820</c:v>
                </c:pt>
                <c:pt idx="487">
                  <c:v>680390</c:v>
                </c:pt>
                <c:pt idx="488">
                  <c:v>670900</c:v>
                </c:pt>
                <c:pt idx="489">
                  <c:v>475320</c:v>
                </c:pt>
                <c:pt idx="490">
                  <c:v>333860</c:v>
                </c:pt>
                <c:pt idx="491">
                  <c:v>625660</c:v>
                </c:pt>
                <c:pt idx="492">
                  <c:v>326500</c:v>
                </c:pt>
                <c:pt idx="493">
                  <c:v>265890</c:v>
                </c:pt>
                <c:pt idx="494">
                  <c:v>345110</c:v>
                </c:pt>
                <c:pt idx="495">
                  <c:v>632950</c:v>
                </c:pt>
                <c:pt idx="496">
                  <c:v>693260</c:v>
                </c:pt>
                <c:pt idx="497">
                  <c:v>797280</c:v>
                </c:pt>
                <c:pt idx="498">
                  <c:v>406760</c:v>
                </c:pt>
                <c:pt idx="499">
                  <c:v>2460000</c:v>
                </c:pt>
                <c:pt idx="500">
                  <c:v>736620</c:v>
                </c:pt>
                <c:pt idx="501">
                  <c:v>1040000</c:v>
                </c:pt>
                <c:pt idx="502">
                  <c:v>1060000</c:v>
                </c:pt>
                <c:pt idx="503">
                  <c:v>572040</c:v>
                </c:pt>
                <c:pt idx="504">
                  <c:v>493240</c:v>
                </c:pt>
                <c:pt idx="505">
                  <c:v>334700</c:v>
                </c:pt>
                <c:pt idx="506">
                  <c:v>441000</c:v>
                </c:pt>
                <c:pt idx="507">
                  <c:v>266120</c:v>
                </c:pt>
                <c:pt idx="508">
                  <c:v>324010</c:v>
                </c:pt>
                <c:pt idx="509">
                  <c:v>680220</c:v>
                </c:pt>
                <c:pt idx="510">
                  <c:v>1220000</c:v>
                </c:pt>
                <c:pt idx="511">
                  <c:v>769880</c:v>
                </c:pt>
                <c:pt idx="512">
                  <c:v>521730</c:v>
                </c:pt>
                <c:pt idx="513">
                  <c:v>459190</c:v>
                </c:pt>
                <c:pt idx="514">
                  <c:v>465910</c:v>
                </c:pt>
                <c:pt idx="515">
                  <c:v>687090</c:v>
                </c:pt>
                <c:pt idx="516">
                  <c:v>985830</c:v>
                </c:pt>
                <c:pt idx="517">
                  <c:v>871640</c:v>
                </c:pt>
                <c:pt idx="518">
                  <c:v>416450</c:v>
                </c:pt>
                <c:pt idx="519">
                  <c:v>671850</c:v>
                </c:pt>
                <c:pt idx="520">
                  <c:v>1040000</c:v>
                </c:pt>
                <c:pt idx="521">
                  <c:v>664630</c:v>
                </c:pt>
                <c:pt idx="522">
                  <c:v>380540</c:v>
                </c:pt>
                <c:pt idx="523">
                  <c:v>448640</c:v>
                </c:pt>
                <c:pt idx="524">
                  <c:v>386390</c:v>
                </c:pt>
                <c:pt idx="525">
                  <c:v>677550</c:v>
                </c:pt>
                <c:pt idx="526">
                  <c:v>558180</c:v>
                </c:pt>
                <c:pt idx="527">
                  <c:v>731370</c:v>
                </c:pt>
                <c:pt idx="528">
                  <c:v>675130</c:v>
                </c:pt>
                <c:pt idx="529">
                  <c:v>2220000</c:v>
                </c:pt>
                <c:pt idx="530">
                  <c:v>804880</c:v>
                </c:pt>
                <c:pt idx="531">
                  <c:v>572430</c:v>
                </c:pt>
                <c:pt idx="532">
                  <c:v>311300</c:v>
                </c:pt>
                <c:pt idx="533">
                  <c:v>273280</c:v>
                </c:pt>
                <c:pt idx="534">
                  <c:v>575200</c:v>
                </c:pt>
                <c:pt idx="535">
                  <c:v>479280</c:v>
                </c:pt>
                <c:pt idx="536">
                  <c:v>775970</c:v>
                </c:pt>
                <c:pt idx="537">
                  <c:v>515030</c:v>
                </c:pt>
                <c:pt idx="538">
                  <c:v>815190</c:v>
                </c:pt>
                <c:pt idx="539">
                  <c:v>630240</c:v>
                </c:pt>
                <c:pt idx="540">
                  <c:v>558690</c:v>
                </c:pt>
                <c:pt idx="541">
                  <c:v>862530</c:v>
                </c:pt>
                <c:pt idx="542">
                  <c:v>1510000</c:v>
                </c:pt>
                <c:pt idx="543">
                  <c:v>1530000</c:v>
                </c:pt>
                <c:pt idx="544">
                  <c:v>1580000</c:v>
                </c:pt>
                <c:pt idx="545">
                  <c:v>1020000</c:v>
                </c:pt>
                <c:pt idx="546">
                  <c:v>621070</c:v>
                </c:pt>
                <c:pt idx="547">
                  <c:v>681810</c:v>
                </c:pt>
                <c:pt idx="548">
                  <c:v>611030</c:v>
                </c:pt>
                <c:pt idx="549">
                  <c:v>758340</c:v>
                </c:pt>
                <c:pt idx="550">
                  <c:v>1230000</c:v>
                </c:pt>
                <c:pt idx="551">
                  <c:v>480120</c:v>
                </c:pt>
                <c:pt idx="552">
                  <c:v>661120</c:v>
                </c:pt>
                <c:pt idx="553">
                  <c:v>439290</c:v>
                </c:pt>
                <c:pt idx="554">
                  <c:v>568610</c:v>
                </c:pt>
                <c:pt idx="555">
                  <c:v>446420</c:v>
                </c:pt>
                <c:pt idx="556">
                  <c:v>690960</c:v>
                </c:pt>
                <c:pt idx="557">
                  <c:v>1320000</c:v>
                </c:pt>
                <c:pt idx="558">
                  <c:v>1200000</c:v>
                </c:pt>
                <c:pt idx="559">
                  <c:v>840570</c:v>
                </c:pt>
                <c:pt idx="560">
                  <c:v>745770</c:v>
                </c:pt>
                <c:pt idx="561">
                  <c:v>660190</c:v>
                </c:pt>
                <c:pt idx="562">
                  <c:v>1240000</c:v>
                </c:pt>
                <c:pt idx="563">
                  <c:v>469840</c:v>
                </c:pt>
                <c:pt idx="564">
                  <c:v>451070</c:v>
                </c:pt>
                <c:pt idx="565">
                  <c:v>800710</c:v>
                </c:pt>
                <c:pt idx="566">
                  <c:v>332110</c:v>
                </c:pt>
                <c:pt idx="567">
                  <c:v>359810</c:v>
                </c:pt>
                <c:pt idx="568">
                  <c:v>383940</c:v>
                </c:pt>
                <c:pt idx="569">
                  <c:v>322930</c:v>
                </c:pt>
                <c:pt idx="570">
                  <c:v>636520</c:v>
                </c:pt>
                <c:pt idx="571">
                  <c:v>1190000</c:v>
                </c:pt>
                <c:pt idx="572">
                  <c:v>1090000</c:v>
                </c:pt>
                <c:pt idx="573">
                  <c:v>829580</c:v>
                </c:pt>
                <c:pt idx="574">
                  <c:v>630800</c:v>
                </c:pt>
                <c:pt idx="575">
                  <c:v>616250</c:v>
                </c:pt>
                <c:pt idx="576">
                  <c:v>499340</c:v>
                </c:pt>
                <c:pt idx="577">
                  <c:v>739030</c:v>
                </c:pt>
                <c:pt idx="578">
                  <c:v>479790</c:v>
                </c:pt>
                <c:pt idx="579">
                  <c:v>497150</c:v>
                </c:pt>
                <c:pt idx="580">
                  <c:v>515080.00000000012</c:v>
                </c:pt>
                <c:pt idx="581">
                  <c:v>477760</c:v>
                </c:pt>
                <c:pt idx="582">
                  <c:v>407390</c:v>
                </c:pt>
                <c:pt idx="583">
                  <c:v>403220</c:v>
                </c:pt>
                <c:pt idx="584">
                  <c:v>841470</c:v>
                </c:pt>
                <c:pt idx="585">
                  <c:v>459260</c:v>
                </c:pt>
                <c:pt idx="586">
                  <c:v>419480</c:v>
                </c:pt>
                <c:pt idx="587">
                  <c:v>650620</c:v>
                </c:pt>
                <c:pt idx="588">
                  <c:v>2800000</c:v>
                </c:pt>
                <c:pt idx="589">
                  <c:v>1460000</c:v>
                </c:pt>
                <c:pt idx="590">
                  <c:v>1170000</c:v>
                </c:pt>
                <c:pt idx="591">
                  <c:v>1590000</c:v>
                </c:pt>
                <c:pt idx="592">
                  <c:v>687010</c:v>
                </c:pt>
                <c:pt idx="593">
                  <c:v>892540</c:v>
                </c:pt>
                <c:pt idx="594">
                  <c:v>481730</c:v>
                </c:pt>
                <c:pt idx="595">
                  <c:v>556610</c:v>
                </c:pt>
                <c:pt idx="596">
                  <c:v>854410</c:v>
                </c:pt>
                <c:pt idx="597">
                  <c:v>404880</c:v>
                </c:pt>
                <c:pt idx="598">
                  <c:v>589420</c:v>
                </c:pt>
                <c:pt idx="599">
                  <c:v>1770000</c:v>
                </c:pt>
                <c:pt idx="600">
                  <c:v>358920</c:v>
                </c:pt>
                <c:pt idx="601">
                  <c:v>558030</c:v>
                </c:pt>
                <c:pt idx="602">
                  <c:v>808870</c:v>
                </c:pt>
                <c:pt idx="603">
                  <c:v>906880</c:v>
                </c:pt>
                <c:pt idx="604">
                  <c:v>453940</c:v>
                </c:pt>
                <c:pt idx="605">
                  <c:v>260629.99999999997</c:v>
                </c:pt>
                <c:pt idx="606">
                  <c:v>531560</c:v>
                </c:pt>
                <c:pt idx="607">
                  <c:v>666110</c:v>
                </c:pt>
                <c:pt idx="608">
                  <c:v>556910</c:v>
                </c:pt>
                <c:pt idx="609">
                  <c:v>739830</c:v>
                </c:pt>
                <c:pt idx="610">
                  <c:v>339710</c:v>
                </c:pt>
                <c:pt idx="611">
                  <c:v>542480</c:v>
                </c:pt>
                <c:pt idx="612">
                  <c:v>836170</c:v>
                </c:pt>
                <c:pt idx="613">
                  <c:v>717660</c:v>
                </c:pt>
                <c:pt idx="614">
                  <c:v>1180000</c:v>
                </c:pt>
                <c:pt idx="615">
                  <c:v>273510</c:v>
                </c:pt>
                <c:pt idx="616">
                  <c:v>1340000</c:v>
                </c:pt>
                <c:pt idx="617">
                  <c:v>1080000</c:v>
                </c:pt>
                <c:pt idx="618">
                  <c:v>532400</c:v>
                </c:pt>
                <c:pt idx="619">
                  <c:v>770780</c:v>
                </c:pt>
                <c:pt idx="620">
                  <c:v>856260</c:v>
                </c:pt>
                <c:pt idx="621">
                  <c:v>928850</c:v>
                </c:pt>
                <c:pt idx="622">
                  <c:v>367510</c:v>
                </c:pt>
                <c:pt idx="623">
                  <c:v>443840</c:v>
                </c:pt>
                <c:pt idx="624">
                  <c:v>616330</c:v>
                </c:pt>
                <c:pt idx="625">
                  <c:v>1060000</c:v>
                </c:pt>
                <c:pt idx="626">
                  <c:v>650310</c:v>
                </c:pt>
                <c:pt idx="627">
                  <c:v>617740</c:v>
                </c:pt>
                <c:pt idx="628">
                  <c:v>1350000</c:v>
                </c:pt>
                <c:pt idx="629">
                  <c:v>1070000</c:v>
                </c:pt>
                <c:pt idx="630">
                  <c:v>768270</c:v>
                </c:pt>
                <c:pt idx="631">
                  <c:v>901980</c:v>
                </c:pt>
                <c:pt idx="632">
                  <c:v>536540</c:v>
                </c:pt>
                <c:pt idx="633">
                  <c:v>568160</c:v>
                </c:pt>
                <c:pt idx="634">
                  <c:v>728000</c:v>
                </c:pt>
                <c:pt idx="635">
                  <c:v>432910</c:v>
                </c:pt>
                <c:pt idx="636">
                  <c:v>469150</c:v>
                </c:pt>
                <c:pt idx="637">
                  <c:v>1460000</c:v>
                </c:pt>
                <c:pt idx="638">
                  <c:v>623590</c:v>
                </c:pt>
                <c:pt idx="639">
                  <c:v>676810</c:v>
                </c:pt>
                <c:pt idx="640">
                  <c:v>527220</c:v>
                </c:pt>
                <c:pt idx="641">
                  <c:v>486390</c:v>
                </c:pt>
                <c:pt idx="642">
                  <c:v>570560</c:v>
                </c:pt>
                <c:pt idx="643">
                  <c:v>891880</c:v>
                </c:pt>
                <c:pt idx="644">
                  <c:v>1840000</c:v>
                </c:pt>
                <c:pt idx="645">
                  <c:v>1220000</c:v>
                </c:pt>
                <c:pt idx="646">
                  <c:v>928110</c:v>
                </c:pt>
                <c:pt idx="647">
                  <c:v>518289.99999999994</c:v>
                </c:pt>
                <c:pt idx="648">
                  <c:v>595710</c:v>
                </c:pt>
                <c:pt idx="649">
                  <c:v>814820</c:v>
                </c:pt>
                <c:pt idx="650">
                  <c:v>2190000</c:v>
                </c:pt>
                <c:pt idx="651">
                  <c:v>1330000</c:v>
                </c:pt>
                <c:pt idx="652">
                  <c:v>1700000</c:v>
                </c:pt>
                <c:pt idx="653">
                  <c:v>1650000</c:v>
                </c:pt>
                <c:pt idx="654">
                  <c:v>591900</c:v>
                </c:pt>
                <c:pt idx="655">
                  <c:v>1150000</c:v>
                </c:pt>
                <c:pt idx="656">
                  <c:v>928070</c:v>
                </c:pt>
                <c:pt idx="657">
                  <c:v>1600000</c:v>
                </c:pt>
                <c:pt idx="658">
                  <c:v>856680</c:v>
                </c:pt>
                <c:pt idx="659">
                  <c:v>1240000</c:v>
                </c:pt>
                <c:pt idx="660">
                  <c:v>1740000</c:v>
                </c:pt>
                <c:pt idx="661">
                  <c:v>1440000</c:v>
                </c:pt>
                <c:pt idx="662">
                  <c:v>1240000</c:v>
                </c:pt>
                <c:pt idx="663">
                  <c:v>1590000</c:v>
                </c:pt>
                <c:pt idx="664">
                  <c:v>1040000</c:v>
                </c:pt>
                <c:pt idx="665">
                  <c:v>561310</c:v>
                </c:pt>
                <c:pt idx="666">
                  <c:v>355150</c:v>
                </c:pt>
                <c:pt idx="667">
                  <c:v>662830</c:v>
                </c:pt>
                <c:pt idx="668">
                  <c:v>640520</c:v>
                </c:pt>
                <c:pt idx="669">
                  <c:v>567370</c:v>
                </c:pt>
                <c:pt idx="670">
                  <c:v>761570</c:v>
                </c:pt>
                <c:pt idx="671">
                  <c:v>528700</c:v>
                </c:pt>
                <c:pt idx="672">
                  <c:v>508970.00000000006</c:v>
                </c:pt>
                <c:pt idx="673">
                  <c:v>1630000</c:v>
                </c:pt>
                <c:pt idx="674">
                  <c:v>957390</c:v>
                </c:pt>
                <c:pt idx="675">
                  <c:v>517409.99999999994</c:v>
                </c:pt>
                <c:pt idx="676">
                  <c:v>854400</c:v>
                </c:pt>
                <c:pt idx="677">
                  <c:v>883100</c:v>
                </c:pt>
                <c:pt idx="678">
                  <c:v>659830</c:v>
                </c:pt>
                <c:pt idx="679">
                  <c:v>436540</c:v>
                </c:pt>
                <c:pt idx="680">
                  <c:v>979890</c:v>
                </c:pt>
                <c:pt idx="681">
                  <c:v>651920</c:v>
                </c:pt>
                <c:pt idx="682">
                  <c:v>670810</c:v>
                </c:pt>
                <c:pt idx="683">
                  <c:v>578780</c:v>
                </c:pt>
                <c:pt idx="684">
                  <c:v>517860</c:v>
                </c:pt>
                <c:pt idx="685">
                  <c:v>2180000</c:v>
                </c:pt>
                <c:pt idx="686">
                  <c:v>961130</c:v>
                </c:pt>
                <c:pt idx="687">
                  <c:v>530680</c:v>
                </c:pt>
                <c:pt idx="688">
                  <c:v>458830</c:v>
                </c:pt>
                <c:pt idx="689">
                  <c:v>412740</c:v>
                </c:pt>
                <c:pt idx="690">
                  <c:v>661790</c:v>
                </c:pt>
                <c:pt idx="691">
                  <c:v>660960</c:v>
                </c:pt>
                <c:pt idx="692">
                  <c:v>753970</c:v>
                </c:pt>
                <c:pt idx="693">
                  <c:v>387250</c:v>
                </c:pt>
                <c:pt idx="694">
                  <c:v>492110</c:v>
                </c:pt>
                <c:pt idx="695">
                  <c:v>522360.00000000006</c:v>
                </c:pt>
                <c:pt idx="696">
                  <c:v>645490</c:v>
                </c:pt>
                <c:pt idx="697">
                  <c:v>515240.00000000006</c:v>
                </c:pt>
                <c:pt idx="698">
                  <c:v>532330</c:v>
                </c:pt>
                <c:pt idx="699">
                  <c:v>63729.999999999993</c:v>
                </c:pt>
                <c:pt idx="700">
                  <c:v>571190</c:v>
                </c:pt>
                <c:pt idx="701">
                  <c:v>583290</c:v>
                </c:pt>
                <c:pt idx="702">
                  <c:v>478510</c:v>
                </c:pt>
                <c:pt idx="703">
                  <c:v>678150</c:v>
                </c:pt>
                <c:pt idx="704">
                  <c:v>746050</c:v>
                </c:pt>
                <c:pt idx="705">
                  <c:v>1180000</c:v>
                </c:pt>
                <c:pt idx="706">
                  <c:v>738120</c:v>
                </c:pt>
                <c:pt idx="707">
                  <c:v>631940</c:v>
                </c:pt>
                <c:pt idx="708">
                  <c:v>505939.99999999994</c:v>
                </c:pt>
                <c:pt idx="709">
                  <c:v>490410</c:v>
                </c:pt>
                <c:pt idx="710">
                  <c:v>442140</c:v>
                </c:pt>
                <c:pt idx="711">
                  <c:v>2460000</c:v>
                </c:pt>
                <c:pt idx="712">
                  <c:v>659140</c:v>
                </c:pt>
                <c:pt idx="713">
                  <c:v>552510</c:v>
                </c:pt>
                <c:pt idx="714">
                  <c:v>1050000</c:v>
                </c:pt>
                <c:pt idx="715">
                  <c:v>889810</c:v>
                </c:pt>
                <c:pt idx="716">
                  <c:v>868750</c:v>
                </c:pt>
                <c:pt idx="717">
                  <c:v>631290</c:v>
                </c:pt>
                <c:pt idx="718">
                  <c:v>461530</c:v>
                </c:pt>
                <c:pt idx="719">
                  <c:v>738560</c:v>
                </c:pt>
                <c:pt idx="720">
                  <c:v>407600</c:v>
                </c:pt>
                <c:pt idx="721">
                  <c:v>512690.00000000012</c:v>
                </c:pt>
                <c:pt idx="722">
                  <c:v>435880</c:v>
                </c:pt>
                <c:pt idx="723">
                  <c:v>456870</c:v>
                </c:pt>
                <c:pt idx="724">
                  <c:v>1150000</c:v>
                </c:pt>
                <c:pt idx="725">
                  <c:v>518870.00000000006</c:v>
                </c:pt>
                <c:pt idx="726">
                  <c:v>1450000</c:v>
                </c:pt>
                <c:pt idx="727">
                  <c:v>518260.00000000006</c:v>
                </c:pt>
                <c:pt idx="728">
                  <c:v>944560</c:v>
                </c:pt>
                <c:pt idx="729">
                  <c:v>943410</c:v>
                </c:pt>
                <c:pt idx="730">
                  <c:v>862490</c:v>
                </c:pt>
                <c:pt idx="731">
                  <c:v>660250</c:v>
                </c:pt>
                <c:pt idx="732">
                  <c:v>541990</c:v>
                </c:pt>
                <c:pt idx="733">
                  <c:v>584450</c:v>
                </c:pt>
                <c:pt idx="734">
                  <c:v>677000</c:v>
                </c:pt>
                <c:pt idx="735">
                  <c:v>338210</c:v>
                </c:pt>
                <c:pt idx="736">
                  <c:v>771550</c:v>
                </c:pt>
                <c:pt idx="737">
                  <c:v>890120</c:v>
                </c:pt>
                <c:pt idx="738">
                  <c:v>711010</c:v>
                </c:pt>
                <c:pt idx="739">
                  <c:v>485200</c:v>
                </c:pt>
                <c:pt idx="740">
                  <c:v>613150</c:v>
                </c:pt>
                <c:pt idx="741">
                  <c:v>581960</c:v>
                </c:pt>
                <c:pt idx="742">
                  <c:v>530290</c:v>
                </c:pt>
                <c:pt idx="743">
                  <c:v>422130</c:v>
                </c:pt>
                <c:pt idx="744">
                  <c:v>318720</c:v>
                </c:pt>
                <c:pt idx="745">
                  <c:v>881070</c:v>
                </c:pt>
                <c:pt idx="746">
                  <c:v>663450</c:v>
                </c:pt>
                <c:pt idx="747">
                  <c:v>381580</c:v>
                </c:pt>
                <c:pt idx="748">
                  <c:v>323240</c:v>
                </c:pt>
                <c:pt idx="749">
                  <c:v>372620</c:v>
                </c:pt>
                <c:pt idx="750">
                  <c:v>383750</c:v>
                </c:pt>
                <c:pt idx="751">
                  <c:v>242110</c:v>
                </c:pt>
                <c:pt idx="752">
                  <c:v>391800</c:v>
                </c:pt>
                <c:pt idx="753">
                  <c:v>607830</c:v>
                </c:pt>
                <c:pt idx="754">
                  <c:v>856150</c:v>
                </c:pt>
                <c:pt idx="755">
                  <c:v>690120</c:v>
                </c:pt>
                <c:pt idx="756">
                  <c:v>964660</c:v>
                </c:pt>
                <c:pt idx="757">
                  <c:v>653370</c:v>
                </c:pt>
                <c:pt idx="758">
                  <c:v>495810</c:v>
                </c:pt>
                <c:pt idx="759">
                  <c:v>330810</c:v>
                </c:pt>
                <c:pt idx="760">
                  <c:v>320900</c:v>
                </c:pt>
                <c:pt idx="761">
                  <c:v>389880</c:v>
                </c:pt>
                <c:pt idx="762">
                  <c:v>424690</c:v>
                </c:pt>
                <c:pt idx="763">
                  <c:v>367440</c:v>
                </c:pt>
                <c:pt idx="764">
                  <c:v>353060</c:v>
                </c:pt>
                <c:pt idx="765">
                  <c:v>627910</c:v>
                </c:pt>
                <c:pt idx="766">
                  <c:v>656400</c:v>
                </c:pt>
                <c:pt idx="767">
                  <c:v>612160</c:v>
                </c:pt>
                <c:pt idx="768">
                  <c:v>885330</c:v>
                </c:pt>
                <c:pt idx="769">
                  <c:v>613270</c:v>
                </c:pt>
                <c:pt idx="770">
                  <c:v>500040.00000000006</c:v>
                </c:pt>
                <c:pt idx="771">
                  <c:v>346030</c:v>
                </c:pt>
                <c:pt idx="772">
                  <c:v>447240</c:v>
                </c:pt>
                <c:pt idx="773">
                  <c:v>378310</c:v>
                </c:pt>
                <c:pt idx="774">
                  <c:v>265010</c:v>
                </c:pt>
                <c:pt idx="775">
                  <c:v>328750</c:v>
                </c:pt>
                <c:pt idx="776">
                  <c:v>405140</c:v>
                </c:pt>
                <c:pt idx="777">
                  <c:v>1520000</c:v>
                </c:pt>
                <c:pt idx="778">
                  <c:v>2089999.9999999998</c:v>
                </c:pt>
                <c:pt idx="779">
                  <c:v>679170</c:v>
                </c:pt>
                <c:pt idx="780">
                  <c:v>491320</c:v>
                </c:pt>
                <c:pt idx="781">
                  <c:v>515900</c:v>
                </c:pt>
                <c:pt idx="782">
                  <c:v>494120</c:v>
                </c:pt>
                <c:pt idx="783">
                  <c:v>570380</c:v>
                </c:pt>
                <c:pt idx="784">
                  <c:v>527730</c:v>
                </c:pt>
                <c:pt idx="785">
                  <c:v>684030</c:v>
                </c:pt>
                <c:pt idx="786">
                  <c:v>482530</c:v>
                </c:pt>
                <c:pt idx="787">
                  <c:v>974100</c:v>
                </c:pt>
                <c:pt idx="788">
                  <c:v>522390</c:v>
                </c:pt>
                <c:pt idx="789">
                  <c:v>970570</c:v>
                </c:pt>
                <c:pt idx="790">
                  <c:v>337280</c:v>
                </c:pt>
                <c:pt idx="791">
                  <c:v>362690</c:v>
                </c:pt>
                <c:pt idx="792">
                  <c:v>657260</c:v>
                </c:pt>
                <c:pt idx="793">
                  <c:v>419730</c:v>
                </c:pt>
                <c:pt idx="794">
                  <c:v>362000</c:v>
                </c:pt>
                <c:pt idx="795">
                  <c:v>351240</c:v>
                </c:pt>
                <c:pt idx="796">
                  <c:v>727500</c:v>
                </c:pt>
                <c:pt idx="797">
                  <c:v>288930</c:v>
                </c:pt>
                <c:pt idx="798">
                  <c:v>439610</c:v>
                </c:pt>
                <c:pt idx="799">
                  <c:v>692630</c:v>
                </c:pt>
                <c:pt idx="800">
                  <c:v>561180</c:v>
                </c:pt>
                <c:pt idx="801">
                  <c:v>490090</c:v>
                </c:pt>
                <c:pt idx="802">
                  <c:v>222880</c:v>
                </c:pt>
                <c:pt idx="803">
                  <c:v>379190</c:v>
                </c:pt>
                <c:pt idx="804">
                  <c:v>542970</c:v>
                </c:pt>
                <c:pt idx="805">
                  <c:v>375290</c:v>
                </c:pt>
                <c:pt idx="806">
                  <c:v>1080000</c:v>
                </c:pt>
                <c:pt idx="807">
                  <c:v>765290</c:v>
                </c:pt>
                <c:pt idx="808">
                  <c:v>546110</c:v>
                </c:pt>
                <c:pt idx="809">
                  <c:v>1170000</c:v>
                </c:pt>
                <c:pt idx="810">
                  <c:v>1030000</c:v>
                </c:pt>
                <c:pt idx="811">
                  <c:v>586850</c:v>
                </c:pt>
                <c:pt idx="812">
                  <c:v>416880</c:v>
                </c:pt>
                <c:pt idx="813">
                  <c:v>618390</c:v>
                </c:pt>
                <c:pt idx="814">
                  <c:v>746280</c:v>
                </c:pt>
                <c:pt idx="815">
                  <c:v>1340000</c:v>
                </c:pt>
                <c:pt idx="816">
                  <c:v>539980</c:v>
                </c:pt>
                <c:pt idx="817">
                  <c:v>577510</c:v>
                </c:pt>
                <c:pt idx="818">
                  <c:v>646160</c:v>
                </c:pt>
                <c:pt idx="819">
                  <c:v>483670</c:v>
                </c:pt>
                <c:pt idx="820">
                  <c:v>443740</c:v>
                </c:pt>
                <c:pt idx="821">
                  <c:v>379320</c:v>
                </c:pt>
                <c:pt idx="822">
                  <c:v>574540</c:v>
                </c:pt>
                <c:pt idx="823">
                  <c:v>881680</c:v>
                </c:pt>
                <c:pt idx="824">
                  <c:v>464410</c:v>
                </c:pt>
                <c:pt idx="825">
                  <c:v>416240</c:v>
                </c:pt>
                <c:pt idx="826">
                  <c:v>838720</c:v>
                </c:pt>
                <c:pt idx="827">
                  <c:v>577760</c:v>
                </c:pt>
                <c:pt idx="828">
                  <c:v>325540</c:v>
                </c:pt>
                <c:pt idx="829">
                  <c:v>518150</c:v>
                </c:pt>
                <c:pt idx="830">
                  <c:v>322910</c:v>
                </c:pt>
                <c:pt idx="831">
                  <c:v>347390</c:v>
                </c:pt>
                <c:pt idx="832">
                  <c:v>386750</c:v>
                </c:pt>
                <c:pt idx="833">
                  <c:v>408410</c:v>
                </c:pt>
                <c:pt idx="834">
                  <c:v>3670000</c:v>
                </c:pt>
                <c:pt idx="835">
                  <c:v>1270000</c:v>
                </c:pt>
                <c:pt idx="836">
                  <c:v>1040000</c:v>
                </c:pt>
                <c:pt idx="837">
                  <c:v>755790</c:v>
                </c:pt>
                <c:pt idx="838">
                  <c:v>1240000</c:v>
                </c:pt>
                <c:pt idx="839">
                  <c:v>762690</c:v>
                </c:pt>
                <c:pt idx="840">
                  <c:v>303120</c:v>
                </c:pt>
                <c:pt idx="841">
                  <c:v>374270</c:v>
                </c:pt>
                <c:pt idx="842">
                  <c:v>374040</c:v>
                </c:pt>
                <c:pt idx="843">
                  <c:v>725890</c:v>
                </c:pt>
                <c:pt idx="844">
                  <c:v>394990</c:v>
                </c:pt>
                <c:pt idx="845">
                  <c:v>516719.99999999994</c:v>
                </c:pt>
                <c:pt idx="846">
                  <c:v>598100</c:v>
                </c:pt>
                <c:pt idx="847">
                  <c:v>1190000</c:v>
                </c:pt>
                <c:pt idx="848">
                  <c:v>622440</c:v>
                </c:pt>
                <c:pt idx="849">
                  <c:v>987420</c:v>
                </c:pt>
                <c:pt idx="850">
                  <c:v>340660</c:v>
                </c:pt>
                <c:pt idx="851">
                  <c:v>385910</c:v>
                </c:pt>
                <c:pt idx="852">
                  <c:v>342010</c:v>
                </c:pt>
                <c:pt idx="853">
                  <c:v>511179.99999999994</c:v>
                </c:pt>
                <c:pt idx="854">
                  <c:v>447350</c:v>
                </c:pt>
                <c:pt idx="855">
                  <c:v>358860</c:v>
                </c:pt>
                <c:pt idx="856">
                  <c:v>612120</c:v>
                </c:pt>
                <c:pt idx="857">
                  <c:v>456600</c:v>
                </c:pt>
                <c:pt idx="858">
                  <c:v>428890</c:v>
                </c:pt>
                <c:pt idx="859">
                  <c:v>610090</c:v>
                </c:pt>
                <c:pt idx="860">
                  <c:v>336010</c:v>
                </c:pt>
                <c:pt idx="861">
                  <c:v>378560</c:v>
                </c:pt>
                <c:pt idx="862">
                  <c:v>538050</c:v>
                </c:pt>
                <c:pt idx="863">
                  <c:v>559680</c:v>
                </c:pt>
                <c:pt idx="864">
                  <c:v>281640</c:v>
                </c:pt>
                <c:pt idx="865">
                  <c:v>346200</c:v>
                </c:pt>
                <c:pt idx="866">
                  <c:v>336520</c:v>
                </c:pt>
                <c:pt idx="867">
                  <c:v>657120</c:v>
                </c:pt>
                <c:pt idx="868">
                  <c:v>712380</c:v>
                </c:pt>
                <c:pt idx="869">
                  <c:v>734330</c:v>
                </c:pt>
                <c:pt idx="870">
                  <c:v>4120000</c:v>
                </c:pt>
                <c:pt idx="871">
                  <c:v>2930000</c:v>
                </c:pt>
                <c:pt idx="872">
                  <c:v>3840000</c:v>
                </c:pt>
                <c:pt idx="873">
                  <c:v>2100000</c:v>
                </c:pt>
                <c:pt idx="874">
                  <c:v>1780000</c:v>
                </c:pt>
                <c:pt idx="875">
                  <c:v>1430000</c:v>
                </c:pt>
                <c:pt idx="876">
                  <c:v>1570000</c:v>
                </c:pt>
                <c:pt idx="877">
                  <c:v>1050000</c:v>
                </c:pt>
                <c:pt idx="878">
                  <c:v>1580000</c:v>
                </c:pt>
                <c:pt idx="879">
                  <c:v>1560000</c:v>
                </c:pt>
                <c:pt idx="880">
                  <c:v>743050</c:v>
                </c:pt>
                <c:pt idx="881">
                  <c:v>658760</c:v>
                </c:pt>
                <c:pt idx="882">
                  <c:v>684860</c:v>
                </c:pt>
                <c:pt idx="883">
                  <c:v>536480</c:v>
                </c:pt>
                <c:pt idx="884">
                  <c:v>517009.99999999994</c:v>
                </c:pt>
                <c:pt idx="885">
                  <c:v>865630</c:v>
                </c:pt>
                <c:pt idx="886">
                  <c:v>552960</c:v>
                </c:pt>
                <c:pt idx="887">
                  <c:v>748690</c:v>
                </c:pt>
                <c:pt idx="888">
                  <c:v>338430</c:v>
                </c:pt>
                <c:pt idx="889">
                  <c:v>485770</c:v>
                </c:pt>
                <c:pt idx="890">
                  <c:v>1040000</c:v>
                </c:pt>
                <c:pt idx="891">
                  <c:v>1170000</c:v>
                </c:pt>
                <c:pt idx="892">
                  <c:v>601720</c:v>
                </c:pt>
                <c:pt idx="893">
                  <c:v>1240000</c:v>
                </c:pt>
                <c:pt idx="894">
                  <c:v>438970</c:v>
                </c:pt>
                <c:pt idx="895">
                  <c:v>881720</c:v>
                </c:pt>
                <c:pt idx="896">
                  <c:v>1100000</c:v>
                </c:pt>
                <c:pt idx="897">
                  <c:v>640760</c:v>
                </c:pt>
                <c:pt idx="898">
                  <c:v>366410</c:v>
                </c:pt>
                <c:pt idx="899">
                  <c:v>650030</c:v>
                </c:pt>
                <c:pt idx="900">
                  <c:v>502270</c:v>
                </c:pt>
                <c:pt idx="901">
                  <c:v>484580</c:v>
                </c:pt>
                <c:pt idx="902">
                  <c:v>680220</c:v>
                </c:pt>
                <c:pt idx="903">
                  <c:v>407890</c:v>
                </c:pt>
                <c:pt idx="904">
                  <c:v>343010</c:v>
                </c:pt>
                <c:pt idx="905">
                  <c:v>347740</c:v>
                </c:pt>
                <c:pt idx="906">
                  <c:v>840230</c:v>
                </c:pt>
                <c:pt idx="907">
                  <c:v>463510</c:v>
                </c:pt>
                <c:pt idx="908">
                  <c:v>329660</c:v>
                </c:pt>
                <c:pt idx="909">
                  <c:v>271580</c:v>
                </c:pt>
                <c:pt idx="910">
                  <c:v>903100</c:v>
                </c:pt>
                <c:pt idx="911">
                  <c:v>835740</c:v>
                </c:pt>
                <c:pt idx="912">
                  <c:v>691510</c:v>
                </c:pt>
                <c:pt idx="913">
                  <c:v>661740</c:v>
                </c:pt>
                <c:pt idx="914">
                  <c:v>374900</c:v>
                </c:pt>
                <c:pt idx="915">
                  <c:v>431090</c:v>
                </c:pt>
                <c:pt idx="916">
                  <c:v>334700</c:v>
                </c:pt>
                <c:pt idx="917">
                  <c:v>448500</c:v>
                </c:pt>
                <c:pt idx="918">
                  <c:v>544360</c:v>
                </c:pt>
                <c:pt idx="919">
                  <c:v>446510</c:v>
                </c:pt>
                <c:pt idx="920">
                  <c:v>820180</c:v>
                </c:pt>
                <c:pt idx="921">
                  <c:v>436340</c:v>
                </c:pt>
                <c:pt idx="922">
                  <c:v>1170000</c:v>
                </c:pt>
                <c:pt idx="923">
                  <c:v>596380</c:v>
                </c:pt>
                <c:pt idx="924">
                  <c:v>547810</c:v>
                </c:pt>
                <c:pt idx="925">
                  <c:v>477580</c:v>
                </c:pt>
                <c:pt idx="926">
                  <c:v>393520</c:v>
                </c:pt>
                <c:pt idx="927">
                  <c:v>309700</c:v>
                </c:pt>
                <c:pt idx="928">
                  <c:v>2180000</c:v>
                </c:pt>
                <c:pt idx="929">
                  <c:v>552570</c:v>
                </c:pt>
                <c:pt idx="930">
                  <c:v>608160</c:v>
                </c:pt>
                <c:pt idx="931">
                  <c:v>515009.99999999994</c:v>
                </c:pt>
                <c:pt idx="932">
                  <c:v>1350000</c:v>
                </c:pt>
                <c:pt idx="933">
                  <c:v>566980</c:v>
                </c:pt>
                <c:pt idx="934">
                  <c:v>394670</c:v>
                </c:pt>
                <c:pt idx="935">
                  <c:v>249260</c:v>
                </c:pt>
                <c:pt idx="936">
                  <c:v>471290</c:v>
                </c:pt>
                <c:pt idx="937">
                  <c:v>206650</c:v>
                </c:pt>
                <c:pt idx="938">
                  <c:v>343470</c:v>
                </c:pt>
                <c:pt idx="939">
                  <c:v>644990</c:v>
                </c:pt>
                <c:pt idx="940">
                  <c:v>280440</c:v>
                </c:pt>
                <c:pt idx="941">
                  <c:v>147660</c:v>
                </c:pt>
                <c:pt idx="942">
                  <c:v>260329.99999999994</c:v>
                </c:pt>
                <c:pt idx="943">
                  <c:v>368550</c:v>
                </c:pt>
                <c:pt idx="944">
                  <c:v>353660</c:v>
                </c:pt>
                <c:pt idx="945">
                  <c:v>216270</c:v>
                </c:pt>
                <c:pt idx="946">
                  <c:v>211290</c:v>
                </c:pt>
                <c:pt idx="947">
                  <c:v>354130</c:v>
                </c:pt>
                <c:pt idx="948">
                  <c:v>428620</c:v>
                </c:pt>
                <c:pt idx="949">
                  <c:v>293100</c:v>
                </c:pt>
                <c:pt idx="950">
                  <c:v>257390</c:v>
                </c:pt>
                <c:pt idx="951">
                  <c:v>409350</c:v>
                </c:pt>
                <c:pt idx="952">
                  <c:v>325630</c:v>
                </c:pt>
                <c:pt idx="953">
                  <c:v>493380</c:v>
                </c:pt>
                <c:pt idx="954">
                  <c:v>568460</c:v>
                </c:pt>
                <c:pt idx="955">
                  <c:v>722080</c:v>
                </c:pt>
                <c:pt idx="956">
                  <c:v>335440</c:v>
                </c:pt>
                <c:pt idx="957">
                  <c:v>393480</c:v>
                </c:pt>
                <c:pt idx="958">
                  <c:v>538780</c:v>
                </c:pt>
                <c:pt idx="959">
                  <c:v>259240.00000000003</c:v>
                </c:pt>
                <c:pt idx="960">
                  <c:v>113460</c:v>
                </c:pt>
                <c:pt idx="961">
                  <c:v>875890</c:v>
                </c:pt>
                <c:pt idx="962">
                  <c:v>1910000</c:v>
                </c:pt>
                <c:pt idx="963">
                  <c:v>755580</c:v>
                </c:pt>
                <c:pt idx="964">
                  <c:v>476360</c:v>
                </c:pt>
                <c:pt idx="965">
                  <c:v>249900</c:v>
                </c:pt>
                <c:pt idx="966">
                  <c:v>260480.00000000006</c:v>
                </c:pt>
                <c:pt idx="967">
                  <c:v>286190</c:v>
                </c:pt>
                <c:pt idx="968">
                  <c:v>764500</c:v>
                </c:pt>
                <c:pt idx="969">
                  <c:v>266310</c:v>
                </c:pt>
                <c:pt idx="970">
                  <c:v>505270</c:v>
                </c:pt>
                <c:pt idx="971">
                  <c:v>414180</c:v>
                </c:pt>
                <c:pt idx="972">
                  <c:v>1340000</c:v>
                </c:pt>
                <c:pt idx="973">
                  <c:v>683210</c:v>
                </c:pt>
                <c:pt idx="974">
                  <c:v>2820000</c:v>
                </c:pt>
                <c:pt idx="975">
                  <c:v>1050000</c:v>
                </c:pt>
                <c:pt idx="976">
                  <c:v>941570</c:v>
                </c:pt>
                <c:pt idx="977">
                  <c:v>699550</c:v>
                </c:pt>
                <c:pt idx="978">
                  <c:v>334250</c:v>
                </c:pt>
                <c:pt idx="979">
                  <c:v>534580</c:v>
                </c:pt>
                <c:pt idx="980">
                  <c:v>981120</c:v>
                </c:pt>
                <c:pt idx="981">
                  <c:v>707210</c:v>
                </c:pt>
                <c:pt idx="982">
                  <c:v>922660</c:v>
                </c:pt>
                <c:pt idx="983">
                  <c:v>954930</c:v>
                </c:pt>
                <c:pt idx="984">
                  <c:v>886620</c:v>
                </c:pt>
                <c:pt idx="985">
                  <c:v>328370</c:v>
                </c:pt>
                <c:pt idx="986">
                  <c:v>557210</c:v>
                </c:pt>
                <c:pt idx="987">
                  <c:v>445650</c:v>
                </c:pt>
                <c:pt idx="988">
                  <c:v>309910</c:v>
                </c:pt>
                <c:pt idx="989">
                  <c:v>475110</c:v>
                </c:pt>
                <c:pt idx="990">
                  <c:v>385940</c:v>
                </c:pt>
                <c:pt idx="991">
                  <c:v>450480</c:v>
                </c:pt>
                <c:pt idx="992">
                  <c:v>673950</c:v>
                </c:pt>
                <c:pt idx="993">
                  <c:v>763450</c:v>
                </c:pt>
                <c:pt idx="994">
                  <c:v>1220000</c:v>
                </c:pt>
                <c:pt idx="995">
                  <c:v>435450</c:v>
                </c:pt>
                <c:pt idx="996">
                  <c:v>425700</c:v>
                </c:pt>
                <c:pt idx="997">
                  <c:v>402100</c:v>
                </c:pt>
                <c:pt idx="998">
                  <c:v>401260</c:v>
                </c:pt>
                <c:pt idx="999">
                  <c:v>411460</c:v>
                </c:pt>
                <c:pt idx="1000">
                  <c:v>577500</c:v>
                </c:pt>
                <c:pt idx="1001">
                  <c:v>378240</c:v>
                </c:pt>
                <c:pt idx="1002">
                  <c:v>220410</c:v>
                </c:pt>
                <c:pt idx="1003">
                  <c:v>364330</c:v>
                </c:pt>
                <c:pt idx="1004">
                  <c:v>519200.00000000012</c:v>
                </c:pt>
                <c:pt idx="1005">
                  <c:v>585280</c:v>
                </c:pt>
                <c:pt idx="1006">
                  <c:v>583930</c:v>
                </c:pt>
                <c:pt idx="1007">
                  <c:v>894470</c:v>
                </c:pt>
                <c:pt idx="1008">
                  <c:v>122050</c:v>
                </c:pt>
                <c:pt idx="1009">
                  <c:v>823430</c:v>
                </c:pt>
                <c:pt idx="1010">
                  <c:v>1320000</c:v>
                </c:pt>
                <c:pt idx="1011">
                  <c:v>699430</c:v>
                </c:pt>
                <c:pt idx="1012">
                  <c:v>936430</c:v>
                </c:pt>
                <c:pt idx="1013">
                  <c:v>612060</c:v>
                </c:pt>
                <c:pt idx="1014">
                  <c:v>759820</c:v>
                </c:pt>
                <c:pt idx="1015">
                  <c:v>1310000</c:v>
                </c:pt>
                <c:pt idx="1016">
                  <c:v>872010</c:v>
                </c:pt>
                <c:pt idx="1017">
                  <c:v>592180</c:v>
                </c:pt>
                <c:pt idx="1018">
                  <c:v>470710</c:v>
                </c:pt>
                <c:pt idx="1019">
                  <c:v>416770</c:v>
                </c:pt>
                <c:pt idx="1020">
                  <c:v>404900</c:v>
                </c:pt>
                <c:pt idx="1021">
                  <c:v>396730</c:v>
                </c:pt>
                <c:pt idx="1022">
                  <c:v>237340</c:v>
                </c:pt>
                <c:pt idx="1023">
                  <c:v>633020</c:v>
                </c:pt>
                <c:pt idx="1024">
                  <c:v>919710</c:v>
                </c:pt>
                <c:pt idx="1025">
                  <c:v>405630</c:v>
                </c:pt>
                <c:pt idx="1026">
                  <c:v>634010</c:v>
                </c:pt>
                <c:pt idx="1027">
                  <c:v>267830</c:v>
                </c:pt>
                <c:pt idx="1028">
                  <c:v>1320000</c:v>
                </c:pt>
                <c:pt idx="1029">
                  <c:v>575380</c:v>
                </c:pt>
                <c:pt idx="1030">
                  <c:v>1130000</c:v>
                </c:pt>
                <c:pt idx="1031">
                  <c:v>572000</c:v>
                </c:pt>
                <c:pt idx="1032">
                  <c:v>474470</c:v>
                </c:pt>
                <c:pt idx="1033">
                  <c:v>579400</c:v>
                </c:pt>
                <c:pt idx="1034">
                  <c:v>658950</c:v>
                </c:pt>
                <c:pt idx="1035">
                  <c:v>1020000</c:v>
                </c:pt>
                <c:pt idx="1036">
                  <c:v>665950</c:v>
                </c:pt>
                <c:pt idx="1037">
                  <c:v>17700</c:v>
                </c:pt>
                <c:pt idx="1038">
                  <c:v>641250</c:v>
                </c:pt>
                <c:pt idx="1039">
                  <c:v>591290</c:v>
                </c:pt>
                <c:pt idx="1040">
                  <c:v>315400</c:v>
                </c:pt>
                <c:pt idx="1041">
                  <c:v>734240</c:v>
                </c:pt>
                <c:pt idx="1042">
                  <c:v>373340</c:v>
                </c:pt>
                <c:pt idx="1043">
                  <c:v>528040</c:v>
                </c:pt>
                <c:pt idx="1044">
                  <c:v>428320</c:v>
                </c:pt>
                <c:pt idx="1045">
                  <c:v>720950</c:v>
                </c:pt>
                <c:pt idx="1046">
                  <c:v>487750</c:v>
                </c:pt>
                <c:pt idx="1047">
                  <c:v>533170</c:v>
                </c:pt>
                <c:pt idx="1048">
                  <c:v>559400</c:v>
                </c:pt>
                <c:pt idx="1049">
                  <c:v>3050000</c:v>
                </c:pt>
                <c:pt idx="1050">
                  <c:v>838930</c:v>
                </c:pt>
                <c:pt idx="1051">
                  <c:v>1030000</c:v>
                </c:pt>
                <c:pt idx="1052">
                  <c:v>772160</c:v>
                </c:pt>
                <c:pt idx="1053">
                  <c:v>510950</c:v>
                </c:pt>
                <c:pt idx="1054">
                  <c:v>1310000</c:v>
                </c:pt>
                <c:pt idx="1055">
                  <c:v>532520</c:v>
                </c:pt>
                <c:pt idx="1056">
                  <c:v>485050</c:v>
                </c:pt>
                <c:pt idx="1057">
                  <c:v>392460</c:v>
                </c:pt>
                <c:pt idx="1058">
                  <c:v>932480</c:v>
                </c:pt>
                <c:pt idx="1059">
                  <c:v>537210</c:v>
                </c:pt>
                <c:pt idx="1060">
                  <c:v>2170000</c:v>
                </c:pt>
                <c:pt idx="1061">
                  <c:v>970660</c:v>
                </c:pt>
                <c:pt idx="1062">
                  <c:v>1020000</c:v>
                </c:pt>
                <c:pt idx="1063">
                  <c:v>1130000</c:v>
                </c:pt>
                <c:pt idx="1064">
                  <c:v>860130</c:v>
                </c:pt>
                <c:pt idx="1065">
                  <c:v>1470000</c:v>
                </c:pt>
                <c:pt idx="1066">
                  <c:v>1320000</c:v>
                </c:pt>
                <c:pt idx="1067">
                  <c:v>719000</c:v>
                </c:pt>
                <c:pt idx="1068">
                  <c:v>781220</c:v>
                </c:pt>
                <c:pt idx="1069">
                  <c:v>740620</c:v>
                </c:pt>
                <c:pt idx="1070">
                  <c:v>919640</c:v>
                </c:pt>
                <c:pt idx="1071">
                  <c:v>1260000</c:v>
                </c:pt>
                <c:pt idx="1072">
                  <c:v>364190</c:v>
                </c:pt>
                <c:pt idx="1073">
                  <c:v>465910</c:v>
                </c:pt>
                <c:pt idx="1074">
                  <c:v>663750</c:v>
                </c:pt>
                <c:pt idx="1075">
                  <c:v>908140</c:v>
                </c:pt>
                <c:pt idx="1076">
                  <c:v>562480</c:v>
                </c:pt>
                <c:pt idx="1077">
                  <c:v>716540</c:v>
                </c:pt>
                <c:pt idx="1078">
                  <c:v>505030</c:v>
                </c:pt>
                <c:pt idx="1079">
                  <c:v>613160</c:v>
                </c:pt>
                <c:pt idx="1080">
                  <c:v>980280</c:v>
                </c:pt>
                <c:pt idx="1081">
                  <c:v>471150</c:v>
                </c:pt>
                <c:pt idx="1082">
                  <c:v>1740000</c:v>
                </c:pt>
                <c:pt idx="1083">
                  <c:v>870040</c:v>
                </c:pt>
                <c:pt idx="1084">
                  <c:v>1080000</c:v>
                </c:pt>
                <c:pt idx="1085">
                  <c:v>845650</c:v>
                </c:pt>
                <c:pt idx="1086">
                  <c:v>287570</c:v>
                </c:pt>
                <c:pt idx="1087">
                  <c:v>23600</c:v>
                </c:pt>
                <c:pt idx="1088">
                  <c:v>500739.99999999994</c:v>
                </c:pt>
                <c:pt idx="1089">
                  <c:v>201190</c:v>
                </c:pt>
                <c:pt idx="1090">
                  <c:v>922930</c:v>
                </c:pt>
                <c:pt idx="1091">
                  <c:v>545730</c:v>
                </c:pt>
                <c:pt idx="1092">
                  <c:v>655640</c:v>
                </c:pt>
                <c:pt idx="1093">
                  <c:v>333510</c:v>
                </c:pt>
                <c:pt idx="1094">
                  <c:v>548870</c:v>
                </c:pt>
                <c:pt idx="1095">
                  <c:v>431390</c:v>
                </c:pt>
                <c:pt idx="1096">
                  <c:v>1140000</c:v>
                </c:pt>
                <c:pt idx="1097">
                  <c:v>1070000</c:v>
                </c:pt>
                <c:pt idx="1098">
                  <c:v>920930</c:v>
                </c:pt>
                <c:pt idx="1099">
                  <c:v>468060</c:v>
                </c:pt>
                <c:pt idx="1100">
                  <c:v>748920</c:v>
                </c:pt>
                <c:pt idx="1101">
                  <c:v>419420</c:v>
                </c:pt>
                <c:pt idx="1102">
                  <c:v>301650</c:v>
                </c:pt>
                <c:pt idx="1103">
                  <c:v>733970</c:v>
                </c:pt>
                <c:pt idx="1104">
                  <c:v>523150</c:v>
                </c:pt>
                <c:pt idx="1105">
                  <c:v>840780</c:v>
                </c:pt>
                <c:pt idx="1106">
                  <c:v>549130</c:v>
                </c:pt>
                <c:pt idx="1107">
                  <c:v>706640</c:v>
                </c:pt>
                <c:pt idx="1108">
                  <c:v>652620</c:v>
                </c:pt>
                <c:pt idx="1109">
                  <c:v>637360</c:v>
                </c:pt>
                <c:pt idx="1110">
                  <c:v>414680</c:v>
                </c:pt>
                <c:pt idx="1111">
                  <c:v>302470</c:v>
                </c:pt>
                <c:pt idx="1112">
                  <c:v>660140</c:v>
                </c:pt>
                <c:pt idx="1113">
                  <c:v>600780</c:v>
                </c:pt>
                <c:pt idx="1114">
                  <c:v>1090000</c:v>
                </c:pt>
                <c:pt idx="1115">
                  <c:v>939280</c:v>
                </c:pt>
                <c:pt idx="1116">
                  <c:v>1360000</c:v>
                </c:pt>
                <c:pt idx="1117">
                  <c:v>865320</c:v>
                </c:pt>
                <c:pt idx="1118">
                  <c:v>257359.99999999997</c:v>
                </c:pt>
                <c:pt idx="1119">
                  <c:v>313150</c:v>
                </c:pt>
                <c:pt idx="1120">
                  <c:v>258689.99999999997</c:v>
                </c:pt>
                <c:pt idx="1121">
                  <c:v>542470</c:v>
                </c:pt>
                <c:pt idx="1122">
                  <c:v>631370</c:v>
                </c:pt>
                <c:pt idx="1123">
                  <c:v>832010</c:v>
                </c:pt>
                <c:pt idx="1124">
                  <c:v>308710</c:v>
                </c:pt>
                <c:pt idx="1125">
                  <c:v>290820</c:v>
                </c:pt>
                <c:pt idx="1126">
                  <c:v>223490</c:v>
                </c:pt>
                <c:pt idx="1127">
                  <c:v>664540</c:v>
                </c:pt>
                <c:pt idx="1128">
                  <c:v>773060</c:v>
                </c:pt>
                <c:pt idx="1129">
                  <c:v>662970</c:v>
                </c:pt>
                <c:pt idx="1130">
                  <c:v>377890</c:v>
                </c:pt>
                <c:pt idx="1131">
                  <c:v>1130000</c:v>
                </c:pt>
                <c:pt idx="1132">
                  <c:v>400080</c:v>
                </c:pt>
                <c:pt idx="1133">
                  <c:v>413860</c:v>
                </c:pt>
                <c:pt idx="1134">
                  <c:v>625670</c:v>
                </c:pt>
                <c:pt idx="1135">
                  <c:v>338480</c:v>
                </c:pt>
                <c:pt idx="1136">
                  <c:v>683440</c:v>
                </c:pt>
                <c:pt idx="1137">
                  <c:v>567280</c:v>
                </c:pt>
                <c:pt idx="1138">
                  <c:v>654660</c:v>
                </c:pt>
                <c:pt idx="1139">
                  <c:v>2120000</c:v>
                </c:pt>
                <c:pt idx="1140">
                  <c:v>946320</c:v>
                </c:pt>
                <c:pt idx="1141">
                  <c:v>594240</c:v>
                </c:pt>
                <c:pt idx="1142">
                  <c:v>1090000</c:v>
                </c:pt>
                <c:pt idx="1143">
                  <c:v>979440</c:v>
                </c:pt>
                <c:pt idx="1144">
                  <c:v>1700000</c:v>
                </c:pt>
                <c:pt idx="1145">
                  <c:v>738630</c:v>
                </c:pt>
                <c:pt idx="1146">
                  <c:v>194850</c:v>
                </c:pt>
                <c:pt idx="1147">
                  <c:v>328800</c:v>
                </c:pt>
                <c:pt idx="1148">
                  <c:v>259100.00000000006</c:v>
                </c:pt>
                <c:pt idx="1149">
                  <c:v>280720</c:v>
                </c:pt>
                <c:pt idx="1150">
                  <c:v>523510.00000000006</c:v>
                </c:pt>
                <c:pt idx="1151">
                  <c:v>221440</c:v>
                </c:pt>
                <c:pt idx="1152">
                  <c:v>536370</c:v>
                </c:pt>
                <c:pt idx="1153">
                  <c:v>208410</c:v>
                </c:pt>
                <c:pt idx="1154">
                  <c:v>314430</c:v>
                </c:pt>
                <c:pt idx="1155">
                  <c:v>382110</c:v>
                </c:pt>
                <c:pt idx="1156">
                  <c:v>424480</c:v>
                </c:pt>
                <c:pt idx="1157">
                  <c:v>571340</c:v>
                </c:pt>
                <c:pt idx="1158">
                  <c:v>465200</c:v>
                </c:pt>
                <c:pt idx="1159">
                  <c:v>310780</c:v>
                </c:pt>
                <c:pt idx="1160">
                  <c:v>263400</c:v>
                </c:pt>
                <c:pt idx="1161">
                  <c:v>476840</c:v>
                </c:pt>
                <c:pt idx="1162">
                  <c:v>398340</c:v>
                </c:pt>
                <c:pt idx="1163">
                  <c:v>291110</c:v>
                </c:pt>
                <c:pt idx="1164">
                  <c:v>272440</c:v>
                </c:pt>
                <c:pt idx="1165">
                  <c:v>404100</c:v>
                </c:pt>
                <c:pt idx="1166">
                  <c:v>384210</c:v>
                </c:pt>
                <c:pt idx="1167">
                  <c:v>757320</c:v>
                </c:pt>
                <c:pt idx="1168">
                  <c:v>315870</c:v>
                </c:pt>
                <c:pt idx="1169">
                  <c:v>453830</c:v>
                </c:pt>
                <c:pt idx="1170">
                  <c:v>356440</c:v>
                </c:pt>
                <c:pt idx="1171">
                  <c:v>295360</c:v>
                </c:pt>
                <c:pt idx="1172">
                  <c:v>357210</c:v>
                </c:pt>
                <c:pt idx="1173">
                  <c:v>1330000</c:v>
                </c:pt>
                <c:pt idx="1174">
                  <c:v>899950</c:v>
                </c:pt>
                <c:pt idx="1175">
                  <c:v>481700</c:v>
                </c:pt>
                <c:pt idx="1176">
                  <c:v>665990</c:v>
                </c:pt>
                <c:pt idx="1177">
                  <c:v>790350</c:v>
                </c:pt>
                <c:pt idx="1178">
                  <c:v>1040000</c:v>
                </c:pt>
                <c:pt idx="1179">
                  <c:v>516970.00000000006</c:v>
                </c:pt>
                <c:pt idx="1180">
                  <c:v>449000</c:v>
                </c:pt>
                <c:pt idx="1181">
                  <c:v>1340000</c:v>
                </c:pt>
                <c:pt idx="1182">
                  <c:v>466000</c:v>
                </c:pt>
                <c:pt idx="1183">
                  <c:v>447520</c:v>
                </c:pt>
                <c:pt idx="1184">
                  <c:v>661110</c:v>
                </c:pt>
                <c:pt idx="1185">
                  <c:v>930720</c:v>
                </c:pt>
                <c:pt idx="1186">
                  <c:v>305740</c:v>
                </c:pt>
                <c:pt idx="1187">
                  <c:v>844930</c:v>
                </c:pt>
                <c:pt idx="1188">
                  <c:v>346430</c:v>
                </c:pt>
                <c:pt idx="1189">
                  <c:v>370220</c:v>
                </c:pt>
                <c:pt idx="1190">
                  <c:v>380470</c:v>
                </c:pt>
                <c:pt idx="1191">
                  <c:v>514240.00000000006</c:v>
                </c:pt>
                <c:pt idx="1192">
                  <c:v>778800</c:v>
                </c:pt>
                <c:pt idx="1193">
                  <c:v>745470</c:v>
                </c:pt>
                <c:pt idx="1194">
                  <c:v>528040</c:v>
                </c:pt>
                <c:pt idx="1195">
                  <c:v>655990</c:v>
                </c:pt>
                <c:pt idx="1196">
                  <c:v>288780</c:v>
                </c:pt>
                <c:pt idx="1197">
                  <c:v>446740</c:v>
                </c:pt>
                <c:pt idx="1198">
                  <c:v>989930</c:v>
                </c:pt>
                <c:pt idx="1199">
                  <c:v>1070000</c:v>
                </c:pt>
                <c:pt idx="1200">
                  <c:v>842330</c:v>
                </c:pt>
                <c:pt idx="1201">
                  <c:v>510070</c:v>
                </c:pt>
                <c:pt idx="1202">
                  <c:v>79730</c:v>
                </c:pt>
                <c:pt idx="1203">
                  <c:v>719170</c:v>
                </c:pt>
                <c:pt idx="1204">
                  <c:v>499980</c:v>
                </c:pt>
                <c:pt idx="1205">
                  <c:v>370360</c:v>
                </c:pt>
                <c:pt idx="1206">
                  <c:v>221550</c:v>
                </c:pt>
                <c:pt idx="1207">
                  <c:v>194770</c:v>
                </c:pt>
                <c:pt idx="1208">
                  <c:v>209240</c:v>
                </c:pt>
                <c:pt idx="1209">
                  <c:v>326020</c:v>
                </c:pt>
                <c:pt idx="1210">
                  <c:v>656930</c:v>
                </c:pt>
                <c:pt idx="1211">
                  <c:v>2870000</c:v>
                </c:pt>
                <c:pt idx="1212">
                  <c:v>494330</c:v>
                </c:pt>
                <c:pt idx="1213">
                  <c:v>452270</c:v>
                </c:pt>
                <c:pt idx="1214">
                  <c:v>593720</c:v>
                </c:pt>
                <c:pt idx="1215">
                  <c:v>339940</c:v>
                </c:pt>
                <c:pt idx="1216">
                  <c:v>945470</c:v>
                </c:pt>
                <c:pt idx="1217">
                  <c:v>564640</c:v>
                </c:pt>
                <c:pt idx="1218">
                  <c:v>189350</c:v>
                </c:pt>
                <c:pt idx="1219">
                  <c:v>954250</c:v>
                </c:pt>
                <c:pt idx="1220">
                  <c:v>407770</c:v>
                </c:pt>
                <c:pt idx="1221">
                  <c:v>250520.00000000003</c:v>
                </c:pt>
                <c:pt idx="1222">
                  <c:v>351450</c:v>
                </c:pt>
                <c:pt idx="1223">
                  <c:v>349540</c:v>
                </c:pt>
                <c:pt idx="1224">
                  <c:v>525960</c:v>
                </c:pt>
                <c:pt idx="1225">
                  <c:v>327810</c:v>
                </c:pt>
                <c:pt idx="1226">
                  <c:v>377040</c:v>
                </c:pt>
                <c:pt idx="1227">
                  <c:v>342300</c:v>
                </c:pt>
                <c:pt idx="1228">
                  <c:v>240740</c:v>
                </c:pt>
                <c:pt idx="1229">
                  <c:v>236850</c:v>
                </c:pt>
                <c:pt idx="1230">
                  <c:v>404370</c:v>
                </c:pt>
                <c:pt idx="1231">
                  <c:v>404180</c:v>
                </c:pt>
                <c:pt idx="1232">
                  <c:v>402230</c:v>
                </c:pt>
                <c:pt idx="1233">
                  <c:v>331580</c:v>
                </c:pt>
                <c:pt idx="1234">
                  <c:v>500290</c:v>
                </c:pt>
                <c:pt idx="1235">
                  <c:v>386090</c:v>
                </c:pt>
                <c:pt idx="1236">
                  <c:v>371320</c:v>
                </c:pt>
                <c:pt idx="1237">
                  <c:v>227610</c:v>
                </c:pt>
                <c:pt idx="1238">
                  <c:v>328170</c:v>
                </c:pt>
                <c:pt idx="1239">
                  <c:v>408990</c:v>
                </c:pt>
                <c:pt idx="1240">
                  <c:v>242800</c:v>
                </c:pt>
                <c:pt idx="1241">
                  <c:v>313950</c:v>
                </c:pt>
                <c:pt idx="1242">
                  <c:v>290230</c:v>
                </c:pt>
                <c:pt idx="1243">
                  <c:v>2860000</c:v>
                </c:pt>
                <c:pt idx="1244">
                  <c:v>836690</c:v>
                </c:pt>
                <c:pt idx="1245">
                  <c:v>419050</c:v>
                </c:pt>
                <c:pt idx="1246">
                  <c:v>439720</c:v>
                </c:pt>
                <c:pt idx="1247">
                  <c:v>343160</c:v>
                </c:pt>
                <c:pt idx="1248">
                  <c:v>239410</c:v>
                </c:pt>
                <c:pt idx="1249">
                  <c:v>316800</c:v>
                </c:pt>
                <c:pt idx="1250">
                  <c:v>213090</c:v>
                </c:pt>
                <c:pt idx="1251">
                  <c:v>448430</c:v>
                </c:pt>
                <c:pt idx="1252">
                  <c:v>497260</c:v>
                </c:pt>
                <c:pt idx="1253">
                  <c:v>435320</c:v>
                </c:pt>
                <c:pt idx="1254">
                  <c:v>197560</c:v>
                </c:pt>
                <c:pt idx="1255">
                  <c:v>255320</c:v>
                </c:pt>
                <c:pt idx="1256">
                  <c:v>416550</c:v>
                </c:pt>
                <c:pt idx="1257">
                  <c:v>494730</c:v>
                </c:pt>
                <c:pt idx="1258">
                  <c:v>442190</c:v>
                </c:pt>
                <c:pt idx="1259">
                  <c:v>730640</c:v>
                </c:pt>
                <c:pt idx="1260">
                  <c:v>418600</c:v>
                </c:pt>
                <c:pt idx="1261">
                  <c:v>603950</c:v>
                </c:pt>
                <c:pt idx="1262">
                  <c:v>357310</c:v>
                </c:pt>
                <c:pt idx="1263">
                  <c:v>480830</c:v>
                </c:pt>
                <c:pt idx="1264">
                  <c:v>394120</c:v>
                </c:pt>
                <c:pt idx="1265">
                  <c:v>609530</c:v>
                </c:pt>
                <c:pt idx="1266">
                  <c:v>1330000</c:v>
                </c:pt>
                <c:pt idx="1267">
                  <c:v>591630</c:v>
                </c:pt>
                <c:pt idx="1268">
                  <c:v>442230</c:v>
                </c:pt>
                <c:pt idx="1269">
                  <c:v>361000</c:v>
                </c:pt>
                <c:pt idx="1270">
                  <c:v>604380</c:v>
                </c:pt>
                <c:pt idx="1271">
                  <c:v>631820</c:v>
                </c:pt>
                <c:pt idx="1272">
                  <c:v>2270000</c:v>
                </c:pt>
                <c:pt idx="1273">
                  <c:v>813860</c:v>
                </c:pt>
                <c:pt idx="1274">
                  <c:v>571530</c:v>
                </c:pt>
                <c:pt idx="1275">
                  <c:v>476470</c:v>
                </c:pt>
                <c:pt idx="1276">
                  <c:v>232210</c:v>
                </c:pt>
                <c:pt idx="1277">
                  <c:v>254029.99999999997</c:v>
                </c:pt>
                <c:pt idx="1278">
                  <c:v>275720</c:v>
                </c:pt>
                <c:pt idx="1279">
                  <c:v>277280</c:v>
                </c:pt>
                <c:pt idx="1280">
                  <c:v>324030</c:v>
                </c:pt>
                <c:pt idx="1281">
                  <c:v>410180</c:v>
                </c:pt>
                <c:pt idx="1282">
                  <c:v>402920</c:v>
                </c:pt>
                <c:pt idx="1283">
                  <c:v>561800</c:v>
                </c:pt>
                <c:pt idx="1284">
                  <c:v>1080000</c:v>
                </c:pt>
                <c:pt idx="1285">
                  <c:v>503560</c:v>
                </c:pt>
                <c:pt idx="1286">
                  <c:v>638280</c:v>
                </c:pt>
                <c:pt idx="1287">
                  <c:v>551830</c:v>
                </c:pt>
                <c:pt idx="1288">
                  <c:v>648310</c:v>
                </c:pt>
                <c:pt idx="1289">
                  <c:v>590550</c:v>
                </c:pt>
                <c:pt idx="1290">
                  <c:v>316750</c:v>
                </c:pt>
                <c:pt idx="1291">
                  <c:v>228130</c:v>
                </c:pt>
                <c:pt idx="1292">
                  <c:v>235020</c:v>
                </c:pt>
                <c:pt idx="1293">
                  <c:v>265870</c:v>
                </c:pt>
                <c:pt idx="1294">
                  <c:v>287730</c:v>
                </c:pt>
                <c:pt idx="1295">
                  <c:v>328250</c:v>
                </c:pt>
                <c:pt idx="1296">
                  <c:v>417980</c:v>
                </c:pt>
                <c:pt idx="1297">
                  <c:v>491660</c:v>
                </c:pt>
                <c:pt idx="1298">
                  <c:v>414690</c:v>
                </c:pt>
                <c:pt idx="1299">
                  <c:v>316610</c:v>
                </c:pt>
                <c:pt idx="1300">
                  <c:v>324010</c:v>
                </c:pt>
                <c:pt idx="1301">
                  <c:v>384680</c:v>
                </c:pt>
                <c:pt idx="1302">
                  <c:v>603150</c:v>
                </c:pt>
                <c:pt idx="1303">
                  <c:v>286610</c:v>
                </c:pt>
                <c:pt idx="1304">
                  <c:v>562010</c:v>
                </c:pt>
                <c:pt idx="1305">
                  <c:v>365910</c:v>
                </c:pt>
                <c:pt idx="1306">
                  <c:v>224290</c:v>
                </c:pt>
                <c:pt idx="1307">
                  <c:v>261890</c:v>
                </c:pt>
                <c:pt idx="1308">
                  <c:v>519169.99999999988</c:v>
                </c:pt>
                <c:pt idx="1309">
                  <c:v>355200</c:v>
                </c:pt>
                <c:pt idx="1310">
                  <c:v>472300</c:v>
                </c:pt>
                <c:pt idx="1311">
                  <c:v>500530.00000000006</c:v>
                </c:pt>
                <c:pt idx="1312">
                  <c:v>542320</c:v>
                </c:pt>
                <c:pt idx="1313">
                  <c:v>734280</c:v>
                </c:pt>
                <c:pt idx="1314">
                  <c:v>564360</c:v>
                </c:pt>
                <c:pt idx="1315">
                  <c:v>551550</c:v>
                </c:pt>
                <c:pt idx="1316">
                  <c:v>459540</c:v>
                </c:pt>
                <c:pt idx="1317">
                  <c:v>582610</c:v>
                </c:pt>
                <c:pt idx="1318">
                  <c:v>503660</c:v>
                </c:pt>
                <c:pt idx="1319">
                  <c:v>457510</c:v>
                </c:pt>
                <c:pt idx="1320">
                  <c:v>403570</c:v>
                </c:pt>
                <c:pt idx="1321">
                  <c:v>309550</c:v>
                </c:pt>
                <c:pt idx="1322">
                  <c:v>509789.99999999994</c:v>
                </c:pt>
                <c:pt idx="1323">
                  <c:v>695560</c:v>
                </c:pt>
                <c:pt idx="1324">
                  <c:v>320470</c:v>
                </c:pt>
                <c:pt idx="1325">
                  <c:v>514700.00000000006</c:v>
                </c:pt>
                <c:pt idx="1326">
                  <c:v>349960</c:v>
                </c:pt>
                <c:pt idx="1327">
                  <c:v>609860</c:v>
                </c:pt>
                <c:pt idx="1328">
                  <c:v>412060</c:v>
                </c:pt>
                <c:pt idx="1329">
                  <c:v>327630</c:v>
                </c:pt>
                <c:pt idx="1330">
                  <c:v>416280</c:v>
                </c:pt>
                <c:pt idx="1331">
                  <c:v>315870</c:v>
                </c:pt>
                <c:pt idx="1332">
                  <c:v>1930000</c:v>
                </c:pt>
                <c:pt idx="1333">
                  <c:v>638330</c:v>
                </c:pt>
                <c:pt idx="1334">
                  <c:v>654070</c:v>
                </c:pt>
                <c:pt idx="1335">
                  <c:v>402780</c:v>
                </c:pt>
                <c:pt idx="1336">
                  <c:v>300890</c:v>
                </c:pt>
                <c:pt idx="1337">
                  <c:v>461740</c:v>
                </c:pt>
                <c:pt idx="1338">
                  <c:v>282290</c:v>
                </c:pt>
                <c:pt idx="1339">
                  <c:v>337100</c:v>
                </c:pt>
                <c:pt idx="1340">
                  <c:v>452770</c:v>
                </c:pt>
                <c:pt idx="1341">
                  <c:v>380070</c:v>
                </c:pt>
                <c:pt idx="1342">
                  <c:v>704800</c:v>
                </c:pt>
                <c:pt idx="1343">
                  <c:v>915800</c:v>
                </c:pt>
                <c:pt idx="1344">
                  <c:v>475700</c:v>
                </c:pt>
                <c:pt idx="1345">
                  <c:v>479570</c:v>
                </c:pt>
                <c:pt idx="1346">
                  <c:v>321910</c:v>
                </c:pt>
                <c:pt idx="1347">
                  <c:v>459910</c:v>
                </c:pt>
                <c:pt idx="1348">
                  <c:v>538090</c:v>
                </c:pt>
                <c:pt idx="1349">
                  <c:v>270950</c:v>
                </c:pt>
                <c:pt idx="1350">
                  <c:v>330660</c:v>
                </c:pt>
                <c:pt idx="1351">
                  <c:v>366790</c:v>
                </c:pt>
                <c:pt idx="1352">
                  <c:v>337220</c:v>
                </c:pt>
                <c:pt idx="1353">
                  <c:v>414670</c:v>
                </c:pt>
                <c:pt idx="1354">
                  <c:v>294930</c:v>
                </c:pt>
                <c:pt idx="1355">
                  <c:v>710730</c:v>
                </c:pt>
                <c:pt idx="1356">
                  <c:v>774670</c:v>
                </c:pt>
                <c:pt idx="1357">
                  <c:v>923400</c:v>
                </c:pt>
                <c:pt idx="1358">
                  <c:v>776880</c:v>
                </c:pt>
                <c:pt idx="1359">
                  <c:v>247520</c:v>
                </c:pt>
                <c:pt idx="1360">
                  <c:v>579370</c:v>
                </c:pt>
                <c:pt idx="1361">
                  <c:v>449220</c:v>
                </c:pt>
                <c:pt idx="1362">
                  <c:v>788150</c:v>
                </c:pt>
                <c:pt idx="1363">
                  <c:v>413720</c:v>
                </c:pt>
                <c:pt idx="1364">
                  <c:v>340050</c:v>
                </c:pt>
                <c:pt idx="1365">
                  <c:v>534030</c:v>
                </c:pt>
                <c:pt idx="1366">
                  <c:v>299930</c:v>
                </c:pt>
                <c:pt idx="1367">
                  <c:v>335540</c:v>
                </c:pt>
                <c:pt idx="1368">
                  <c:v>185010</c:v>
                </c:pt>
                <c:pt idx="1369">
                  <c:v>227080</c:v>
                </c:pt>
                <c:pt idx="1370">
                  <c:v>180630</c:v>
                </c:pt>
                <c:pt idx="1371">
                  <c:v>177980</c:v>
                </c:pt>
                <c:pt idx="1372">
                  <c:v>189070</c:v>
                </c:pt>
                <c:pt idx="1373">
                  <c:v>522929.99999999988</c:v>
                </c:pt>
                <c:pt idx="1374">
                  <c:v>503680</c:v>
                </c:pt>
                <c:pt idx="1375">
                  <c:v>715070</c:v>
                </c:pt>
                <c:pt idx="1376">
                  <c:v>226540</c:v>
                </c:pt>
                <c:pt idx="1377">
                  <c:v>391600</c:v>
                </c:pt>
                <c:pt idx="1378">
                  <c:v>254830</c:v>
                </c:pt>
                <c:pt idx="1379">
                  <c:v>190720</c:v>
                </c:pt>
                <c:pt idx="1380">
                  <c:v>517940.00000000006</c:v>
                </c:pt>
                <c:pt idx="1381">
                  <c:v>344240</c:v>
                </c:pt>
                <c:pt idx="1382">
                  <c:v>284450</c:v>
                </c:pt>
                <c:pt idx="1383">
                  <c:v>292880</c:v>
                </c:pt>
                <c:pt idx="1384">
                  <c:v>322290</c:v>
                </c:pt>
                <c:pt idx="1385">
                  <c:v>217260</c:v>
                </c:pt>
                <c:pt idx="1386">
                  <c:v>266220</c:v>
                </c:pt>
                <c:pt idx="1387">
                  <c:v>307020</c:v>
                </c:pt>
                <c:pt idx="1388">
                  <c:v>1410000</c:v>
                </c:pt>
                <c:pt idx="1389">
                  <c:v>505410</c:v>
                </c:pt>
                <c:pt idx="1390">
                  <c:v>458310</c:v>
                </c:pt>
                <c:pt idx="1391">
                  <c:v>202540</c:v>
                </c:pt>
                <c:pt idx="1392">
                  <c:v>266900</c:v>
                </c:pt>
                <c:pt idx="1393">
                  <c:v>373870</c:v>
                </c:pt>
                <c:pt idx="1394">
                  <c:v>475810</c:v>
                </c:pt>
                <c:pt idx="1395">
                  <c:v>429570</c:v>
                </c:pt>
                <c:pt idx="1396">
                  <c:v>427560</c:v>
                </c:pt>
                <c:pt idx="1397">
                  <c:v>415010</c:v>
                </c:pt>
                <c:pt idx="1398">
                  <c:v>1290000</c:v>
                </c:pt>
                <c:pt idx="1399">
                  <c:v>843620</c:v>
                </c:pt>
                <c:pt idx="1400">
                  <c:v>510630</c:v>
                </c:pt>
                <c:pt idx="1401">
                  <c:v>499090</c:v>
                </c:pt>
                <c:pt idx="1402">
                  <c:v>273420</c:v>
                </c:pt>
                <c:pt idx="1403">
                  <c:v>822940</c:v>
                </c:pt>
                <c:pt idx="1404">
                  <c:v>1470000</c:v>
                </c:pt>
                <c:pt idx="1405">
                  <c:v>719050</c:v>
                </c:pt>
                <c:pt idx="1406">
                  <c:v>496300</c:v>
                </c:pt>
                <c:pt idx="1407">
                  <c:v>698180</c:v>
                </c:pt>
                <c:pt idx="1408">
                  <c:v>701160</c:v>
                </c:pt>
                <c:pt idx="1409">
                  <c:v>536110</c:v>
                </c:pt>
                <c:pt idx="1410">
                  <c:v>1180000</c:v>
                </c:pt>
                <c:pt idx="1411">
                  <c:v>610720</c:v>
                </c:pt>
                <c:pt idx="1412">
                  <c:v>968120</c:v>
                </c:pt>
                <c:pt idx="1413">
                  <c:v>983280</c:v>
                </c:pt>
                <c:pt idx="1414">
                  <c:v>740610</c:v>
                </c:pt>
                <c:pt idx="1415">
                  <c:v>719580</c:v>
                </c:pt>
                <c:pt idx="1416">
                  <c:v>731800</c:v>
                </c:pt>
                <c:pt idx="1417">
                  <c:v>380690</c:v>
                </c:pt>
                <c:pt idx="1418">
                  <c:v>579280</c:v>
                </c:pt>
                <c:pt idx="1419">
                  <c:v>310530</c:v>
                </c:pt>
                <c:pt idx="1420">
                  <c:v>224360</c:v>
                </c:pt>
                <c:pt idx="1421">
                  <c:v>550550</c:v>
                </c:pt>
                <c:pt idx="1422">
                  <c:v>332790</c:v>
                </c:pt>
                <c:pt idx="1423">
                  <c:v>679060</c:v>
                </c:pt>
                <c:pt idx="1424">
                  <c:v>323000</c:v>
                </c:pt>
                <c:pt idx="1425">
                  <c:v>375860</c:v>
                </c:pt>
                <c:pt idx="1426">
                  <c:v>679360</c:v>
                </c:pt>
                <c:pt idx="1427">
                  <c:v>612980</c:v>
                </c:pt>
                <c:pt idx="1428">
                  <c:v>363930</c:v>
                </c:pt>
                <c:pt idx="1429">
                  <c:v>313730</c:v>
                </c:pt>
                <c:pt idx="1430">
                  <c:v>669740</c:v>
                </c:pt>
                <c:pt idx="1431">
                  <c:v>218200</c:v>
                </c:pt>
                <c:pt idx="1432">
                  <c:v>286590</c:v>
                </c:pt>
                <c:pt idx="1433">
                  <c:v>476290</c:v>
                </c:pt>
                <c:pt idx="1434">
                  <c:v>405890</c:v>
                </c:pt>
                <c:pt idx="1435">
                  <c:v>282880</c:v>
                </c:pt>
                <c:pt idx="1436">
                  <c:v>342990</c:v>
                </c:pt>
                <c:pt idx="1437">
                  <c:v>309420</c:v>
                </c:pt>
                <c:pt idx="1438">
                  <c:v>237370</c:v>
                </c:pt>
                <c:pt idx="1439">
                  <c:v>319050</c:v>
                </c:pt>
                <c:pt idx="1440">
                  <c:v>402010</c:v>
                </c:pt>
                <c:pt idx="1441">
                  <c:v>326180</c:v>
                </c:pt>
                <c:pt idx="1442">
                  <c:v>14380</c:v>
                </c:pt>
                <c:pt idx="1443">
                  <c:v>419750</c:v>
                </c:pt>
                <c:pt idx="1444">
                  <c:v>243740</c:v>
                </c:pt>
                <c:pt idx="1445">
                  <c:v>228140</c:v>
                </c:pt>
                <c:pt idx="1446">
                  <c:v>485230</c:v>
                </c:pt>
                <c:pt idx="1447">
                  <c:v>343500</c:v>
                </c:pt>
                <c:pt idx="1448">
                  <c:v>412180</c:v>
                </c:pt>
                <c:pt idx="1449">
                  <c:v>670790</c:v>
                </c:pt>
                <c:pt idx="1450">
                  <c:v>334960</c:v>
                </c:pt>
                <c:pt idx="1451">
                  <c:v>494330</c:v>
                </c:pt>
                <c:pt idx="1452">
                  <c:v>435650</c:v>
                </c:pt>
                <c:pt idx="1453">
                  <c:v>465150</c:v>
                </c:pt>
                <c:pt idx="1454">
                  <c:v>514370</c:v>
                </c:pt>
                <c:pt idx="1455">
                  <c:v>409680</c:v>
                </c:pt>
                <c:pt idx="1456">
                  <c:v>300610</c:v>
                </c:pt>
                <c:pt idx="1457">
                  <c:v>842030</c:v>
                </c:pt>
                <c:pt idx="1458">
                  <c:v>739160</c:v>
                </c:pt>
                <c:pt idx="1459">
                  <c:v>789640</c:v>
                </c:pt>
                <c:pt idx="1460">
                  <c:v>517130</c:v>
                </c:pt>
                <c:pt idx="1461">
                  <c:v>416170</c:v>
                </c:pt>
                <c:pt idx="1462">
                  <c:v>857230</c:v>
                </c:pt>
                <c:pt idx="1463">
                  <c:v>654160</c:v>
                </c:pt>
                <c:pt idx="1464">
                  <c:v>1230000</c:v>
                </c:pt>
                <c:pt idx="1465">
                  <c:v>521989.99999999994</c:v>
                </c:pt>
                <c:pt idx="1466">
                  <c:v>313550</c:v>
                </c:pt>
                <c:pt idx="1467">
                  <c:v>480100</c:v>
                </c:pt>
                <c:pt idx="1468">
                  <c:v>449710</c:v>
                </c:pt>
                <c:pt idx="1469">
                  <c:v>974710</c:v>
                </c:pt>
                <c:pt idx="1470">
                  <c:v>448170</c:v>
                </c:pt>
                <c:pt idx="1471">
                  <c:v>333670</c:v>
                </c:pt>
                <c:pt idx="1472">
                  <c:v>364670</c:v>
                </c:pt>
                <c:pt idx="1473">
                  <c:v>501040.00000000006</c:v>
                </c:pt>
                <c:pt idx="1474">
                  <c:v>273510</c:v>
                </c:pt>
                <c:pt idx="1475">
                  <c:v>436440</c:v>
                </c:pt>
                <c:pt idx="1476">
                  <c:v>626510</c:v>
                </c:pt>
                <c:pt idx="1477">
                  <c:v>502050</c:v>
                </c:pt>
                <c:pt idx="1478">
                  <c:v>324680</c:v>
                </c:pt>
                <c:pt idx="1479">
                  <c:v>391820</c:v>
                </c:pt>
                <c:pt idx="1480">
                  <c:v>505909.99999999994</c:v>
                </c:pt>
                <c:pt idx="1481">
                  <c:v>594260</c:v>
                </c:pt>
                <c:pt idx="1482">
                  <c:v>327760</c:v>
                </c:pt>
                <c:pt idx="1483">
                  <c:v>423440</c:v>
                </c:pt>
                <c:pt idx="1484">
                  <c:v>233970</c:v>
                </c:pt>
                <c:pt idx="1485">
                  <c:v>249190</c:v>
                </c:pt>
                <c:pt idx="1486">
                  <c:v>205300</c:v>
                </c:pt>
                <c:pt idx="1487">
                  <c:v>157710</c:v>
                </c:pt>
                <c:pt idx="1488">
                  <c:v>282570</c:v>
                </c:pt>
                <c:pt idx="1489">
                  <c:v>1980000</c:v>
                </c:pt>
                <c:pt idx="1490">
                  <c:v>357380</c:v>
                </c:pt>
                <c:pt idx="1491">
                  <c:v>155330</c:v>
                </c:pt>
                <c:pt idx="1492">
                  <c:v>227470</c:v>
                </c:pt>
                <c:pt idx="1493">
                  <c:v>426800</c:v>
                </c:pt>
                <c:pt idx="1494">
                  <c:v>396100</c:v>
                </c:pt>
                <c:pt idx="1495">
                  <c:v>380760</c:v>
                </c:pt>
                <c:pt idx="1496">
                  <c:v>459730</c:v>
                </c:pt>
                <c:pt idx="1497">
                  <c:v>474630</c:v>
                </c:pt>
                <c:pt idx="1498">
                  <c:v>315580</c:v>
                </c:pt>
                <c:pt idx="1499">
                  <c:v>262640</c:v>
                </c:pt>
                <c:pt idx="1500">
                  <c:v>426080</c:v>
                </c:pt>
                <c:pt idx="1501">
                  <c:v>441020</c:v>
                </c:pt>
                <c:pt idx="1502">
                  <c:v>211680</c:v>
                </c:pt>
                <c:pt idx="1503">
                  <c:v>302200</c:v>
                </c:pt>
                <c:pt idx="1504">
                  <c:v>480750</c:v>
                </c:pt>
                <c:pt idx="1505">
                  <c:v>366500</c:v>
                </c:pt>
                <c:pt idx="1506">
                  <c:v>366000</c:v>
                </c:pt>
                <c:pt idx="1507">
                  <c:v>498370</c:v>
                </c:pt>
                <c:pt idx="1508">
                  <c:v>856380</c:v>
                </c:pt>
                <c:pt idx="1509">
                  <c:v>632900</c:v>
                </c:pt>
                <c:pt idx="1510">
                  <c:v>454540</c:v>
                </c:pt>
                <c:pt idx="1511">
                  <c:v>297690</c:v>
                </c:pt>
                <c:pt idx="1512">
                  <c:v>490850</c:v>
                </c:pt>
                <c:pt idx="1513">
                  <c:v>689970</c:v>
                </c:pt>
                <c:pt idx="1514">
                  <c:v>260279.99999999994</c:v>
                </c:pt>
                <c:pt idx="1515">
                  <c:v>254210</c:v>
                </c:pt>
                <c:pt idx="1516">
                  <c:v>251800.00000000003</c:v>
                </c:pt>
                <c:pt idx="1517">
                  <c:v>314220</c:v>
                </c:pt>
                <c:pt idx="1518">
                  <c:v>467660</c:v>
                </c:pt>
                <c:pt idx="1519">
                  <c:v>2290000</c:v>
                </c:pt>
                <c:pt idx="1520">
                  <c:v>1110000</c:v>
                </c:pt>
                <c:pt idx="1521">
                  <c:v>967940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8-4188-932D-E939A8958E88}"/>
            </c:ext>
          </c:extLst>
        </c:ser>
        <c:ser>
          <c:idx val="1"/>
          <c:order val="1"/>
          <c:tx>
            <c:strRef>
              <c:f>data!$U$1</c:f>
              <c:strCache>
                <c:ptCount val="1"/>
                <c:pt idx="0">
                  <c:v>Date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data!$U$2:$U$1523</c:f>
              <c:numCache>
                <c:formatCode>m/d/yyyy</c:formatCode>
                <c:ptCount val="1522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43836</c:v>
                </c:pt>
                <c:pt idx="4">
                  <c:v>43837</c:v>
                </c:pt>
                <c:pt idx="5">
                  <c:v>43838</c:v>
                </c:pt>
                <c:pt idx="6">
                  <c:v>43839</c:v>
                </c:pt>
                <c:pt idx="7">
                  <c:v>43840</c:v>
                </c:pt>
                <c:pt idx="8">
                  <c:v>43843</c:v>
                </c:pt>
                <c:pt idx="9">
                  <c:v>43844</c:v>
                </c:pt>
                <c:pt idx="10">
                  <c:v>43845</c:v>
                </c:pt>
                <c:pt idx="11">
                  <c:v>43846</c:v>
                </c:pt>
                <c:pt idx="12">
                  <c:v>43847</c:v>
                </c:pt>
                <c:pt idx="13">
                  <c:v>43850</c:v>
                </c:pt>
                <c:pt idx="14">
                  <c:v>43851</c:v>
                </c:pt>
                <c:pt idx="15">
                  <c:v>43852</c:v>
                </c:pt>
                <c:pt idx="16">
                  <c:v>43853</c:v>
                </c:pt>
                <c:pt idx="17">
                  <c:v>43854</c:v>
                </c:pt>
                <c:pt idx="18">
                  <c:v>43857</c:v>
                </c:pt>
                <c:pt idx="19">
                  <c:v>43858</c:v>
                </c:pt>
                <c:pt idx="20">
                  <c:v>43859</c:v>
                </c:pt>
                <c:pt idx="21">
                  <c:v>43860</c:v>
                </c:pt>
                <c:pt idx="22">
                  <c:v>43861</c:v>
                </c:pt>
                <c:pt idx="23">
                  <c:v>43862</c:v>
                </c:pt>
                <c:pt idx="24">
                  <c:v>43864</c:v>
                </c:pt>
                <c:pt idx="25">
                  <c:v>43865</c:v>
                </c:pt>
                <c:pt idx="26">
                  <c:v>43866</c:v>
                </c:pt>
                <c:pt idx="27">
                  <c:v>43867</c:v>
                </c:pt>
                <c:pt idx="28">
                  <c:v>43868</c:v>
                </c:pt>
                <c:pt idx="29">
                  <c:v>43871</c:v>
                </c:pt>
                <c:pt idx="30">
                  <c:v>43872</c:v>
                </c:pt>
                <c:pt idx="31">
                  <c:v>43873</c:v>
                </c:pt>
                <c:pt idx="32">
                  <c:v>43874</c:v>
                </c:pt>
                <c:pt idx="33">
                  <c:v>43875</c:v>
                </c:pt>
                <c:pt idx="34">
                  <c:v>43878</c:v>
                </c:pt>
                <c:pt idx="35">
                  <c:v>43879</c:v>
                </c:pt>
                <c:pt idx="36">
                  <c:v>43880</c:v>
                </c:pt>
                <c:pt idx="37">
                  <c:v>43881</c:v>
                </c:pt>
                <c:pt idx="38">
                  <c:v>43885</c:v>
                </c:pt>
                <c:pt idx="39">
                  <c:v>43886</c:v>
                </c:pt>
                <c:pt idx="40">
                  <c:v>43887</c:v>
                </c:pt>
                <c:pt idx="41">
                  <c:v>43888</c:v>
                </c:pt>
                <c:pt idx="42">
                  <c:v>43889</c:v>
                </c:pt>
                <c:pt idx="43">
                  <c:v>43892</c:v>
                </c:pt>
                <c:pt idx="44">
                  <c:v>43893</c:v>
                </c:pt>
                <c:pt idx="45">
                  <c:v>43894</c:v>
                </c:pt>
                <c:pt idx="46">
                  <c:v>43895</c:v>
                </c:pt>
                <c:pt idx="47">
                  <c:v>43896</c:v>
                </c:pt>
                <c:pt idx="48">
                  <c:v>43899</c:v>
                </c:pt>
                <c:pt idx="49">
                  <c:v>43901</c:v>
                </c:pt>
                <c:pt idx="50">
                  <c:v>43902</c:v>
                </c:pt>
                <c:pt idx="51">
                  <c:v>43903</c:v>
                </c:pt>
                <c:pt idx="52">
                  <c:v>43906</c:v>
                </c:pt>
                <c:pt idx="53">
                  <c:v>43907</c:v>
                </c:pt>
                <c:pt idx="54">
                  <c:v>43908</c:v>
                </c:pt>
                <c:pt idx="55">
                  <c:v>43909</c:v>
                </c:pt>
                <c:pt idx="56">
                  <c:v>43910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43920</c:v>
                </c:pt>
                <c:pt idx="63">
                  <c:v>43921</c:v>
                </c:pt>
                <c:pt idx="64">
                  <c:v>43922</c:v>
                </c:pt>
                <c:pt idx="65">
                  <c:v>43924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43936</c:v>
                </c:pt>
                <c:pt idx="71">
                  <c:v>43937</c:v>
                </c:pt>
                <c:pt idx="72">
                  <c:v>43938</c:v>
                </c:pt>
                <c:pt idx="73">
                  <c:v>43941</c:v>
                </c:pt>
                <c:pt idx="74">
                  <c:v>43942</c:v>
                </c:pt>
                <c:pt idx="75">
                  <c:v>43943</c:v>
                </c:pt>
                <c:pt idx="76">
                  <c:v>43944</c:v>
                </c:pt>
                <c:pt idx="77">
                  <c:v>43945</c:v>
                </c:pt>
                <c:pt idx="78">
                  <c:v>43948</c:v>
                </c:pt>
                <c:pt idx="79">
                  <c:v>43949</c:v>
                </c:pt>
                <c:pt idx="80">
                  <c:v>43950</c:v>
                </c:pt>
                <c:pt idx="81">
                  <c:v>43951</c:v>
                </c:pt>
                <c:pt idx="82">
                  <c:v>43955</c:v>
                </c:pt>
                <c:pt idx="83">
                  <c:v>43956</c:v>
                </c:pt>
                <c:pt idx="84">
                  <c:v>43957</c:v>
                </c:pt>
                <c:pt idx="85">
                  <c:v>43958</c:v>
                </c:pt>
                <c:pt idx="86">
                  <c:v>43959</c:v>
                </c:pt>
                <c:pt idx="87">
                  <c:v>43962</c:v>
                </c:pt>
                <c:pt idx="88">
                  <c:v>43963</c:v>
                </c:pt>
                <c:pt idx="89">
                  <c:v>43964</c:v>
                </c:pt>
                <c:pt idx="90">
                  <c:v>43965</c:v>
                </c:pt>
                <c:pt idx="91">
                  <c:v>43966</c:v>
                </c:pt>
                <c:pt idx="92">
                  <c:v>43969</c:v>
                </c:pt>
                <c:pt idx="93">
                  <c:v>43970</c:v>
                </c:pt>
                <c:pt idx="94">
                  <c:v>43971</c:v>
                </c:pt>
                <c:pt idx="95">
                  <c:v>43972</c:v>
                </c:pt>
                <c:pt idx="96">
                  <c:v>43973</c:v>
                </c:pt>
                <c:pt idx="97">
                  <c:v>43977</c:v>
                </c:pt>
                <c:pt idx="98">
                  <c:v>43978</c:v>
                </c:pt>
                <c:pt idx="99">
                  <c:v>43979</c:v>
                </c:pt>
                <c:pt idx="100">
                  <c:v>43980</c:v>
                </c:pt>
                <c:pt idx="101">
                  <c:v>43983</c:v>
                </c:pt>
                <c:pt idx="102">
                  <c:v>43984</c:v>
                </c:pt>
                <c:pt idx="103">
                  <c:v>43985</c:v>
                </c:pt>
                <c:pt idx="104">
                  <c:v>43986</c:v>
                </c:pt>
                <c:pt idx="105">
                  <c:v>43987</c:v>
                </c:pt>
                <c:pt idx="106">
                  <c:v>43990</c:v>
                </c:pt>
                <c:pt idx="107">
                  <c:v>43991</c:v>
                </c:pt>
                <c:pt idx="108">
                  <c:v>43992</c:v>
                </c:pt>
                <c:pt idx="109">
                  <c:v>43993</c:v>
                </c:pt>
                <c:pt idx="110">
                  <c:v>43994</c:v>
                </c:pt>
                <c:pt idx="111">
                  <c:v>43997</c:v>
                </c:pt>
                <c:pt idx="112">
                  <c:v>43998</c:v>
                </c:pt>
                <c:pt idx="113">
                  <c:v>43999</c:v>
                </c:pt>
                <c:pt idx="114">
                  <c:v>44000</c:v>
                </c:pt>
                <c:pt idx="115">
                  <c:v>44001</c:v>
                </c:pt>
                <c:pt idx="116">
                  <c:v>44004</c:v>
                </c:pt>
                <c:pt idx="117">
                  <c:v>44005</c:v>
                </c:pt>
                <c:pt idx="118">
                  <c:v>44006</c:v>
                </c:pt>
                <c:pt idx="119">
                  <c:v>44007</c:v>
                </c:pt>
                <c:pt idx="120">
                  <c:v>44008</c:v>
                </c:pt>
                <c:pt idx="121">
                  <c:v>44011</c:v>
                </c:pt>
                <c:pt idx="122">
                  <c:v>44012</c:v>
                </c:pt>
                <c:pt idx="123">
                  <c:v>44013</c:v>
                </c:pt>
                <c:pt idx="124">
                  <c:v>44014</c:v>
                </c:pt>
                <c:pt idx="125">
                  <c:v>44015</c:v>
                </c:pt>
                <c:pt idx="126">
                  <c:v>44018</c:v>
                </c:pt>
                <c:pt idx="127">
                  <c:v>44019</c:v>
                </c:pt>
                <c:pt idx="128">
                  <c:v>44020</c:v>
                </c:pt>
                <c:pt idx="129">
                  <c:v>44021</c:v>
                </c:pt>
                <c:pt idx="130">
                  <c:v>44022</c:v>
                </c:pt>
                <c:pt idx="131">
                  <c:v>44025</c:v>
                </c:pt>
                <c:pt idx="132">
                  <c:v>44026</c:v>
                </c:pt>
                <c:pt idx="133">
                  <c:v>44027</c:v>
                </c:pt>
                <c:pt idx="134">
                  <c:v>44028</c:v>
                </c:pt>
                <c:pt idx="135">
                  <c:v>44029</c:v>
                </c:pt>
                <c:pt idx="136">
                  <c:v>44032</c:v>
                </c:pt>
                <c:pt idx="137">
                  <c:v>44033</c:v>
                </c:pt>
                <c:pt idx="138">
                  <c:v>44034</c:v>
                </c:pt>
                <c:pt idx="139">
                  <c:v>44035</c:v>
                </c:pt>
                <c:pt idx="140">
                  <c:v>44036</c:v>
                </c:pt>
                <c:pt idx="141">
                  <c:v>44039</c:v>
                </c:pt>
                <c:pt idx="142">
                  <c:v>44040</c:v>
                </c:pt>
                <c:pt idx="143">
                  <c:v>44041</c:v>
                </c:pt>
                <c:pt idx="144">
                  <c:v>44042</c:v>
                </c:pt>
                <c:pt idx="145">
                  <c:v>44043</c:v>
                </c:pt>
                <c:pt idx="146">
                  <c:v>44046</c:v>
                </c:pt>
                <c:pt idx="147">
                  <c:v>44047</c:v>
                </c:pt>
                <c:pt idx="148">
                  <c:v>44048</c:v>
                </c:pt>
                <c:pt idx="149">
                  <c:v>44049</c:v>
                </c:pt>
                <c:pt idx="150">
                  <c:v>44050</c:v>
                </c:pt>
                <c:pt idx="151">
                  <c:v>44053</c:v>
                </c:pt>
                <c:pt idx="152">
                  <c:v>44054</c:v>
                </c:pt>
                <c:pt idx="153">
                  <c:v>44055</c:v>
                </c:pt>
                <c:pt idx="154">
                  <c:v>44056</c:v>
                </c:pt>
                <c:pt idx="155">
                  <c:v>44057</c:v>
                </c:pt>
                <c:pt idx="156">
                  <c:v>44060</c:v>
                </c:pt>
                <c:pt idx="157">
                  <c:v>44061</c:v>
                </c:pt>
                <c:pt idx="158">
                  <c:v>44062</c:v>
                </c:pt>
                <c:pt idx="159">
                  <c:v>44063</c:v>
                </c:pt>
                <c:pt idx="160">
                  <c:v>44064</c:v>
                </c:pt>
                <c:pt idx="161">
                  <c:v>44067</c:v>
                </c:pt>
                <c:pt idx="162">
                  <c:v>44068</c:v>
                </c:pt>
                <c:pt idx="163">
                  <c:v>44069</c:v>
                </c:pt>
                <c:pt idx="164">
                  <c:v>44070</c:v>
                </c:pt>
                <c:pt idx="165">
                  <c:v>44071</c:v>
                </c:pt>
                <c:pt idx="166">
                  <c:v>44074</c:v>
                </c:pt>
                <c:pt idx="167">
                  <c:v>44075</c:v>
                </c:pt>
                <c:pt idx="168">
                  <c:v>44076</c:v>
                </c:pt>
                <c:pt idx="169">
                  <c:v>44077</c:v>
                </c:pt>
                <c:pt idx="170">
                  <c:v>44078</c:v>
                </c:pt>
                <c:pt idx="171">
                  <c:v>44081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44109</c:v>
                </c:pt>
                <c:pt idx="191">
                  <c:v>44110</c:v>
                </c:pt>
                <c:pt idx="192">
                  <c:v>44111</c:v>
                </c:pt>
                <c:pt idx="193">
                  <c:v>44112</c:v>
                </c:pt>
                <c:pt idx="194">
                  <c:v>44113</c:v>
                </c:pt>
                <c:pt idx="195">
                  <c:v>44116</c:v>
                </c:pt>
                <c:pt idx="196">
                  <c:v>44117</c:v>
                </c:pt>
                <c:pt idx="197">
                  <c:v>44118</c:v>
                </c:pt>
                <c:pt idx="198">
                  <c:v>44119</c:v>
                </c:pt>
                <c:pt idx="199">
                  <c:v>44120</c:v>
                </c:pt>
                <c:pt idx="200">
                  <c:v>44123</c:v>
                </c:pt>
                <c:pt idx="201">
                  <c:v>44124</c:v>
                </c:pt>
                <c:pt idx="202">
                  <c:v>44125</c:v>
                </c:pt>
                <c:pt idx="203">
                  <c:v>44126</c:v>
                </c:pt>
                <c:pt idx="204">
                  <c:v>44127</c:v>
                </c:pt>
                <c:pt idx="205">
                  <c:v>44130</c:v>
                </c:pt>
                <c:pt idx="206">
                  <c:v>44131</c:v>
                </c:pt>
                <c:pt idx="207">
                  <c:v>44132</c:v>
                </c:pt>
                <c:pt idx="208">
                  <c:v>44133</c:v>
                </c:pt>
                <c:pt idx="209">
                  <c:v>44134</c:v>
                </c:pt>
                <c:pt idx="210">
                  <c:v>44137</c:v>
                </c:pt>
                <c:pt idx="211">
                  <c:v>44138</c:v>
                </c:pt>
                <c:pt idx="212">
                  <c:v>44139</c:v>
                </c:pt>
                <c:pt idx="213">
                  <c:v>44140</c:v>
                </c:pt>
                <c:pt idx="214">
                  <c:v>44141</c:v>
                </c:pt>
                <c:pt idx="215">
                  <c:v>44144</c:v>
                </c:pt>
                <c:pt idx="216">
                  <c:v>44145</c:v>
                </c:pt>
                <c:pt idx="217">
                  <c:v>44146</c:v>
                </c:pt>
                <c:pt idx="218">
                  <c:v>44147</c:v>
                </c:pt>
                <c:pt idx="219">
                  <c:v>44148</c:v>
                </c:pt>
                <c:pt idx="220">
                  <c:v>44152</c:v>
                </c:pt>
                <c:pt idx="221">
                  <c:v>44153</c:v>
                </c:pt>
                <c:pt idx="222">
                  <c:v>44154</c:v>
                </c:pt>
                <c:pt idx="223">
                  <c:v>44155</c:v>
                </c:pt>
                <c:pt idx="224">
                  <c:v>44158</c:v>
                </c:pt>
                <c:pt idx="225">
                  <c:v>44159</c:v>
                </c:pt>
                <c:pt idx="226">
                  <c:v>44160</c:v>
                </c:pt>
                <c:pt idx="227">
                  <c:v>44161</c:v>
                </c:pt>
                <c:pt idx="228">
                  <c:v>44162</c:v>
                </c:pt>
                <c:pt idx="229">
                  <c:v>44166</c:v>
                </c:pt>
                <c:pt idx="230">
                  <c:v>44167</c:v>
                </c:pt>
                <c:pt idx="231">
                  <c:v>44168</c:v>
                </c:pt>
                <c:pt idx="232">
                  <c:v>44169</c:v>
                </c:pt>
                <c:pt idx="233">
                  <c:v>44172</c:v>
                </c:pt>
                <c:pt idx="234">
                  <c:v>44173</c:v>
                </c:pt>
                <c:pt idx="235">
                  <c:v>44174</c:v>
                </c:pt>
                <c:pt idx="236">
                  <c:v>44175</c:v>
                </c:pt>
                <c:pt idx="237">
                  <c:v>44176</c:v>
                </c:pt>
                <c:pt idx="238">
                  <c:v>44179</c:v>
                </c:pt>
                <c:pt idx="239">
                  <c:v>44180</c:v>
                </c:pt>
                <c:pt idx="240">
                  <c:v>44181</c:v>
                </c:pt>
                <c:pt idx="241">
                  <c:v>44182</c:v>
                </c:pt>
                <c:pt idx="242">
                  <c:v>44183</c:v>
                </c:pt>
                <c:pt idx="243">
                  <c:v>44186</c:v>
                </c:pt>
                <c:pt idx="244">
                  <c:v>44187</c:v>
                </c:pt>
                <c:pt idx="245">
                  <c:v>44188</c:v>
                </c:pt>
                <c:pt idx="246">
                  <c:v>44189</c:v>
                </c:pt>
                <c:pt idx="247">
                  <c:v>44193</c:v>
                </c:pt>
                <c:pt idx="248">
                  <c:v>44194</c:v>
                </c:pt>
                <c:pt idx="249">
                  <c:v>44195</c:v>
                </c:pt>
                <c:pt idx="250">
                  <c:v>44196</c:v>
                </c:pt>
                <c:pt idx="251">
                  <c:v>44197</c:v>
                </c:pt>
                <c:pt idx="252">
                  <c:v>44200</c:v>
                </c:pt>
                <c:pt idx="253">
                  <c:v>44201</c:v>
                </c:pt>
                <c:pt idx="254">
                  <c:v>44202</c:v>
                </c:pt>
                <c:pt idx="255">
                  <c:v>44203</c:v>
                </c:pt>
                <c:pt idx="256">
                  <c:v>44204</c:v>
                </c:pt>
                <c:pt idx="257">
                  <c:v>44207</c:v>
                </c:pt>
                <c:pt idx="258">
                  <c:v>44208</c:v>
                </c:pt>
                <c:pt idx="259">
                  <c:v>44209</c:v>
                </c:pt>
                <c:pt idx="260">
                  <c:v>44210</c:v>
                </c:pt>
                <c:pt idx="261">
                  <c:v>44211</c:v>
                </c:pt>
                <c:pt idx="262">
                  <c:v>44214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44223</c:v>
                </c:pt>
                <c:pt idx="269">
                  <c:v>44224</c:v>
                </c:pt>
                <c:pt idx="270">
                  <c:v>44225</c:v>
                </c:pt>
                <c:pt idx="271">
                  <c:v>44228</c:v>
                </c:pt>
                <c:pt idx="272">
                  <c:v>44229</c:v>
                </c:pt>
                <c:pt idx="273">
                  <c:v>44230</c:v>
                </c:pt>
                <c:pt idx="274">
                  <c:v>44231</c:v>
                </c:pt>
                <c:pt idx="275">
                  <c:v>44232</c:v>
                </c:pt>
                <c:pt idx="276">
                  <c:v>44235</c:v>
                </c:pt>
                <c:pt idx="277">
                  <c:v>44236</c:v>
                </c:pt>
                <c:pt idx="278">
                  <c:v>44237</c:v>
                </c:pt>
                <c:pt idx="279">
                  <c:v>44238</c:v>
                </c:pt>
                <c:pt idx="280">
                  <c:v>44239</c:v>
                </c:pt>
                <c:pt idx="281">
                  <c:v>44242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44267</c:v>
                </c:pt>
                <c:pt idx="300">
                  <c:v>44270</c:v>
                </c:pt>
                <c:pt idx="301">
                  <c:v>44271</c:v>
                </c:pt>
                <c:pt idx="302">
                  <c:v>44272</c:v>
                </c:pt>
                <c:pt idx="303">
                  <c:v>44273</c:v>
                </c:pt>
                <c:pt idx="304">
                  <c:v>44274</c:v>
                </c:pt>
                <c:pt idx="305">
                  <c:v>44277</c:v>
                </c:pt>
                <c:pt idx="306">
                  <c:v>44278</c:v>
                </c:pt>
                <c:pt idx="307">
                  <c:v>44279</c:v>
                </c:pt>
                <c:pt idx="308">
                  <c:v>44280</c:v>
                </c:pt>
                <c:pt idx="309">
                  <c:v>44281</c:v>
                </c:pt>
                <c:pt idx="310">
                  <c:v>44285</c:v>
                </c:pt>
                <c:pt idx="311">
                  <c:v>44286</c:v>
                </c:pt>
                <c:pt idx="312">
                  <c:v>44287</c:v>
                </c:pt>
                <c:pt idx="313">
                  <c:v>44291</c:v>
                </c:pt>
                <c:pt idx="314">
                  <c:v>44292</c:v>
                </c:pt>
                <c:pt idx="315">
                  <c:v>44293</c:v>
                </c:pt>
                <c:pt idx="316">
                  <c:v>44294</c:v>
                </c:pt>
                <c:pt idx="317">
                  <c:v>44295</c:v>
                </c:pt>
                <c:pt idx="318">
                  <c:v>44298</c:v>
                </c:pt>
                <c:pt idx="319">
                  <c:v>44299</c:v>
                </c:pt>
                <c:pt idx="320">
                  <c:v>44301</c:v>
                </c:pt>
                <c:pt idx="321">
                  <c:v>44302</c:v>
                </c:pt>
                <c:pt idx="322">
                  <c:v>44305</c:v>
                </c:pt>
                <c:pt idx="323">
                  <c:v>44306</c:v>
                </c:pt>
                <c:pt idx="324">
                  <c:v>44308</c:v>
                </c:pt>
                <c:pt idx="325">
                  <c:v>44309</c:v>
                </c:pt>
                <c:pt idx="326">
                  <c:v>44312</c:v>
                </c:pt>
                <c:pt idx="327">
                  <c:v>44313</c:v>
                </c:pt>
                <c:pt idx="328">
                  <c:v>44314</c:v>
                </c:pt>
                <c:pt idx="329">
                  <c:v>44315</c:v>
                </c:pt>
                <c:pt idx="330">
                  <c:v>44316</c:v>
                </c:pt>
                <c:pt idx="331">
                  <c:v>44319</c:v>
                </c:pt>
                <c:pt idx="332">
                  <c:v>44320</c:v>
                </c:pt>
                <c:pt idx="333">
                  <c:v>44321</c:v>
                </c:pt>
                <c:pt idx="334">
                  <c:v>44322</c:v>
                </c:pt>
                <c:pt idx="335">
                  <c:v>44323</c:v>
                </c:pt>
                <c:pt idx="336">
                  <c:v>44326</c:v>
                </c:pt>
                <c:pt idx="337">
                  <c:v>44327</c:v>
                </c:pt>
                <c:pt idx="338">
                  <c:v>44328</c:v>
                </c:pt>
                <c:pt idx="339">
                  <c:v>44330</c:v>
                </c:pt>
                <c:pt idx="340">
                  <c:v>44333</c:v>
                </c:pt>
                <c:pt idx="341">
                  <c:v>44334</c:v>
                </c:pt>
                <c:pt idx="342">
                  <c:v>44335</c:v>
                </c:pt>
                <c:pt idx="343">
                  <c:v>44336</c:v>
                </c:pt>
                <c:pt idx="344">
                  <c:v>44337</c:v>
                </c:pt>
                <c:pt idx="345">
                  <c:v>44340</c:v>
                </c:pt>
                <c:pt idx="346">
                  <c:v>44341</c:v>
                </c:pt>
                <c:pt idx="347">
                  <c:v>44342</c:v>
                </c:pt>
                <c:pt idx="348">
                  <c:v>44343</c:v>
                </c:pt>
                <c:pt idx="349">
                  <c:v>44344</c:v>
                </c:pt>
                <c:pt idx="350">
                  <c:v>44347</c:v>
                </c:pt>
                <c:pt idx="351">
                  <c:v>44348</c:v>
                </c:pt>
                <c:pt idx="352">
                  <c:v>44349</c:v>
                </c:pt>
                <c:pt idx="353">
                  <c:v>44350</c:v>
                </c:pt>
                <c:pt idx="354">
                  <c:v>44351</c:v>
                </c:pt>
                <c:pt idx="355">
                  <c:v>44354</c:v>
                </c:pt>
                <c:pt idx="356">
                  <c:v>44355</c:v>
                </c:pt>
                <c:pt idx="357">
                  <c:v>44356</c:v>
                </c:pt>
                <c:pt idx="358">
                  <c:v>44357</c:v>
                </c:pt>
                <c:pt idx="359">
                  <c:v>44358</c:v>
                </c:pt>
                <c:pt idx="360">
                  <c:v>44361</c:v>
                </c:pt>
                <c:pt idx="361">
                  <c:v>44362</c:v>
                </c:pt>
                <c:pt idx="362">
                  <c:v>44363</c:v>
                </c:pt>
                <c:pt idx="363">
                  <c:v>44364</c:v>
                </c:pt>
                <c:pt idx="364">
                  <c:v>44365</c:v>
                </c:pt>
                <c:pt idx="365">
                  <c:v>44368</c:v>
                </c:pt>
                <c:pt idx="366">
                  <c:v>44369</c:v>
                </c:pt>
                <c:pt idx="367">
                  <c:v>44370</c:v>
                </c:pt>
                <c:pt idx="368">
                  <c:v>44371</c:v>
                </c:pt>
                <c:pt idx="369">
                  <c:v>44372</c:v>
                </c:pt>
                <c:pt idx="370">
                  <c:v>44375</c:v>
                </c:pt>
                <c:pt idx="371">
                  <c:v>44376</c:v>
                </c:pt>
                <c:pt idx="372">
                  <c:v>44377</c:v>
                </c:pt>
                <c:pt idx="373">
                  <c:v>44378</c:v>
                </c:pt>
                <c:pt idx="374">
                  <c:v>44379</c:v>
                </c:pt>
                <c:pt idx="375">
                  <c:v>44382</c:v>
                </c:pt>
                <c:pt idx="376">
                  <c:v>44383</c:v>
                </c:pt>
                <c:pt idx="377">
                  <c:v>44384</c:v>
                </c:pt>
                <c:pt idx="378">
                  <c:v>44385</c:v>
                </c:pt>
                <c:pt idx="379">
                  <c:v>44386</c:v>
                </c:pt>
                <c:pt idx="380">
                  <c:v>44389</c:v>
                </c:pt>
                <c:pt idx="381">
                  <c:v>44390</c:v>
                </c:pt>
                <c:pt idx="382">
                  <c:v>44391</c:v>
                </c:pt>
                <c:pt idx="383">
                  <c:v>44392</c:v>
                </c:pt>
                <c:pt idx="384">
                  <c:v>44393</c:v>
                </c:pt>
                <c:pt idx="385">
                  <c:v>44396</c:v>
                </c:pt>
                <c:pt idx="386">
                  <c:v>44397</c:v>
                </c:pt>
                <c:pt idx="387">
                  <c:v>44399</c:v>
                </c:pt>
                <c:pt idx="388">
                  <c:v>44400</c:v>
                </c:pt>
                <c:pt idx="389">
                  <c:v>44403</c:v>
                </c:pt>
                <c:pt idx="390">
                  <c:v>44404</c:v>
                </c:pt>
                <c:pt idx="391">
                  <c:v>44405</c:v>
                </c:pt>
                <c:pt idx="392">
                  <c:v>44406</c:v>
                </c:pt>
                <c:pt idx="393">
                  <c:v>44407</c:v>
                </c:pt>
                <c:pt idx="394">
                  <c:v>44410</c:v>
                </c:pt>
                <c:pt idx="395">
                  <c:v>44411</c:v>
                </c:pt>
                <c:pt idx="396">
                  <c:v>44412</c:v>
                </c:pt>
                <c:pt idx="397">
                  <c:v>44413</c:v>
                </c:pt>
                <c:pt idx="398">
                  <c:v>44414</c:v>
                </c:pt>
                <c:pt idx="399">
                  <c:v>44417</c:v>
                </c:pt>
                <c:pt idx="400">
                  <c:v>44418</c:v>
                </c:pt>
                <c:pt idx="401">
                  <c:v>44419</c:v>
                </c:pt>
                <c:pt idx="402">
                  <c:v>44420</c:v>
                </c:pt>
                <c:pt idx="403">
                  <c:v>44421</c:v>
                </c:pt>
                <c:pt idx="404">
                  <c:v>44424</c:v>
                </c:pt>
                <c:pt idx="405">
                  <c:v>44425</c:v>
                </c:pt>
                <c:pt idx="406">
                  <c:v>44426</c:v>
                </c:pt>
                <c:pt idx="407">
                  <c:v>44428</c:v>
                </c:pt>
                <c:pt idx="408">
                  <c:v>44431</c:v>
                </c:pt>
                <c:pt idx="409">
                  <c:v>44432</c:v>
                </c:pt>
                <c:pt idx="410">
                  <c:v>44433</c:v>
                </c:pt>
                <c:pt idx="411">
                  <c:v>44434</c:v>
                </c:pt>
                <c:pt idx="412">
                  <c:v>44435</c:v>
                </c:pt>
                <c:pt idx="413">
                  <c:v>44438</c:v>
                </c:pt>
                <c:pt idx="414">
                  <c:v>44439</c:v>
                </c:pt>
                <c:pt idx="415">
                  <c:v>44440</c:v>
                </c:pt>
                <c:pt idx="416">
                  <c:v>44441</c:v>
                </c:pt>
                <c:pt idx="417">
                  <c:v>44442</c:v>
                </c:pt>
                <c:pt idx="418">
                  <c:v>44445</c:v>
                </c:pt>
                <c:pt idx="419">
                  <c:v>44446</c:v>
                </c:pt>
                <c:pt idx="420">
                  <c:v>44447</c:v>
                </c:pt>
                <c:pt idx="421">
                  <c:v>44448</c:v>
                </c:pt>
                <c:pt idx="422">
                  <c:v>44452</c:v>
                </c:pt>
                <c:pt idx="423">
                  <c:v>44453</c:v>
                </c:pt>
                <c:pt idx="424">
                  <c:v>44454</c:v>
                </c:pt>
                <c:pt idx="425">
                  <c:v>44455</c:v>
                </c:pt>
                <c:pt idx="426">
                  <c:v>44456</c:v>
                </c:pt>
                <c:pt idx="427">
                  <c:v>44459</c:v>
                </c:pt>
                <c:pt idx="428">
                  <c:v>44460</c:v>
                </c:pt>
                <c:pt idx="429">
                  <c:v>44461</c:v>
                </c:pt>
                <c:pt idx="430">
                  <c:v>44462</c:v>
                </c:pt>
                <c:pt idx="431">
                  <c:v>44463</c:v>
                </c:pt>
                <c:pt idx="432">
                  <c:v>44466</c:v>
                </c:pt>
                <c:pt idx="433">
                  <c:v>44467</c:v>
                </c:pt>
                <c:pt idx="434">
                  <c:v>44468</c:v>
                </c:pt>
                <c:pt idx="435">
                  <c:v>44469</c:v>
                </c:pt>
                <c:pt idx="436">
                  <c:v>44470</c:v>
                </c:pt>
                <c:pt idx="437">
                  <c:v>44473</c:v>
                </c:pt>
                <c:pt idx="438">
                  <c:v>44474</c:v>
                </c:pt>
                <c:pt idx="439">
                  <c:v>44475</c:v>
                </c:pt>
                <c:pt idx="440">
                  <c:v>44476</c:v>
                </c:pt>
                <c:pt idx="441">
                  <c:v>44477</c:v>
                </c:pt>
                <c:pt idx="442">
                  <c:v>44480</c:v>
                </c:pt>
                <c:pt idx="443">
                  <c:v>44481</c:v>
                </c:pt>
                <c:pt idx="444">
                  <c:v>44482</c:v>
                </c:pt>
                <c:pt idx="445">
                  <c:v>44483</c:v>
                </c:pt>
                <c:pt idx="446">
                  <c:v>44487</c:v>
                </c:pt>
                <c:pt idx="447">
                  <c:v>44488</c:v>
                </c:pt>
                <c:pt idx="448">
                  <c:v>44489</c:v>
                </c:pt>
                <c:pt idx="449">
                  <c:v>44490</c:v>
                </c:pt>
                <c:pt idx="450">
                  <c:v>44491</c:v>
                </c:pt>
                <c:pt idx="451">
                  <c:v>44494</c:v>
                </c:pt>
                <c:pt idx="452">
                  <c:v>44495</c:v>
                </c:pt>
                <c:pt idx="453">
                  <c:v>44496</c:v>
                </c:pt>
                <c:pt idx="454">
                  <c:v>44497</c:v>
                </c:pt>
                <c:pt idx="455">
                  <c:v>44498</c:v>
                </c:pt>
                <c:pt idx="456">
                  <c:v>44501</c:v>
                </c:pt>
                <c:pt idx="457">
                  <c:v>44502</c:v>
                </c:pt>
                <c:pt idx="458">
                  <c:v>44503</c:v>
                </c:pt>
                <c:pt idx="459">
                  <c:v>44504</c:v>
                </c:pt>
                <c:pt idx="460">
                  <c:v>44508</c:v>
                </c:pt>
                <c:pt idx="461">
                  <c:v>44509</c:v>
                </c:pt>
                <c:pt idx="462">
                  <c:v>44510</c:v>
                </c:pt>
                <c:pt idx="463">
                  <c:v>44511</c:v>
                </c:pt>
                <c:pt idx="464">
                  <c:v>44512</c:v>
                </c:pt>
                <c:pt idx="465">
                  <c:v>44515</c:v>
                </c:pt>
                <c:pt idx="466">
                  <c:v>44516</c:v>
                </c:pt>
                <c:pt idx="467">
                  <c:v>44517</c:v>
                </c:pt>
                <c:pt idx="468">
                  <c:v>44518</c:v>
                </c:pt>
                <c:pt idx="469">
                  <c:v>44522</c:v>
                </c:pt>
                <c:pt idx="470">
                  <c:v>44523</c:v>
                </c:pt>
                <c:pt idx="471">
                  <c:v>44524</c:v>
                </c:pt>
                <c:pt idx="472">
                  <c:v>44525</c:v>
                </c:pt>
                <c:pt idx="473">
                  <c:v>44526</c:v>
                </c:pt>
                <c:pt idx="474">
                  <c:v>44529</c:v>
                </c:pt>
                <c:pt idx="475">
                  <c:v>44530</c:v>
                </c:pt>
                <c:pt idx="476">
                  <c:v>44531</c:v>
                </c:pt>
                <c:pt idx="477">
                  <c:v>44532</c:v>
                </c:pt>
                <c:pt idx="478">
                  <c:v>44533</c:v>
                </c:pt>
                <c:pt idx="479">
                  <c:v>44536</c:v>
                </c:pt>
                <c:pt idx="480">
                  <c:v>44537</c:v>
                </c:pt>
                <c:pt idx="481">
                  <c:v>44538</c:v>
                </c:pt>
                <c:pt idx="482">
                  <c:v>44539</c:v>
                </c:pt>
                <c:pt idx="483">
                  <c:v>44540</c:v>
                </c:pt>
                <c:pt idx="484">
                  <c:v>44543</c:v>
                </c:pt>
                <c:pt idx="485">
                  <c:v>44544</c:v>
                </c:pt>
                <c:pt idx="486">
                  <c:v>44545</c:v>
                </c:pt>
                <c:pt idx="487">
                  <c:v>44546</c:v>
                </c:pt>
                <c:pt idx="488">
                  <c:v>44547</c:v>
                </c:pt>
                <c:pt idx="489">
                  <c:v>44550</c:v>
                </c:pt>
                <c:pt idx="490">
                  <c:v>44551</c:v>
                </c:pt>
                <c:pt idx="491">
                  <c:v>44552</c:v>
                </c:pt>
                <c:pt idx="492">
                  <c:v>44553</c:v>
                </c:pt>
                <c:pt idx="493">
                  <c:v>44554</c:v>
                </c:pt>
                <c:pt idx="494">
                  <c:v>44557</c:v>
                </c:pt>
                <c:pt idx="495">
                  <c:v>44558</c:v>
                </c:pt>
                <c:pt idx="496">
                  <c:v>44559</c:v>
                </c:pt>
                <c:pt idx="497">
                  <c:v>44560</c:v>
                </c:pt>
                <c:pt idx="498">
                  <c:v>44561</c:v>
                </c:pt>
                <c:pt idx="499">
                  <c:v>44564</c:v>
                </c:pt>
                <c:pt idx="500">
                  <c:v>44565</c:v>
                </c:pt>
                <c:pt idx="501">
                  <c:v>44566</c:v>
                </c:pt>
                <c:pt idx="502">
                  <c:v>44567</c:v>
                </c:pt>
                <c:pt idx="503">
                  <c:v>44568</c:v>
                </c:pt>
                <c:pt idx="504">
                  <c:v>44571</c:v>
                </c:pt>
                <c:pt idx="505">
                  <c:v>44572</c:v>
                </c:pt>
                <c:pt idx="506">
                  <c:v>44573</c:v>
                </c:pt>
                <c:pt idx="507">
                  <c:v>44574</c:v>
                </c:pt>
                <c:pt idx="508">
                  <c:v>44575</c:v>
                </c:pt>
                <c:pt idx="509">
                  <c:v>44578</c:v>
                </c:pt>
                <c:pt idx="510">
                  <c:v>44579</c:v>
                </c:pt>
                <c:pt idx="511">
                  <c:v>44580</c:v>
                </c:pt>
                <c:pt idx="512">
                  <c:v>44581</c:v>
                </c:pt>
                <c:pt idx="513">
                  <c:v>44582</c:v>
                </c:pt>
                <c:pt idx="514">
                  <c:v>44585</c:v>
                </c:pt>
                <c:pt idx="515">
                  <c:v>44586</c:v>
                </c:pt>
                <c:pt idx="516">
                  <c:v>44588</c:v>
                </c:pt>
                <c:pt idx="517">
                  <c:v>44589</c:v>
                </c:pt>
                <c:pt idx="518">
                  <c:v>44592</c:v>
                </c:pt>
                <c:pt idx="519">
                  <c:v>44593</c:v>
                </c:pt>
                <c:pt idx="520">
                  <c:v>44594</c:v>
                </c:pt>
                <c:pt idx="521">
                  <c:v>44595</c:v>
                </c:pt>
                <c:pt idx="522">
                  <c:v>44596</c:v>
                </c:pt>
                <c:pt idx="523">
                  <c:v>44599</c:v>
                </c:pt>
                <c:pt idx="524">
                  <c:v>44600</c:v>
                </c:pt>
                <c:pt idx="525">
                  <c:v>44601</c:v>
                </c:pt>
                <c:pt idx="526">
                  <c:v>44602</c:v>
                </c:pt>
                <c:pt idx="527">
                  <c:v>44603</c:v>
                </c:pt>
                <c:pt idx="528">
                  <c:v>44606</c:v>
                </c:pt>
                <c:pt idx="529">
                  <c:v>44607</c:v>
                </c:pt>
                <c:pt idx="530">
                  <c:v>44608</c:v>
                </c:pt>
                <c:pt idx="531">
                  <c:v>44609</c:v>
                </c:pt>
                <c:pt idx="532">
                  <c:v>44610</c:v>
                </c:pt>
                <c:pt idx="533">
                  <c:v>44613</c:v>
                </c:pt>
                <c:pt idx="534">
                  <c:v>44614</c:v>
                </c:pt>
                <c:pt idx="535">
                  <c:v>44615</c:v>
                </c:pt>
                <c:pt idx="536">
                  <c:v>44616</c:v>
                </c:pt>
                <c:pt idx="537">
                  <c:v>44617</c:v>
                </c:pt>
                <c:pt idx="538">
                  <c:v>44620</c:v>
                </c:pt>
                <c:pt idx="539">
                  <c:v>44622</c:v>
                </c:pt>
                <c:pt idx="540">
                  <c:v>44623</c:v>
                </c:pt>
                <c:pt idx="541">
                  <c:v>44624</c:v>
                </c:pt>
                <c:pt idx="542">
                  <c:v>44627</c:v>
                </c:pt>
                <c:pt idx="543">
                  <c:v>44628</c:v>
                </c:pt>
                <c:pt idx="544">
                  <c:v>44629</c:v>
                </c:pt>
                <c:pt idx="545">
                  <c:v>44630</c:v>
                </c:pt>
                <c:pt idx="546">
                  <c:v>44631</c:v>
                </c:pt>
                <c:pt idx="547">
                  <c:v>44634</c:v>
                </c:pt>
                <c:pt idx="548">
                  <c:v>44635</c:v>
                </c:pt>
                <c:pt idx="549">
                  <c:v>44636</c:v>
                </c:pt>
                <c:pt idx="550">
                  <c:v>44637</c:v>
                </c:pt>
                <c:pt idx="551">
                  <c:v>44641</c:v>
                </c:pt>
                <c:pt idx="552">
                  <c:v>44642</c:v>
                </c:pt>
                <c:pt idx="553">
                  <c:v>44643</c:v>
                </c:pt>
                <c:pt idx="554">
                  <c:v>44644</c:v>
                </c:pt>
                <c:pt idx="555">
                  <c:v>44645</c:v>
                </c:pt>
                <c:pt idx="556">
                  <c:v>44648</c:v>
                </c:pt>
                <c:pt idx="557">
                  <c:v>44649</c:v>
                </c:pt>
                <c:pt idx="558">
                  <c:v>44650</c:v>
                </c:pt>
                <c:pt idx="559">
                  <c:v>44651</c:v>
                </c:pt>
                <c:pt idx="560">
                  <c:v>44652</c:v>
                </c:pt>
                <c:pt idx="561">
                  <c:v>44655</c:v>
                </c:pt>
                <c:pt idx="562">
                  <c:v>44656</c:v>
                </c:pt>
                <c:pt idx="563">
                  <c:v>44657</c:v>
                </c:pt>
                <c:pt idx="564">
                  <c:v>44658</c:v>
                </c:pt>
                <c:pt idx="565">
                  <c:v>44659</c:v>
                </c:pt>
                <c:pt idx="566">
                  <c:v>44662</c:v>
                </c:pt>
                <c:pt idx="567">
                  <c:v>44663</c:v>
                </c:pt>
                <c:pt idx="568">
                  <c:v>44664</c:v>
                </c:pt>
                <c:pt idx="569">
                  <c:v>44669</c:v>
                </c:pt>
                <c:pt idx="570">
                  <c:v>44670</c:v>
                </c:pt>
                <c:pt idx="571">
                  <c:v>44671</c:v>
                </c:pt>
                <c:pt idx="572">
                  <c:v>44672</c:v>
                </c:pt>
                <c:pt idx="573">
                  <c:v>44673</c:v>
                </c:pt>
                <c:pt idx="574">
                  <c:v>44676</c:v>
                </c:pt>
                <c:pt idx="575">
                  <c:v>44677</c:v>
                </c:pt>
                <c:pt idx="576">
                  <c:v>44678</c:v>
                </c:pt>
                <c:pt idx="577">
                  <c:v>44679</c:v>
                </c:pt>
                <c:pt idx="578">
                  <c:v>44680</c:v>
                </c:pt>
                <c:pt idx="579">
                  <c:v>44683</c:v>
                </c:pt>
                <c:pt idx="580">
                  <c:v>44685</c:v>
                </c:pt>
                <c:pt idx="581">
                  <c:v>44686</c:v>
                </c:pt>
                <c:pt idx="582">
                  <c:v>44687</c:v>
                </c:pt>
                <c:pt idx="583">
                  <c:v>44690</c:v>
                </c:pt>
                <c:pt idx="584">
                  <c:v>44691</c:v>
                </c:pt>
                <c:pt idx="585">
                  <c:v>44692</c:v>
                </c:pt>
                <c:pt idx="586">
                  <c:v>44693</c:v>
                </c:pt>
                <c:pt idx="587">
                  <c:v>44694</c:v>
                </c:pt>
                <c:pt idx="588">
                  <c:v>44697</c:v>
                </c:pt>
                <c:pt idx="589">
                  <c:v>44698</c:v>
                </c:pt>
                <c:pt idx="590">
                  <c:v>44699</c:v>
                </c:pt>
                <c:pt idx="591">
                  <c:v>44700</c:v>
                </c:pt>
                <c:pt idx="592">
                  <c:v>44701</c:v>
                </c:pt>
                <c:pt idx="593">
                  <c:v>44704</c:v>
                </c:pt>
                <c:pt idx="594">
                  <c:v>44705</c:v>
                </c:pt>
                <c:pt idx="595">
                  <c:v>44706</c:v>
                </c:pt>
                <c:pt idx="596">
                  <c:v>44707</c:v>
                </c:pt>
                <c:pt idx="597">
                  <c:v>44708</c:v>
                </c:pt>
                <c:pt idx="598">
                  <c:v>44711</c:v>
                </c:pt>
                <c:pt idx="599">
                  <c:v>44712</c:v>
                </c:pt>
                <c:pt idx="600">
                  <c:v>44713</c:v>
                </c:pt>
                <c:pt idx="601">
                  <c:v>44714</c:v>
                </c:pt>
                <c:pt idx="602">
                  <c:v>44715</c:v>
                </c:pt>
                <c:pt idx="603">
                  <c:v>44718</c:v>
                </c:pt>
                <c:pt idx="604">
                  <c:v>44719</c:v>
                </c:pt>
                <c:pt idx="605">
                  <c:v>44720</c:v>
                </c:pt>
                <c:pt idx="606">
                  <c:v>44721</c:v>
                </c:pt>
                <c:pt idx="607">
                  <c:v>44722</c:v>
                </c:pt>
                <c:pt idx="608">
                  <c:v>44725</c:v>
                </c:pt>
                <c:pt idx="609">
                  <c:v>44726</c:v>
                </c:pt>
                <c:pt idx="610">
                  <c:v>44727</c:v>
                </c:pt>
                <c:pt idx="611">
                  <c:v>44728</c:v>
                </c:pt>
                <c:pt idx="612">
                  <c:v>44729</c:v>
                </c:pt>
                <c:pt idx="613">
                  <c:v>44732</c:v>
                </c:pt>
                <c:pt idx="614">
                  <c:v>44733</c:v>
                </c:pt>
                <c:pt idx="615">
                  <c:v>44734</c:v>
                </c:pt>
                <c:pt idx="616">
                  <c:v>44735</c:v>
                </c:pt>
                <c:pt idx="617">
                  <c:v>44736</c:v>
                </c:pt>
                <c:pt idx="618">
                  <c:v>44739</c:v>
                </c:pt>
                <c:pt idx="619">
                  <c:v>44740</c:v>
                </c:pt>
                <c:pt idx="620">
                  <c:v>44741</c:v>
                </c:pt>
                <c:pt idx="621">
                  <c:v>44742</c:v>
                </c:pt>
                <c:pt idx="622">
                  <c:v>44743</c:v>
                </c:pt>
                <c:pt idx="623">
                  <c:v>44746</c:v>
                </c:pt>
                <c:pt idx="624">
                  <c:v>44747</c:v>
                </c:pt>
                <c:pt idx="625">
                  <c:v>44748</c:v>
                </c:pt>
                <c:pt idx="626">
                  <c:v>44749</c:v>
                </c:pt>
                <c:pt idx="627">
                  <c:v>44750</c:v>
                </c:pt>
                <c:pt idx="628">
                  <c:v>44753</c:v>
                </c:pt>
                <c:pt idx="629">
                  <c:v>44754</c:v>
                </c:pt>
                <c:pt idx="630">
                  <c:v>44755</c:v>
                </c:pt>
                <c:pt idx="631">
                  <c:v>44756</c:v>
                </c:pt>
                <c:pt idx="632">
                  <c:v>44757</c:v>
                </c:pt>
                <c:pt idx="633">
                  <c:v>44760</c:v>
                </c:pt>
                <c:pt idx="634">
                  <c:v>44761</c:v>
                </c:pt>
                <c:pt idx="635">
                  <c:v>44762</c:v>
                </c:pt>
                <c:pt idx="636">
                  <c:v>44763</c:v>
                </c:pt>
                <c:pt idx="637">
                  <c:v>44764</c:v>
                </c:pt>
                <c:pt idx="638">
                  <c:v>44767</c:v>
                </c:pt>
                <c:pt idx="639">
                  <c:v>44768</c:v>
                </c:pt>
                <c:pt idx="640">
                  <c:v>44769</c:v>
                </c:pt>
                <c:pt idx="641">
                  <c:v>44770</c:v>
                </c:pt>
                <c:pt idx="642">
                  <c:v>44771</c:v>
                </c:pt>
                <c:pt idx="643">
                  <c:v>44774</c:v>
                </c:pt>
                <c:pt idx="644">
                  <c:v>44775</c:v>
                </c:pt>
                <c:pt idx="645">
                  <c:v>44776</c:v>
                </c:pt>
                <c:pt idx="646">
                  <c:v>44777</c:v>
                </c:pt>
                <c:pt idx="647">
                  <c:v>44778</c:v>
                </c:pt>
                <c:pt idx="648">
                  <c:v>44781</c:v>
                </c:pt>
                <c:pt idx="649">
                  <c:v>44783</c:v>
                </c:pt>
                <c:pt idx="650">
                  <c:v>44784</c:v>
                </c:pt>
                <c:pt idx="651">
                  <c:v>44785</c:v>
                </c:pt>
                <c:pt idx="652">
                  <c:v>44789</c:v>
                </c:pt>
                <c:pt idx="653">
                  <c:v>44790</c:v>
                </c:pt>
                <c:pt idx="654">
                  <c:v>44791</c:v>
                </c:pt>
                <c:pt idx="655">
                  <c:v>44792</c:v>
                </c:pt>
                <c:pt idx="656">
                  <c:v>44795</c:v>
                </c:pt>
                <c:pt idx="657">
                  <c:v>44796</c:v>
                </c:pt>
                <c:pt idx="658">
                  <c:v>44797</c:v>
                </c:pt>
                <c:pt idx="659">
                  <c:v>44798</c:v>
                </c:pt>
                <c:pt idx="660">
                  <c:v>44799</c:v>
                </c:pt>
                <c:pt idx="661">
                  <c:v>44802</c:v>
                </c:pt>
                <c:pt idx="662">
                  <c:v>44803</c:v>
                </c:pt>
                <c:pt idx="663">
                  <c:v>44805</c:v>
                </c:pt>
                <c:pt idx="664">
                  <c:v>44806</c:v>
                </c:pt>
                <c:pt idx="665">
                  <c:v>44809</c:v>
                </c:pt>
                <c:pt idx="666">
                  <c:v>44810</c:v>
                </c:pt>
                <c:pt idx="667">
                  <c:v>44811</c:v>
                </c:pt>
                <c:pt idx="668">
                  <c:v>44812</c:v>
                </c:pt>
                <c:pt idx="669">
                  <c:v>44813</c:v>
                </c:pt>
                <c:pt idx="670">
                  <c:v>44816</c:v>
                </c:pt>
                <c:pt idx="671">
                  <c:v>44817</c:v>
                </c:pt>
                <c:pt idx="672">
                  <c:v>44818</c:v>
                </c:pt>
                <c:pt idx="673">
                  <c:v>44819</c:v>
                </c:pt>
                <c:pt idx="674">
                  <c:v>44820</c:v>
                </c:pt>
                <c:pt idx="675">
                  <c:v>44823</c:v>
                </c:pt>
                <c:pt idx="676">
                  <c:v>44824</c:v>
                </c:pt>
                <c:pt idx="677">
                  <c:v>44825</c:v>
                </c:pt>
                <c:pt idx="678">
                  <c:v>44826</c:v>
                </c:pt>
                <c:pt idx="679">
                  <c:v>44827</c:v>
                </c:pt>
                <c:pt idx="680">
                  <c:v>44830</c:v>
                </c:pt>
                <c:pt idx="681">
                  <c:v>44831</c:v>
                </c:pt>
                <c:pt idx="682">
                  <c:v>44832</c:v>
                </c:pt>
                <c:pt idx="683">
                  <c:v>44833</c:v>
                </c:pt>
                <c:pt idx="684">
                  <c:v>44834</c:v>
                </c:pt>
                <c:pt idx="685">
                  <c:v>44837</c:v>
                </c:pt>
                <c:pt idx="686">
                  <c:v>44838</c:v>
                </c:pt>
                <c:pt idx="687">
                  <c:v>44840</c:v>
                </c:pt>
                <c:pt idx="688">
                  <c:v>44841</c:v>
                </c:pt>
                <c:pt idx="689">
                  <c:v>44844</c:v>
                </c:pt>
                <c:pt idx="690">
                  <c:v>44845</c:v>
                </c:pt>
                <c:pt idx="691">
                  <c:v>44846</c:v>
                </c:pt>
                <c:pt idx="692">
                  <c:v>44847</c:v>
                </c:pt>
                <c:pt idx="693">
                  <c:v>44848</c:v>
                </c:pt>
                <c:pt idx="694">
                  <c:v>44851</c:v>
                </c:pt>
                <c:pt idx="695">
                  <c:v>44852</c:v>
                </c:pt>
                <c:pt idx="696">
                  <c:v>44853</c:v>
                </c:pt>
                <c:pt idx="697">
                  <c:v>44854</c:v>
                </c:pt>
                <c:pt idx="698">
                  <c:v>44855</c:v>
                </c:pt>
                <c:pt idx="699">
                  <c:v>44858</c:v>
                </c:pt>
                <c:pt idx="700">
                  <c:v>44859</c:v>
                </c:pt>
                <c:pt idx="701">
                  <c:v>44861</c:v>
                </c:pt>
                <c:pt idx="702">
                  <c:v>44862</c:v>
                </c:pt>
                <c:pt idx="703">
                  <c:v>44865</c:v>
                </c:pt>
                <c:pt idx="704">
                  <c:v>44866</c:v>
                </c:pt>
                <c:pt idx="705">
                  <c:v>44867</c:v>
                </c:pt>
                <c:pt idx="706">
                  <c:v>44868</c:v>
                </c:pt>
                <c:pt idx="707">
                  <c:v>44869</c:v>
                </c:pt>
                <c:pt idx="708">
                  <c:v>44872</c:v>
                </c:pt>
                <c:pt idx="709">
                  <c:v>44874</c:v>
                </c:pt>
                <c:pt idx="710">
                  <c:v>44875</c:v>
                </c:pt>
                <c:pt idx="711">
                  <c:v>44876</c:v>
                </c:pt>
                <c:pt idx="712">
                  <c:v>44879</c:v>
                </c:pt>
                <c:pt idx="713">
                  <c:v>44880</c:v>
                </c:pt>
                <c:pt idx="714">
                  <c:v>44881</c:v>
                </c:pt>
                <c:pt idx="715">
                  <c:v>44882</c:v>
                </c:pt>
                <c:pt idx="716">
                  <c:v>44883</c:v>
                </c:pt>
                <c:pt idx="717">
                  <c:v>44886</c:v>
                </c:pt>
                <c:pt idx="718">
                  <c:v>44887</c:v>
                </c:pt>
                <c:pt idx="719">
                  <c:v>44888</c:v>
                </c:pt>
                <c:pt idx="720">
                  <c:v>44889</c:v>
                </c:pt>
                <c:pt idx="721">
                  <c:v>44890</c:v>
                </c:pt>
                <c:pt idx="722">
                  <c:v>44893</c:v>
                </c:pt>
                <c:pt idx="723">
                  <c:v>44894</c:v>
                </c:pt>
                <c:pt idx="724">
                  <c:v>44895</c:v>
                </c:pt>
                <c:pt idx="725">
                  <c:v>44896</c:v>
                </c:pt>
                <c:pt idx="726">
                  <c:v>44897</c:v>
                </c:pt>
                <c:pt idx="727">
                  <c:v>44900</c:v>
                </c:pt>
                <c:pt idx="728">
                  <c:v>44901</c:v>
                </c:pt>
                <c:pt idx="729">
                  <c:v>44902</c:v>
                </c:pt>
                <c:pt idx="730">
                  <c:v>44903</c:v>
                </c:pt>
                <c:pt idx="731">
                  <c:v>44904</c:v>
                </c:pt>
                <c:pt idx="732">
                  <c:v>44907</c:v>
                </c:pt>
                <c:pt idx="733">
                  <c:v>44908</c:v>
                </c:pt>
                <c:pt idx="734">
                  <c:v>44909</c:v>
                </c:pt>
                <c:pt idx="735">
                  <c:v>44910</c:v>
                </c:pt>
                <c:pt idx="736">
                  <c:v>44911</c:v>
                </c:pt>
                <c:pt idx="737">
                  <c:v>44914</c:v>
                </c:pt>
                <c:pt idx="738">
                  <c:v>44915</c:v>
                </c:pt>
                <c:pt idx="739">
                  <c:v>44916</c:v>
                </c:pt>
                <c:pt idx="740">
                  <c:v>44917</c:v>
                </c:pt>
                <c:pt idx="741">
                  <c:v>44918</c:v>
                </c:pt>
                <c:pt idx="742">
                  <c:v>44921</c:v>
                </c:pt>
                <c:pt idx="743">
                  <c:v>44922</c:v>
                </c:pt>
                <c:pt idx="744">
                  <c:v>44923</c:v>
                </c:pt>
                <c:pt idx="745">
                  <c:v>44924</c:v>
                </c:pt>
                <c:pt idx="746">
                  <c:v>44925</c:v>
                </c:pt>
                <c:pt idx="747">
                  <c:v>44928</c:v>
                </c:pt>
                <c:pt idx="748">
                  <c:v>44929</c:v>
                </c:pt>
                <c:pt idx="749">
                  <c:v>44930</c:v>
                </c:pt>
                <c:pt idx="750">
                  <c:v>44931</c:v>
                </c:pt>
                <c:pt idx="751">
                  <c:v>44932</c:v>
                </c:pt>
                <c:pt idx="752">
                  <c:v>44935</c:v>
                </c:pt>
                <c:pt idx="753">
                  <c:v>44936</c:v>
                </c:pt>
                <c:pt idx="754">
                  <c:v>44937</c:v>
                </c:pt>
                <c:pt idx="755">
                  <c:v>44938</c:v>
                </c:pt>
                <c:pt idx="756">
                  <c:v>44939</c:v>
                </c:pt>
                <c:pt idx="757">
                  <c:v>44942</c:v>
                </c:pt>
                <c:pt idx="758">
                  <c:v>44943</c:v>
                </c:pt>
                <c:pt idx="759">
                  <c:v>44944</c:v>
                </c:pt>
                <c:pt idx="760">
                  <c:v>44945</c:v>
                </c:pt>
                <c:pt idx="761">
                  <c:v>44946</c:v>
                </c:pt>
                <c:pt idx="762">
                  <c:v>44949</c:v>
                </c:pt>
                <c:pt idx="763">
                  <c:v>44950</c:v>
                </c:pt>
                <c:pt idx="764">
                  <c:v>44951</c:v>
                </c:pt>
                <c:pt idx="765">
                  <c:v>44953</c:v>
                </c:pt>
                <c:pt idx="766">
                  <c:v>44956</c:v>
                </c:pt>
                <c:pt idx="767">
                  <c:v>44957</c:v>
                </c:pt>
                <c:pt idx="768">
                  <c:v>44958</c:v>
                </c:pt>
                <c:pt idx="769">
                  <c:v>44959</c:v>
                </c:pt>
                <c:pt idx="770">
                  <c:v>44960</c:v>
                </c:pt>
                <c:pt idx="771">
                  <c:v>44963</c:v>
                </c:pt>
                <c:pt idx="772">
                  <c:v>44964</c:v>
                </c:pt>
                <c:pt idx="773">
                  <c:v>44965</c:v>
                </c:pt>
                <c:pt idx="774">
                  <c:v>44966</c:v>
                </c:pt>
                <c:pt idx="775">
                  <c:v>44967</c:v>
                </c:pt>
                <c:pt idx="776">
                  <c:v>44970</c:v>
                </c:pt>
                <c:pt idx="777">
                  <c:v>44971</c:v>
                </c:pt>
                <c:pt idx="778">
                  <c:v>44972</c:v>
                </c:pt>
                <c:pt idx="779">
                  <c:v>44973</c:v>
                </c:pt>
                <c:pt idx="780">
                  <c:v>44974</c:v>
                </c:pt>
                <c:pt idx="781">
                  <c:v>44977</c:v>
                </c:pt>
                <c:pt idx="782">
                  <c:v>44978</c:v>
                </c:pt>
                <c:pt idx="783">
                  <c:v>44979</c:v>
                </c:pt>
                <c:pt idx="784">
                  <c:v>44980</c:v>
                </c:pt>
                <c:pt idx="785">
                  <c:v>44981</c:v>
                </c:pt>
                <c:pt idx="786">
                  <c:v>44984</c:v>
                </c:pt>
                <c:pt idx="787">
                  <c:v>44985</c:v>
                </c:pt>
                <c:pt idx="788">
                  <c:v>44986</c:v>
                </c:pt>
                <c:pt idx="789">
                  <c:v>44987</c:v>
                </c:pt>
                <c:pt idx="790">
                  <c:v>44988</c:v>
                </c:pt>
                <c:pt idx="791">
                  <c:v>44991</c:v>
                </c:pt>
                <c:pt idx="792">
                  <c:v>44993</c:v>
                </c:pt>
                <c:pt idx="793">
                  <c:v>44994</c:v>
                </c:pt>
                <c:pt idx="794">
                  <c:v>44995</c:v>
                </c:pt>
                <c:pt idx="795">
                  <c:v>44998</c:v>
                </c:pt>
                <c:pt idx="796">
                  <c:v>44999</c:v>
                </c:pt>
                <c:pt idx="797">
                  <c:v>45000</c:v>
                </c:pt>
                <c:pt idx="798">
                  <c:v>45001</c:v>
                </c:pt>
                <c:pt idx="799">
                  <c:v>45002</c:v>
                </c:pt>
                <c:pt idx="800">
                  <c:v>45005</c:v>
                </c:pt>
                <c:pt idx="801">
                  <c:v>45006</c:v>
                </c:pt>
                <c:pt idx="802">
                  <c:v>45007</c:v>
                </c:pt>
                <c:pt idx="803">
                  <c:v>45008</c:v>
                </c:pt>
                <c:pt idx="804">
                  <c:v>45009</c:v>
                </c:pt>
                <c:pt idx="805">
                  <c:v>45012</c:v>
                </c:pt>
                <c:pt idx="806">
                  <c:v>45013</c:v>
                </c:pt>
                <c:pt idx="807">
                  <c:v>45014</c:v>
                </c:pt>
                <c:pt idx="808">
                  <c:v>45016</c:v>
                </c:pt>
                <c:pt idx="809">
                  <c:v>45019</c:v>
                </c:pt>
                <c:pt idx="810">
                  <c:v>45021</c:v>
                </c:pt>
                <c:pt idx="811">
                  <c:v>45022</c:v>
                </c:pt>
                <c:pt idx="812">
                  <c:v>45026</c:v>
                </c:pt>
                <c:pt idx="813">
                  <c:v>45027</c:v>
                </c:pt>
                <c:pt idx="814">
                  <c:v>45028</c:v>
                </c:pt>
                <c:pt idx="815">
                  <c:v>45029</c:v>
                </c:pt>
                <c:pt idx="816">
                  <c:v>45033</c:v>
                </c:pt>
                <c:pt idx="817">
                  <c:v>45034</c:v>
                </c:pt>
                <c:pt idx="818">
                  <c:v>45035</c:v>
                </c:pt>
                <c:pt idx="819">
                  <c:v>45036</c:v>
                </c:pt>
                <c:pt idx="820">
                  <c:v>45037</c:v>
                </c:pt>
                <c:pt idx="821">
                  <c:v>45040</c:v>
                </c:pt>
                <c:pt idx="822">
                  <c:v>45041</c:v>
                </c:pt>
                <c:pt idx="823">
                  <c:v>45042</c:v>
                </c:pt>
                <c:pt idx="824">
                  <c:v>45043</c:v>
                </c:pt>
                <c:pt idx="825">
                  <c:v>45044</c:v>
                </c:pt>
                <c:pt idx="826">
                  <c:v>45048</c:v>
                </c:pt>
                <c:pt idx="827">
                  <c:v>45049</c:v>
                </c:pt>
                <c:pt idx="828">
                  <c:v>45050</c:v>
                </c:pt>
                <c:pt idx="829">
                  <c:v>45051</c:v>
                </c:pt>
                <c:pt idx="830">
                  <c:v>45054</c:v>
                </c:pt>
                <c:pt idx="831">
                  <c:v>45055</c:v>
                </c:pt>
                <c:pt idx="832">
                  <c:v>45056</c:v>
                </c:pt>
                <c:pt idx="833">
                  <c:v>45057</c:v>
                </c:pt>
                <c:pt idx="834">
                  <c:v>45058</c:v>
                </c:pt>
                <c:pt idx="835">
                  <c:v>45061</c:v>
                </c:pt>
                <c:pt idx="836">
                  <c:v>45062</c:v>
                </c:pt>
                <c:pt idx="837">
                  <c:v>45063</c:v>
                </c:pt>
                <c:pt idx="838">
                  <c:v>45064</c:v>
                </c:pt>
                <c:pt idx="839">
                  <c:v>45065</c:v>
                </c:pt>
                <c:pt idx="840">
                  <c:v>45068</c:v>
                </c:pt>
                <c:pt idx="841">
                  <c:v>45069</c:v>
                </c:pt>
                <c:pt idx="842">
                  <c:v>45070</c:v>
                </c:pt>
                <c:pt idx="843">
                  <c:v>45071</c:v>
                </c:pt>
                <c:pt idx="844">
                  <c:v>45072</c:v>
                </c:pt>
                <c:pt idx="845">
                  <c:v>45075</c:v>
                </c:pt>
                <c:pt idx="846">
                  <c:v>45076</c:v>
                </c:pt>
                <c:pt idx="847">
                  <c:v>45077</c:v>
                </c:pt>
                <c:pt idx="848">
                  <c:v>45078</c:v>
                </c:pt>
                <c:pt idx="849">
                  <c:v>45079</c:v>
                </c:pt>
                <c:pt idx="850">
                  <c:v>45082</c:v>
                </c:pt>
                <c:pt idx="851">
                  <c:v>45083</c:v>
                </c:pt>
                <c:pt idx="852">
                  <c:v>45084</c:v>
                </c:pt>
                <c:pt idx="853">
                  <c:v>45085</c:v>
                </c:pt>
                <c:pt idx="854">
                  <c:v>45086</c:v>
                </c:pt>
                <c:pt idx="855">
                  <c:v>45089</c:v>
                </c:pt>
                <c:pt idx="856">
                  <c:v>45090</c:v>
                </c:pt>
                <c:pt idx="857">
                  <c:v>45091</c:v>
                </c:pt>
                <c:pt idx="858">
                  <c:v>45092</c:v>
                </c:pt>
                <c:pt idx="859">
                  <c:v>45093</c:v>
                </c:pt>
                <c:pt idx="860">
                  <c:v>45096</c:v>
                </c:pt>
                <c:pt idx="861">
                  <c:v>45097</c:v>
                </c:pt>
                <c:pt idx="862">
                  <c:v>45098</c:v>
                </c:pt>
                <c:pt idx="863">
                  <c:v>45099</c:v>
                </c:pt>
                <c:pt idx="864">
                  <c:v>45100</c:v>
                </c:pt>
                <c:pt idx="865">
                  <c:v>45103</c:v>
                </c:pt>
                <c:pt idx="866">
                  <c:v>45104</c:v>
                </c:pt>
                <c:pt idx="867">
                  <c:v>45105</c:v>
                </c:pt>
                <c:pt idx="868">
                  <c:v>45107</c:v>
                </c:pt>
                <c:pt idx="869">
                  <c:v>45110</c:v>
                </c:pt>
                <c:pt idx="870">
                  <c:v>45111</c:v>
                </c:pt>
                <c:pt idx="871">
                  <c:v>45112</c:v>
                </c:pt>
                <c:pt idx="872">
                  <c:v>45113</c:v>
                </c:pt>
                <c:pt idx="873">
                  <c:v>45114</c:v>
                </c:pt>
                <c:pt idx="874">
                  <c:v>45117</c:v>
                </c:pt>
                <c:pt idx="875">
                  <c:v>45118</c:v>
                </c:pt>
                <c:pt idx="876">
                  <c:v>45119</c:v>
                </c:pt>
                <c:pt idx="877">
                  <c:v>45120</c:v>
                </c:pt>
                <c:pt idx="878">
                  <c:v>45121</c:v>
                </c:pt>
                <c:pt idx="879">
                  <c:v>45124</c:v>
                </c:pt>
                <c:pt idx="880">
                  <c:v>45125</c:v>
                </c:pt>
                <c:pt idx="881">
                  <c:v>45126</c:v>
                </c:pt>
                <c:pt idx="882">
                  <c:v>45127</c:v>
                </c:pt>
                <c:pt idx="883">
                  <c:v>45128</c:v>
                </c:pt>
                <c:pt idx="884">
                  <c:v>45131</c:v>
                </c:pt>
                <c:pt idx="885">
                  <c:v>45132</c:v>
                </c:pt>
                <c:pt idx="886">
                  <c:v>45133</c:v>
                </c:pt>
                <c:pt idx="887">
                  <c:v>45134</c:v>
                </c:pt>
                <c:pt idx="888">
                  <c:v>45135</c:v>
                </c:pt>
                <c:pt idx="889">
                  <c:v>45138</c:v>
                </c:pt>
                <c:pt idx="890">
                  <c:v>45139</c:v>
                </c:pt>
                <c:pt idx="891">
                  <c:v>45140</c:v>
                </c:pt>
                <c:pt idx="892">
                  <c:v>45141</c:v>
                </c:pt>
                <c:pt idx="893">
                  <c:v>45142</c:v>
                </c:pt>
                <c:pt idx="894">
                  <c:v>45145</c:v>
                </c:pt>
                <c:pt idx="895">
                  <c:v>45146</c:v>
                </c:pt>
                <c:pt idx="896">
                  <c:v>45147</c:v>
                </c:pt>
                <c:pt idx="897">
                  <c:v>45148</c:v>
                </c:pt>
                <c:pt idx="898">
                  <c:v>45149</c:v>
                </c:pt>
                <c:pt idx="899">
                  <c:v>45152</c:v>
                </c:pt>
                <c:pt idx="900">
                  <c:v>45154</c:v>
                </c:pt>
                <c:pt idx="901">
                  <c:v>45155</c:v>
                </c:pt>
                <c:pt idx="902">
                  <c:v>45156</c:v>
                </c:pt>
                <c:pt idx="903">
                  <c:v>45159</c:v>
                </c:pt>
                <c:pt idx="904">
                  <c:v>45160</c:v>
                </c:pt>
                <c:pt idx="905">
                  <c:v>45161</c:v>
                </c:pt>
                <c:pt idx="906">
                  <c:v>45162</c:v>
                </c:pt>
                <c:pt idx="907">
                  <c:v>45163</c:v>
                </c:pt>
                <c:pt idx="908">
                  <c:v>45166</c:v>
                </c:pt>
                <c:pt idx="909">
                  <c:v>45167</c:v>
                </c:pt>
                <c:pt idx="910">
                  <c:v>45168</c:v>
                </c:pt>
                <c:pt idx="911">
                  <c:v>45169</c:v>
                </c:pt>
                <c:pt idx="912">
                  <c:v>45170</c:v>
                </c:pt>
                <c:pt idx="913">
                  <c:v>45173</c:v>
                </c:pt>
                <c:pt idx="914">
                  <c:v>45174</c:v>
                </c:pt>
                <c:pt idx="915">
                  <c:v>45175</c:v>
                </c:pt>
                <c:pt idx="916">
                  <c:v>45176</c:v>
                </c:pt>
                <c:pt idx="917">
                  <c:v>45177</c:v>
                </c:pt>
                <c:pt idx="918">
                  <c:v>45180</c:v>
                </c:pt>
                <c:pt idx="919">
                  <c:v>45181</c:v>
                </c:pt>
                <c:pt idx="920">
                  <c:v>45182</c:v>
                </c:pt>
                <c:pt idx="921">
                  <c:v>45183</c:v>
                </c:pt>
                <c:pt idx="922">
                  <c:v>45184</c:v>
                </c:pt>
                <c:pt idx="923">
                  <c:v>45187</c:v>
                </c:pt>
                <c:pt idx="924">
                  <c:v>45189</c:v>
                </c:pt>
                <c:pt idx="925">
                  <c:v>45190</c:v>
                </c:pt>
                <c:pt idx="926">
                  <c:v>45191</c:v>
                </c:pt>
                <c:pt idx="927">
                  <c:v>45194</c:v>
                </c:pt>
                <c:pt idx="928">
                  <c:v>45195</c:v>
                </c:pt>
                <c:pt idx="929">
                  <c:v>45196</c:v>
                </c:pt>
                <c:pt idx="930">
                  <c:v>45197</c:v>
                </c:pt>
                <c:pt idx="931">
                  <c:v>45198</c:v>
                </c:pt>
                <c:pt idx="932">
                  <c:v>45202</c:v>
                </c:pt>
                <c:pt idx="933">
                  <c:v>45203</c:v>
                </c:pt>
                <c:pt idx="934">
                  <c:v>45204</c:v>
                </c:pt>
                <c:pt idx="935">
                  <c:v>45205</c:v>
                </c:pt>
                <c:pt idx="936">
                  <c:v>45208</c:v>
                </c:pt>
                <c:pt idx="937">
                  <c:v>45209</c:v>
                </c:pt>
                <c:pt idx="938">
                  <c:v>45210</c:v>
                </c:pt>
                <c:pt idx="939">
                  <c:v>45211</c:v>
                </c:pt>
                <c:pt idx="940">
                  <c:v>45212</c:v>
                </c:pt>
                <c:pt idx="941">
                  <c:v>45215</c:v>
                </c:pt>
                <c:pt idx="942">
                  <c:v>45216</c:v>
                </c:pt>
                <c:pt idx="943">
                  <c:v>45217</c:v>
                </c:pt>
                <c:pt idx="944">
                  <c:v>45218</c:v>
                </c:pt>
                <c:pt idx="945">
                  <c:v>45219</c:v>
                </c:pt>
                <c:pt idx="946">
                  <c:v>45222</c:v>
                </c:pt>
                <c:pt idx="947">
                  <c:v>45224</c:v>
                </c:pt>
                <c:pt idx="948">
                  <c:v>45225</c:v>
                </c:pt>
                <c:pt idx="949">
                  <c:v>45226</c:v>
                </c:pt>
                <c:pt idx="950">
                  <c:v>45229</c:v>
                </c:pt>
                <c:pt idx="951">
                  <c:v>45230</c:v>
                </c:pt>
                <c:pt idx="952">
                  <c:v>45231</c:v>
                </c:pt>
                <c:pt idx="953">
                  <c:v>45232</c:v>
                </c:pt>
                <c:pt idx="954">
                  <c:v>45233</c:v>
                </c:pt>
                <c:pt idx="955">
                  <c:v>45236</c:v>
                </c:pt>
                <c:pt idx="956">
                  <c:v>45237</c:v>
                </c:pt>
                <c:pt idx="957">
                  <c:v>45238</c:v>
                </c:pt>
                <c:pt idx="958">
                  <c:v>45239</c:v>
                </c:pt>
                <c:pt idx="959">
                  <c:v>45240</c:v>
                </c:pt>
                <c:pt idx="960">
                  <c:v>45242</c:v>
                </c:pt>
                <c:pt idx="961">
                  <c:v>45243</c:v>
                </c:pt>
                <c:pt idx="962">
                  <c:v>45245</c:v>
                </c:pt>
                <c:pt idx="963">
                  <c:v>45246</c:v>
                </c:pt>
                <c:pt idx="964">
                  <c:v>45247</c:v>
                </c:pt>
                <c:pt idx="965">
                  <c:v>45250</c:v>
                </c:pt>
                <c:pt idx="966">
                  <c:v>45251</c:v>
                </c:pt>
                <c:pt idx="967">
                  <c:v>45252</c:v>
                </c:pt>
                <c:pt idx="968">
                  <c:v>45253</c:v>
                </c:pt>
                <c:pt idx="969">
                  <c:v>45254</c:v>
                </c:pt>
                <c:pt idx="970">
                  <c:v>45258</c:v>
                </c:pt>
                <c:pt idx="971">
                  <c:v>45259</c:v>
                </c:pt>
                <c:pt idx="972">
                  <c:v>45260</c:v>
                </c:pt>
                <c:pt idx="973">
                  <c:v>45261</c:v>
                </c:pt>
                <c:pt idx="974">
                  <c:v>45264</c:v>
                </c:pt>
                <c:pt idx="975">
                  <c:v>45265</c:v>
                </c:pt>
                <c:pt idx="976">
                  <c:v>45266</c:v>
                </c:pt>
                <c:pt idx="977">
                  <c:v>45267</c:v>
                </c:pt>
                <c:pt idx="978">
                  <c:v>45268</c:v>
                </c:pt>
                <c:pt idx="979">
                  <c:v>45271</c:v>
                </c:pt>
                <c:pt idx="980">
                  <c:v>45272</c:v>
                </c:pt>
                <c:pt idx="981">
                  <c:v>45273</c:v>
                </c:pt>
                <c:pt idx="982">
                  <c:v>45274</c:v>
                </c:pt>
                <c:pt idx="983">
                  <c:v>45275</c:v>
                </c:pt>
                <c:pt idx="984">
                  <c:v>45278</c:v>
                </c:pt>
                <c:pt idx="985">
                  <c:v>45279</c:v>
                </c:pt>
                <c:pt idx="986">
                  <c:v>45280</c:v>
                </c:pt>
                <c:pt idx="987">
                  <c:v>45281</c:v>
                </c:pt>
                <c:pt idx="988">
                  <c:v>45282</c:v>
                </c:pt>
                <c:pt idx="989">
                  <c:v>45286</c:v>
                </c:pt>
                <c:pt idx="990">
                  <c:v>45287</c:v>
                </c:pt>
                <c:pt idx="991">
                  <c:v>45288</c:v>
                </c:pt>
                <c:pt idx="992">
                  <c:v>45289</c:v>
                </c:pt>
                <c:pt idx="993">
                  <c:v>45292</c:v>
                </c:pt>
                <c:pt idx="994">
                  <c:v>45293</c:v>
                </c:pt>
                <c:pt idx="995">
                  <c:v>45294</c:v>
                </c:pt>
                <c:pt idx="996">
                  <c:v>45295</c:v>
                </c:pt>
                <c:pt idx="997">
                  <c:v>45296</c:v>
                </c:pt>
                <c:pt idx="998">
                  <c:v>45299</c:v>
                </c:pt>
                <c:pt idx="999">
                  <c:v>45300</c:v>
                </c:pt>
                <c:pt idx="1000">
                  <c:v>45301</c:v>
                </c:pt>
                <c:pt idx="1001">
                  <c:v>45302</c:v>
                </c:pt>
                <c:pt idx="1002">
                  <c:v>45303</c:v>
                </c:pt>
                <c:pt idx="1003">
                  <c:v>45306</c:v>
                </c:pt>
                <c:pt idx="1004">
                  <c:v>45307</c:v>
                </c:pt>
                <c:pt idx="1005">
                  <c:v>45308</c:v>
                </c:pt>
                <c:pt idx="1006">
                  <c:v>45309</c:v>
                </c:pt>
                <c:pt idx="1007">
                  <c:v>45310</c:v>
                </c:pt>
                <c:pt idx="1008">
                  <c:v>45311</c:v>
                </c:pt>
                <c:pt idx="1009">
                  <c:v>45314</c:v>
                </c:pt>
                <c:pt idx="1010">
                  <c:v>45315</c:v>
                </c:pt>
                <c:pt idx="1011">
                  <c:v>45316</c:v>
                </c:pt>
                <c:pt idx="1012">
                  <c:v>45320</c:v>
                </c:pt>
                <c:pt idx="1013">
                  <c:v>45321</c:v>
                </c:pt>
                <c:pt idx="1014">
                  <c:v>45322</c:v>
                </c:pt>
                <c:pt idx="1015">
                  <c:v>45323</c:v>
                </c:pt>
                <c:pt idx="1016">
                  <c:v>45324</c:v>
                </c:pt>
                <c:pt idx="1017">
                  <c:v>45327</c:v>
                </c:pt>
                <c:pt idx="1018">
                  <c:v>45328</c:v>
                </c:pt>
                <c:pt idx="1019">
                  <c:v>45329</c:v>
                </c:pt>
                <c:pt idx="1020">
                  <c:v>45330</c:v>
                </c:pt>
                <c:pt idx="1021">
                  <c:v>45331</c:v>
                </c:pt>
                <c:pt idx="1022">
                  <c:v>45334</c:v>
                </c:pt>
                <c:pt idx="1023">
                  <c:v>45335</c:v>
                </c:pt>
                <c:pt idx="1024">
                  <c:v>45336</c:v>
                </c:pt>
                <c:pt idx="1025">
                  <c:v>45337</c:v>
                </c:pt>
                <c:pt idx="1026">
                  <c:v>45338</c:v>
                </c:pt>
                <c:pt idx="1027">
                  <c:v>45341</c:v>
                </c:pt>
                <c:pt idx="1028">
                  <c:v>45342</c:v>
                </c:pt>
                <c:pt idx="1029">
                  <c:v>45343</c:v>
                </c:pt>
                <c:pt idx="1030">
                  <c:v>45344</c:v>
                </c:pt>
                <c:pt idx="1031">
                  <c:v>45345</c:v>
                </c:pt>
                <c:pt idx="1032">
                  <c:v>45348</c:v>
                </c:pt>
                <c:pt idx="1033">
                  <c:v>45349</c:v>
                </c:pt>
                <c:pt idx="1034">
                  <c:v>45350</c:v>
                </c:pt>
                <c:pt idx="1035">
                  <c:v>45351</c:v>
                </c:pt>
                <c:pt idx="1036">
                  <c:v>45352</c:v>
                </c:pt>
                <c:pt idx="1037">
                  <c:v>45353</c:v>
                </c:pt>
                <c:pt idx="1038">
                  <c:v>45355</c:v>
                </c:pt>
                <c:pt idx="1039">
                  <c:v>45356</c:v>
                </c:pt>
                <c:pt idx="1040">
                  <c:v>45357</c:v>
                </c:pt>
                <c:pt idx="1041">
                  <c:v>45358</c:v>
                </c:pt>
                <c:pt idx="1042">
                  <c:v>45362</c:v>
                </c:pt>
                <c:pt idx="1043">
                  <c:v>45363</c:v>
                </c:pt>
                <c:pt idx="1044">
                  <c:v>45364</c:v>
                </c:pt>
                <c:pt idx="1045">
                  <c:v>45365</c:v>
                </c:pt>
                <c:pt idx="1046">
                  <c:v>45366</c:v>
                </c:pt>
                <c:pt idx="1047">
                  <c:v>45369</c:v>
                </c:pt>
                <c:pt idx="1048">
                  <c:v>45370</c:v>
                </c:pt>
                <c:pt idx="1049">
                  <c:v>45371</c:v>
                </c:pt>
                <c:pt idx="1050">
                  <c:v>45372</c:v>
                </c:pt>
                <c:pt idx="1051">
                  <c:v>45373</c:v>
                </c:pt>
                <c:pt idx="1052">
                  <c:v>45377</c:v>
                </c:pt>
                <c:pt idx="1053">
                  <c:v>45378</c:v>
                </c:pt>
                <c:pt idx="1054">
                  <c:v>45379</c:v>
                </c:pt>
                <c:pt idx="1055">
                  <c:v>45383</c:v>
                </c:pt>
                <c:pt idx="1056">
                  <c:v>45384</c:v>
                </c:pt>
                <c:pt idx="1057">
                  <c:v>45385</c:v>
                </c:pt>
                <c:pt idx="1058">
                  <c:v>45386</c:v>
                </c:pt>
                <c:pt idx="1059">
                  <c:v>45387</c:v>
                </c:pt>
                <c:pt idx="1060">
                  <c:v>45390</c:v>
                </c:pt>
                <c:pt idx="1061">
                  <c:v>45391</c:v>
                </c:pt>
                <c:pt idx="1062">
                  <c:v>45392</c:v>
                </c:pt>
                <c:pt idx="1063">
                  <c:v>45394</c:v>
                </c:pt>
                <c:pt idx="1064">
                  <c:v>45397</c:v>
                </c:pt>
                <c:pt idx="1065">
                  <c:v>45398</c:v>
                </c:pt>
                <c:pt idx="1066">
                  <c:v>45400</c:v>
                </c:pt>
                <c:pt idx="1067">
                  <c:v>45401</c:v>
                </c:pt>
                <c:pt idx="1068">
                  <c:v>45404</c:v>
                </c:pt>
                <c:pt idx="1069">
                  <c:v>45405</c:v>
                </c:pt>
                <c:pt idx="1070">
                  <c:v>45406</c:v>
                </c:pt>
                <c:pt idx="1071">
                  <c:v>45407</c:v>
                </c:pt>
                <c:pt idx="1072">
                  <c:v>45408</c:v>
                </c:pt>
                <c:pt idx="1073">
                  <c:v>45411</c:v>
                </c:pt>
                <c:pt idx="1074">
                  <c:v>45412</c:v>
                </c:pt>
                <c:pt idx="1075">
                  <c:v>45414</c:v>
                </c:pt>
                <c:pt idx="1076">
                  <c:v>45415</c:v>
                </c:pt>
                <c:pt idx="1077">
                  <c:v>45418</c:v>
                </c:pt>
                <c:pt idx="1078">
                  <c:v>45419</c:v>
                </c:pt>
                <c:pt idx="1079">
                  <c:v>45420</c:v>
                </c:pt>
                <c:pt idx="1080">
                  <c:v>45421</c:v>
                </c:pt>
                <c:pt idx="1081">
                  <c:v>45422</c:v>
                </c:pt>
                <c:pt idx="1082">
                  <c:v>45425</c:v>
                </c:pt>
                <c:pt idx="1083">
                  <c:v>45426</c:v>
                </c:pt>
                <c:pt idx="1084">
                  <c:v>45427</c:v>
                </c:pt>
                <c:pt idx="1085">
                  <c:v>45428</c:v>
                </c:pt>
                <c:pt idx="1086">
                  <c:v>45429</c:v>
                </c:pt>
                <c:pt idx="1087">
                  <c:v>45430</c:v>
                </c:pt>
                <c:pt idx="1088">
                  <c:v>45433</c:v>
                </c:pt>
                <c:pt idx="1089">
                  <c:v>45434</c:v>
                </c:pt>
                <c:pt idx="1090">
                  <c:v>45435</c:v>
                </c:pt>
                <c:pt idx="1091">
                  <c:v>45436</c:v>
                </c:pt>
                <c:pt idx="1092">
                  <c:v>45439</c:v>
                </c:pt>
                <c:pt idx="1093">
                  <c:v>45440</c:v>
                </c:pt>
                <c:pt idx="1094">
                  <c:v>45441</c:v>
                </c:pt>
                <c:pt idx="1095">
                  <c:v>45442</c:v>
                </c:pt>
                <c:pt idx="1096">
                  <c:v>45443</c:v>
                </c:pt>
                <c:pt idx="1097">
                  <c:v>45446</c:v>
                </c:pt>
                <c:pt idx="1098">
                  <c:v>45447</c:v>
                </c:pt>
                <c:pt idx="1099">
                  <c:v>45448</c:v>
                </c:pt>
                <c:pt idx="1100">
                  <c:v>45449</c:v>
                </c:pt>
                <c:pt idx="1101">
                  <c:v>45450</c:v>
                </c:pt>
                <c:pt idx="1102">
                  <c:v>45453</c:v>
                </c:pt>
                <c:pt idx="1103">
                  <c:v>45454</c:v>
                </c:pt>
                <c:pt idx="1104">
                  <c:v>45455</c:v>
                </c:pt>
                <c:pt idx="1105">
                  <c:v>45456</c:v>
                </c:pt>
                <c:pt idx="1106">
                  <c:v>45457</c:v>
                </c:pt>
                <c:pt idx="1107">
                  <c:v>45461</c:v>
                </c:pt>
                <c:pt idx="1108">
                  <c:v>45462</c:v>
                </c:pt>
                <c:pt idx="1109">
                  <c:v>45463</c:v>
                </c:pt>
                <c:pt idx="1110">
                  <c:v>45464</c:v>
                </c:pt>
                <c:pt idx="1111">
                  <c:v>45467</c:v>
                </c:pt>
                <c:pt idx="1112">
                  <c:v>45468</c:v>
                </c:pt>
                <c:pt idx="1113">
                  <c:v>45469</c:v>
                </c:pt>
                <c:pt idx="1114">
                  <c:v>45470</c:v>
                </c:pt>
                <c:pt idx="1115">
                  <c:v>45471</c:v>
                </c:pt>
                <c:pt idx="1116">
                  <c:v>45474</c:v>
                </c:pt>
                <c:pt idx="1117">
                  <c:v>45475</c:v>
                </c:pt>
                <c:pt idx="1118">
                  <c:v>45476</c:v>
                </c:pt>
                <c:pt idx="1119">
                  <c:v>45477</c:v>
                </c:pt>
                <c:pt idx="1120">
                  <c:v>45478</c:v>
                </c:pt>
                <c:pt idx="1121">
                  <c:v>45481</c:v>
                </c:pt>
                <c:pt idx="1122">
                  <c:v>45482</c:v>
                </c:pt>
                <c:pt idx="1123">
                  <c:v>45483</c:v>
                </c:pt>
                <c:pt idx="1124">
                  <c:v>45484</c:v>
                </c:pt>
                <c:pt idx="1125">
                  <c:v>45485</c:v>
                </c:pt>
                <c:pt idx="1126">
                  <c:v>45488</c:v>
                </c:pt>
                <c:pt idx="1127">
                  <c:v>45489</c:v>
                </c:pt>
                <c:pt idx="1128">
                  <c:v>45491</c:v>
                </c:pt>
                <c:pt idx="1129">
                  <c:v>45492</c:v>
                </c:pt>
                <c:pt idx="1130">
                  <c:v>45495</c:v>
                </c:pt>
                <c:pt idx="1131">
                  <c:v>45496</c:v>
                </c:pt>
                <c:pt idx="1132">
                  <c:v>45497</c:v>
                </c:pt>
                <c:pt idx="1133">
                  <c:v>45498</c:v>
                </c:pt>
                <c:pt idx="1134">
                  <c:v>45499</c:v>
                </c:pt>
                <c:pt idx="1135">
                  <c:v>45502</c:v>
                </c:pt>
                <c:pt idx="1136">
                  <c:v>45503</c:v>
                </c:pt>
                <c:pt idx="1137">
                  <c:v>45504</c:v>
                </c:pt>
                <c:pt idx="1138">
                  <c:v>45505</c:v>
                </c:pt>
                <c:pt idx="1139">
                  <c:v>45506</c:v>
                </c:pt>
                <c:pt idx="1140">
                  <c:v>45509</c:v>
                </c:pt>
                <c:pt idx="1141">
                  <c:v>45510</c:v>
                </c:pt>
                <c:pt idx="1142">
                  <c:v>45511</c:v>
                </c:pt>
                <c:pt idx="1143">
                  <c:v>45512</c:v>
                </c:pt>
                <c:pt idx="1144">
                  <c:v>45513</c:v>
                </c:pt>
                <c:pt idx="1145">
                  <c:v>45516</c:v>
                </c:pt>
                <c:pt idx="1146">
                  <c:v>45517</c:v>
                </c:pt>
                <c:pt idx="1147">
                  <c:v>45518</c:v>
                </c:pt>
                <c:pt idx="1148">
                  <c:v>45520</c:v>
                </c:pt>
                <c:pt idx="1149">
                  <c:v>45523</c:v>
                </c:pt>
                <c:pt idx="1150">
                  <c:v>45524</c:v>
                </c:pt>
                <c:pt idx="1151">
                  <c:v>45525</c:v>
                </c:pt>
                <c:pt idx="1152">
                  <c:v>45526</c:v>
                </c:pt>
                <c:pt idx="1153">
                  <c:v>45527</c:v>
                </c:pt>
                <c:pt idx="1154">
                  <c:v>45530</c:v>
                </c:pt>
                <c:pt idx="1155">
                  <c:v>45531</c:v>
                </c:pt>
                <c:pt idx="1156">
                  <c:v>45532</c:v>
                </c:pt>
                <c:pt idx="1157">
                  <c:v>45533</c:v>
                </c:pt>
                <c:pt idx="1158">
                  <c:v>45534</c:v>
                </c:pt>
                <c:pt idx="1159">
                  <c:v>45537</c:v>
                </c:pt>
                <c:pt idx="1160">
                  <c:v>45538</c:v>
                </c:pt>
                <c:pt idx="1161">
                  <c:v>45539</c:v>
                </c:pt>
                <c:pt idx="1162">
                  <c:v>45540</c:v>
                </c:pt>
                <c:pt idx="1163">
                  <c:v>45541</c:v>
                </c:pt>
                <c:pt idx="1164">
                  <c:v>45544</c:v>
                </c:pt>
                <c:pt idx="1165">
                  <c:v>45545</c:v>
                </c:pt>
                <c:pt idx="1166">
                  <c:v>45546</c:v>
                </c:pt>
                <c:pt idx="1167">
                  <c:v>45547</c:v>
                </c:pt>
                <c:pt idx="1168">
                  <c:v>45548</c:v>
                </c:pt>
                <c:pt idx="1169">
                  <c:v>45551</c:v>
                </c:pt>
                <c:pt idx="1170">
                  <c:v>45552</c:v>
                </c:pt>
                <c:pt idx="1171">
                  <c:v>45553</c:v>
                </c:pt>
                <c:pt idx="1172">
                  <c:v>45554</c:v>
                </c:pt>
                <c:pt idx="1173">
                  <c:v>45555</c:v>
                </c:pt>
                <c:pt idx="1174">
                  <c:v>45558</c:v>
                </c:pt>
                <c:pt idx="1175">
                  <c:v>45559</c:v>
                </c:pt>
                <c:pt idx="1176">
                  <c:v>45560</c:v>
                </c:pt>
                <c:pt idx="1177">
                  <c:v>45561</c:v>
                </c:pt>
                <c:pt idx="1178">
                  <c:v>45562</c:v>
                </c:pt>
                <c:pt idx="1179">
                  <c:v>45565</c:v>
                </c:pt>
                <c:pt idx="1180">
                  <c:v>45566</c:v>
                </c:pt>
                <c:pt idx="1181">
                  <c:v>45568</c:v>
                </c:pt>
                <c:pt idx="1182">
                  <c:v>45569</c:v>
                </c:pt>
                <c:pt idx="1183">
                  <c:v>45572</c:v>
                </c:pt>
                <c:pt idx="1184">
                  <c:v>45573</c:v>
                </c:pt>
                <c:pt idx="1185">
                  <c:v>45574</c:v>
                </c:pt>
                <c:pt idx="1186">
                  <c:v>45575</c:v>
                </c:pt>
                <c:pt idx="1187">
                  <c:v>45576</c:v>
                </c:pt>
                <c:pt idx="1188">
                  <c:v>45579</c:v>
                </c:pt>
                <c:pt idx="1189">
                  <c:v>45580</c:v>
                </c:pt>
                <c:pt idx="1190">
                  <c:v>45581</c:v>
                </c:pt>
                <c:pt idx="1191">
                  <c:v>45582</c:v>
                </c:pt>
                <c:pt idx="1192">
                  <c:v>45583</c:v>
                </c:pt>
                <c:pt idx="1193">
                  <c:v>45586</c:v>
                </c:pt>
                <c:pt idx="1194">
                  <c:v>45587</c:v>
                </c:pt>
                <c:pt idx="1195">
                  <c:v>45588</c:v>
                </c:pt>
                <c:pt idx="1196">
                  <c:v>45589</c:v>
                </c:pt>
                <c:pt idx="1197">
                  <c:v>45590</c:v>
                </c:pt>
                <c:pt idx="1198">
                  <c:v>45593</c:v>
                </c:pt>
                <c:pt idx="1199">
                  <c:v>45594</c:v>
                </c:pt>
                <c:pt idx="1200">
                  <c:v>45595</c:v>
                </c:pt>
                <c:pt idx="1201">
                  <c:v>45596</c:v>
                </c:pt>
                <c:pt idx="1202">
                  <c:v>45597</c:v>
                </c:pt>
                <c:pt idx="1203">
                  <c:v>45600</c:v>
                </c:pt>
                <c:pt idx="1204">
                  <c:v>45601</c:v>
                </c:pt>
                <c:pt idx="1205">
                  <c:v>45602</c:v>
                </c:pt>
                <c:pt idx="1206">
                  <c:v>45603</c:v>
                </c:pt>
                <c:pt idx="1207">
                  <c:v>45604</c:v>
                </c:pt>
                <c:pt idx="1208">
                  <c:v>45607</c:v>
                </c:pt>
                <c:pt idx="1209">
                  <c:v>45608</c:v>
                </c:pt>
                <c:pt idx="1210">
                  <c:v>45609</c:v>
                </c:pt>
                <c:pt idx="1211">
                  <c:v>45610</c:v>
                </c:pt>
                <c:pt idx="1212">
                  <c:v>45614</c:v>
                </c:pt>
                <c:pt idx="1213">
                  <c:v>45615</c:v>
                </c:pt>
                <c:pt idx="1214">
                  <c:v>45617</c:v>
                </c:pt>
                <c:pt idx="1215">
                  <c:v>45618</c:v>
                </c:pt>
                <c:pt idx="1216">
                  <c:v>45621</c:v>
                </c:pt>
                <c:pt idx="1217">
                  <c:v>45622</c:v>
                </c:pt>
                <c:pt idx="1218">
                  <c:v>45623</c:v>
                </c:pt>
                <c:pt idx="1219">
                  <c:v>45624</c:v>
                </c:pt>
                <c:pt idx="1220">
                  <c:v>45625</c:v>
                </c:pt>
                <c:pt idx="1221">
                  <c:v>45628</c:v>
                </c:pt>
                <c:pt idx="1222">
                  <c:v>45629</c:v>
                </c:pt>
                <c:pt idx="1223">
                  <c:v>45630</c:v>
                </c:pt>
                <c:pt idx="1224">
                  <c:v>45631</c:v>
                </c:pt>
                <c:pt idx="1225">
                  <c:v>45632</c:v>
                </c:pt>
                <c:pt idx="1226">
                  <c:v>45635</c:v>
                </c:pt>
                <c:pt idx="1227">
                  <c:v>45636</c:v>
                </c:pt>
                <c:pt idx="1228">
                  <c:v>45637</c:v>
                </c:pt>
                <c:pt idx="1229">
                  <c:v>45638</c:v>
                </c:pt>
                <c:pt idx="1230">
                  <c:v>45639</c:v>
                </c:pt>
                <c:pt idx="1231">
                  <c:v>45642</c:v>
                </c:pt>
                <c:pt idx="1232">
                  <c:v>45643</c:v>
                </c:pt>
                <c:pt idx="1233">
                  <c:v>45644</c:v>
                </c:pt>
                <c:pt idx="1234">
                  <c:v>45645</c:v>
                </c:pt>
                <c:pt idx="1235">
                  <c:v>45646</c:v>
                </c:pt>
                <c:pt idx="1236">
                  <c:v>45649</c:v>
                </c:pt>
                <c:pt idx="1237">
                  <c:v>45650</c:v>
                </c:pt>
                <c:pt idx="1238">
                  <c:v>45652</c:v>
                </c:pt>
                <c:pt idx="1239">
                  <c:v>45653</c:v>
                </c:pt>
                <c:pt idx="1240">
                  <c:v>45656</c:v>
                </c:pt>
                <c:pt idx="1241">
                  <c:v>45657</c:v>
                </c:pt>
                <c:pt idx="1242">
                  <c:v>45658</c:v>
                </c:pt>
                <c:pt idx="1243">
                  <c:v>45659</c:v>
                </c:pt>
                <c:pt idx="1244">
                  <c:v>45660</c:v>
                </c:pt>
                <c:pt idx="1245">
                  <c:v>45663</c:v>
                </c:pt>
                <c:pt idx="1246">
                  <c:v>45664</c:v>
                </c:pt>
                <c:pt idx="1247">
                  <c:v>45665</c:v>
                </c:pt>
                <c:pt idx="1248">
                  <c:v>45666</c:v>
                </c:pt>
                <c:pt idx="1249">
                  <c:v>45667</c:v>
                </c:pt>
                <c:pt idx="1250">
                  <c:v>45670</c:v>
                </c:pt>
                <c:pt idx="1251">
                  <c:v>45671</c:v>
                </c:pt>
                <c:pt idx="1252">
                  <c:v>45672</c:v>
                </c:pt>
                <c:pt idx="1253">
                  <c:v>45673</c:v>
                </c:pt>
                <c:pt idx="1254">
                  <c:v>45674</c:v>
                </c:pt>
                <c:pt idx="1255">
                  <c:v>45677</c:v>
                </c:pt>
                <c:pt idx="1256">
                  <c:v>45678</c:v>
                </c:pt>
                <c:pt idx="1257">
                  <c:v>45679</c:v>
                </c:pt>
                <c:pt idx="1258">
                  <c:v>45680</c:v>
                </c:pt>
                <c:pt idx="1259">
                  <c:v>45681</c:v>
                </c:pt>
                <c:pt idx="1260">
                  <c:v>45684</c:v>
                </c:pt>
                <c:pt idx="1261">
                  <c:v>45685</c:v>
                </c:pt>
                <c:pt idx="1262">
                  <c:v>45686</c:v>
                </c:pt>
                <c:pt idx="1263">
                  <c:v>45687</c:v>
                </c:pt>
                <c:pt idx="1264">
                  <c:v>45688</c:v>
                </c:pt>
                <c:pt idx="1265">
                  <c:v>45689</c:v>
                </c:pt>
                <c:pt idx="1266">
                  <c:v>45691</c:v>
                </c:pt>
                <c:pt idx="1267">
                  <c:v>45692</c:v>
                </c:pt>
                <c:pt idx="1268">
                  <c:v>45693</c:v>
                </c:pt>
                <c:pt idx="1269">
                  <c:v>45694</c:v>
                </c:pt>
                <c:pt idx="1270">
                  <c:v>45695</c:v>
                </c:pt>
                <c:pt idx="1271">
                  <c:v>45698</c:v>
                </c:pt>
                <c:pt idx="1272">
                  <c:v>45699</c:v>
                </c:pt>
                <c:pt idx="1273">
                  <c:v>45700</c:v>
                </c:pt>
                <c:pt idx="1274">
                  <c:v>45701</c:v>
                </c:pt>
                <c:pt idx="1275">
                  <c:v>45702</c:v>
                </c:pt>
                <c:pt idx="1276">
                  <c:v>45705</c:v>
                </c:pt>
                <c:pt idx="1277">
                  <c:v>45706</c:v>
                </c:pt>
                <c:pt idx="1278">
                  <c:v>45707</c:v>
                </c:pt>
                <c:pt idx="1279">
                  <c:v>45708</c:v>
                </c:pt>
                <c:pt idx="1280">
                  <c:v>45709</c:v>
                </c:pt>
                <c:pt idx="1281">
                  <c:v>45712</c:v>
                </c:pt>
                <c:pt idx="1282">
                  <c:v>45713</c:v>
                </c:pt>
                <c:pt idx="1283">
                  <c:v>45715</c:v>
                </c:pt>
                <c:pt idx="1284">
                  <c:v>45716</c:v>
                </c:pt>
                <c:pt idx="1285">
                  <c:v>45719</c:v>
                </c:pt>
                <c:pt idx="1286">
                  <c:v>45720</c:v>
                </c:pt>
                <c:pt idx="1287">
                  <c:v>45721</c:v>
                </c:pt>
                <c:pt idx="1288">
                  <c:v>45722</c:v>
                </c:pt>
                <c:pt idx="1289">
                  <c:v>45723</c:v>
                </c:pt>
                <c:pt idx="1290">
                  <c:v>45726</c:v>
                </c:pt>
                <c:pt idx="1291">
                  <c:v>45727</c:v>
                </c:pt>
                <c:pt idx="1292">
                  <c:v>45728</c:v>
                </c:pt>
                <c:pt idx="1293">
                  <c:v>45729</c:v>
                </c:pt>
                <c:pt idx="1294">
                  <c:v>45733</c:v>
                </c:pt>
                <c:pt idx="1295">
                  <c:v>45734</c:v>
                </c:pt>
                <c:pt idx="1296">
                  <c:v>45735</c:v>
                </c:pt>
                <c:pt idx="1297">
                  <c:v>45736</c:v>
                </c:pt>
                <c:pt idx="1298">
                  <c:v>45737</c:v>
                </c:pt>
                <c:pt idx="1299">
                  <c:v>45740</c:v>
                </c:pt>
                <c:pt idx="1300">
                  <c:v>45741</c:v>
                </c:pt>
                <c:pt idx="1301">
                  <c:v>45742</c:v>
                </c:pt>
                <c:pt idx="1302">
                  <c:v>45743</c:v>
                </c:pt>
                <c:pt idx="1303">
                  <c:v>45744</c:v>
                </c:pt>
                <c:pt idx="1304">
                  <c:v>45748</c:v>
                </c:pt>
                <c:pt idx="1305">
                  <c:v>45749</c:v>
                </c:pt>
                <c:pt idx="1306">
                  <c:v>45750</c:v>
                </c:pt>
                <c:pt idx="1307">
                  <c:v>45751</c:v>
                </c:pt>
                <c:pt idx="1308">
                  <c:v>45754</c:v>
                </c:pt>
                <c:pt idx="1309">
                  <c:v>45755</c:v>
                </c:pt>
                <c:pt idx="1310">
                  <c:v>45756</c:v>
                </c:pt>
                <c:pt idx="1311">
                  <c:v>45758</c:v>
                </c:pt>
                <c:pt idx="1312">
                  <c:v>45762</c:v>
                </c:pt>
                <c:pt idx="1313">
                  <c:v>45763</c:v>
                </c:pt>
                <c:pt idx="1314">
                  <c:v>45764</c:v>
                </c:pt>
                <c:pt idx="1315">
                  <c:v>45768</c:v>
                </c:pt>
                <c:pt idx="1316">
                  <c:v>45769</c:v>
                </c:pt>
                <c:pt idx="1317">
                  <c:v>45770</c:v>
                </c:pt>
                <c:pt idx="1318">
                  <c:v>45771</c:v>
                </c:pt>
                <c:pt idx="1319">
                  <c:v>45772</c:v>
                </c:pt>
                <c:pt idx="1320">
                  <c:v>45775</c:v>
                </c:pt>
                <c:pt idx="1321">
                  <c:v>45776</c:v>
                </c:pt>
                <c:pt idx="1322">
                  <c:v>45777</c:v>
                </c:pt>
                <c:pt idx="1323">
                  <c:v>45779</c:v>
                </c:pt>
                <c:pt idx="1324">
                  <c:v>45782</c:v>
                </c:pt>
                <c:pt idx="1325">
                  <c:v>45783</c:v>
                </c:pt>
                <c:pt idx="1326">
                  <c:v>45784</c:v>
                </c:pt>
                <c:pt idx="1327">
                  <c:v>45785</c:v>
                </c:pt>
                <c:pt idx="1328">
                  <c:v>45786</c:v>
                </c:pt>
                <c:pt idx="1329">
                  <c:v>45789</c:v>
                </c:pt>
                <c:pt idx="1330">
                  <c:v>45790</c:v>
                </c:pt>
                <c:pt idx="1331">
                  <c:v>45791</c:v>
                </c:pt>
                <c:pt idx="1332">
                  <c:v>45792</c:v>
                </c:pt>
                <c:pt idx="1333">
                  <c:v>45793</c:v>
                </c:pt>
                <c:pt idx="1334">
                  <c:v>45796</c:v>
                </c:pt>
                <c:pt idx="1335">
                  <c:v>45797</c:v>
                </c:pt>
                <c:pt idx="1336">
                  <c:v>45798</c:v>
                </c:pt>
                <c:pt idx="1337">
                  <c:v>45799</c:v>
                </c:pt>
                <c:pt idx="1338">
                  <c:v>45800</c:v>
                </c:pt>
                <c:pt idx="1339">
                  <c:v>45803</c:v>
                </c:pt>
                <c:pt idx="1340">
                  <c:v>45804</c:v>
                </c:pt>
                <c:pt idx="1341">
                  <c:v>45805</c:v>
                </c:pt>
                <c:pt idx="1342">
                  <c:v>45806</c:v>
                </c:pt>
                <c:pt idx="1343">
                  <c:v>45807</c:v>
                </c:pt>
                <c:pt idx="1344">
                  <c:v>45810</c:v>
                </c:pt>
                <c:pt idx="1345">
                  <c:v>45811</c:v>
                </c:pt>
                <c:pt idx="1346">
                  <c:v>45812</c:v>
                </c:pt>
                <c:pt idx="1347">
                  <c:v>45813</c:v>
                </c:pt>
                <c:pt idx="1348">
                  <c:v>45814</c:v>
                </c:pt>
                <c:pt idx="1349">
                  <c:v>45817</c:v>
                </c:pt>
                <c:pt idx="1350">
                  <c:v>45818</c:v>
                </c:pt>
                <c:pt idx="1351">
                  <c:v>45819</c:v>
                </c:pt>
                <c:pt idx="1352">
                  <c:v>45820</c:v>
                </c:pt>
                <c:pt idx="1353">
                  <c:v>45821</c:v>
                </c:pt>
                <c:pt idx="1354">
                  <c:v>45824</c:v>
                </c:pt>
                <c:pt idx="1355">
                  <c:v>45825</c:v>
                </c:pt>
                <c:pt idx="1356">
                  <c:v>45826</c:v>
                </c:pt>
                <c:pt idx="1357">
                  <c:v>45827</c:v>
                </c:pt>
                <c:pt idx="1358">
                  <c:v>45828</c:v>
                </c:pt>
                <c:pt idx="1359">
                  <c:v>45831</c:v>
                </c:pt>
                <c:pt idx="1360">
                  <c:v>45832</c:v>
                </c:pt>
                <c:pt idx="1361">
                  <c:v>45833</c:v>
                </c:pt>
                <c:pt idx="1362">
                  <c:v>45834</c:v>
                </c:pt>
                <c:pt idx="1363">
                  <c:v>45835</c:v>
                </c:pt>
                <c:pt idx="1364">
                  <c:v>45838</c:v>
                </c:pt>
                <c:pt idx="1365">
                  <c:v>45839</c:v>
                </c:pt>
                <c:pt idx="1366">
                  <c:v>45840</c:v>
                </c:pt>
                <c:pt idx="1367">
                  <c:v>45841</c:v>
                </c:pt>
                <c:pt idx="1368">
                  <c:v>45842</c:v>
                </c:pt>
                <c:pt idx="1369">
                  <c:v>45845</c:v>
                </c:pt>
                <c:pt idx="1370">
                  <c:v>45846</c:v>
                </c:pt>
                <c:pt idx="1371">
                  <c:v>45847</c:v>
                </c:pt>
                <c:pt idx="1372">
                  <c:v>45848</c:v>
                </c:pt>
                <c:pt idx="1373">
                  <c:v>45849</c:v>
                </c:pt>
                <c:pt idx="1374">
                  <c:v>45852</c:v>
                </c:pt>
                <c:pt idx="1375">
                  <c:v>45853</c:v>
                </c:pt>
                <c:pt idx="1376">
                  <c:v>45854</c:v>
                </c:pt>
                <c:pt idx="1377">
                  <c:v>45855</c:v>
                </c:pt>
                <c:pt idx="1378">
                  <c:v>45856</c:v>
                </c:pt>
                <c:pt idx="1379">
                  <c:v>45859</c:v>
                </c:pt>
                <c:pt idx="1380">
                  <c:v>45860</c:v>
                </c:pt>
                <c:pt idx="1381">
                  <c:v>45861</c:v>
                </c:pt>
                <c:pt idx="1382">
                  <c:v>45862</c:v>
                </c:pt>
                <c:pt idx="1383">
                  <c:v>45863</c:v>
                </c:pt>
                <c:pt idx="1384">
                  <c:v>45866</c:v>
                </c:pt>
                <c:pt idx="1385">
                  <c:v>45867</c:v>
                </c:pt>
                <c:pt idx="1386">
                  <c:v>45868</c:v>
                </c:pt>
                <c:pt idx="1387">
                  <c:v>45869</c:v>
                </c:pt>
                <c:pt idx="1388">
                  <c:v>45870</c:v>
                </c:pt>
                <c:pt idx="1389">
                  <c:v>45873</c:v>
                </c:pt>
                <c:pt idx="1390">
                  <c:v>45874</c:v>
                </c:pt>
                <c:pt idx="1391">
                  <c:v>45875</c:v>
                </c:pt>
                <c:pt idx="1392">
                  <c:v>45876</c:v>
                </c:pt>
                <c:pt idx="1393">
                  <c:v>45877</c:v>
                </c:pt>
                <c:pt idx="1394">
                  <c:v>45880</c:v>
                </c:pt>
                <c:pt idx="1395">
                  <c:v>45881</c:v>
                </c:pt>
                <c:pt idx="1396">
                  <c:v>45882</c:v>
                </c:pt>
                <c:pt idx="1397">
                  <c:v>45883</c:v>
                </c:pt>
                <c:pt idx="1398">
                  <c:v>45887</c:v>
                </c:pt>
                <c:pt idx="1399">
                  <c:v>45888</c:v>
                </c:pt>
                <c:pt idx="1400">
                  <c:v>45889</c:v>
                </c:pt>
                <c:pt idx="1401">
                  <c:v>45890</c:v>
                </c:pt>
                <c:pt idx="1402">
                  <c:v>45891</c:v>
                </c:pt>
                <c:pt idx="1403">
                  <c:v>45894</c:v>
                </c:pt>
                <c:pt idx="1404">
                  <c:v>45895</c:v>
                </c:pt>
                <c:pt idx="1405">
                  <c:v>45897</c:v>
                </c:pt>
                <c:pt idx="1406">
                  <c:v>45898</c:v>
                </c:pt>
                <c:pt idx="1407">
                  <c:v>45901</c:v>
                </c:pt>
                <c:pt idx="1408">
                  <c:v>45902</c:v>
                </c:pt>
                <c:pt idx="1409">
                  <c:v>45903</c:v>
                </c:pt>
                <c:pt idx="1410">
                  <c:v>45904</c:v>
                </c:pt>
                <c:pt idx="1411">
                  <c:v>45905</c:v>
                </c:pt>
                <c:pt idx="1412">
                  <c:v>45908</c:v>
                </c:pt>
                <c:pt idx="1413">
                  <c:v>45909</c:v>
                </c:pt>
                <c:pt idx="1414">
                  <c:v>45910</c:v>
                </c:pt>
                <c:pt idx="1415">
                  <c:v>45911</c:v>
                </c:pt>
                <c:pt idx="1416">
                  <c:v>45912</c:v>
                </c:pt>
                <c:pt idx="1417">
                  <c:v>45915</c:v>
                </c:pt>
                <c:pt idx="1418">
                  <c:v>45916</c:v>
                </c:pt>
                <c:pt idx="1419">
                  <c:v>45917</c:v>
                </c:pt>
                <c:pt idx="1420">
                  <c:v>45918</c:v>
                </c:pt>
                <c:pt idx="1421">
                  <c:v>45919</c:v>
                </c:pt>
                <c:pt idx="1422">
                  <c:v>45922</c:v>
                </c:pt>
                <c:pt idx="1423">
                  <c:v>45923</c:v>
                </c:pt>
                <c:pt idx="1424">
                  <c:v>45924</c:v>
                </c:pt>
                <c:pt idx="1425">
                  <c:v>45925</c:v>
                </c:pt>
                <c:pt idx="1426">
                  <c:v>45926</c:v>
                </c:pt>
                <c:pt idx="1427">
                  <c:v>45929</c:v>
                </c:pt>
                <c:pt idx="1428">
                  <c:v>45930</c:v>
                </c:pt>
                <c:pt idx="1429">
                  <c:v>45931</c:v>
                </c:pt>
                <c:pt idx="1430">
                  <c:v>45933</c:v>
                </c:pt>
                <c:pt idx="1431">
                  <c:v>45936</c:v>
                </c:pt>
                <c:pt idx="1432">
                  <c:v>45937</c:v>
                </c:pt>
                <c:pt idx="1433">
                  <c:v>45938</c:v>
                </c:pt>
                <c:pt idx="1434">
                  <c:v>45939</c:v>
                </c:pt>
                <c:pt idx="1435">
                  <c:v>45940</c:v>
                </c:pt>
                <c:pt idx="1436">
                  <c:v>45943</c:v>
                </c:pt>
                <c:pt idx="1437">
                  <c:v>45944</c:v>
                </c:pt>
                <c:pt idx="1438">
                  <c:v>45945</c:v>
                </c:pt>
                <c:pt idx="1439">
                  <c:v>45946</c:v>
                </c:pt>
                <c:pt idx="1440">
                  <c:v>45947</c:v>
                </c:pt>
                <c:pt idx="1441">
                  <c:v>45950</c:v>
                </c:pt>
                <c:pt idx="1442">
                  <c:v>45951</c:v>
                </c:pt>
                <c:pt idx="1443">
                  <c:v>45953</c:v>
                </c:pt>
                <c:pt idx="1444">
                  <c:v>45954</c:v>
                </c:pt>
                <c:pt idx="1445">
                  <c:v>45957</c:v>
                </c:pt>
                <c:pt idx="1446">
                  <c:v>45958</c:v>
                </c:pt>
                <c:pt idx="1447">
                  <c:v>45959</c:v>
                </c:pt>
                <c:pt idx="1448">
                  <c:v>45960</c:v>
                </c:pt>
                <c:pt idx="1449">
                  <c:v>45961</c:v>
                </c:pt>
                <c:pt idx="1450">
                  <c:v>45964</c:v>
                </c:pt>
                <c:pt idx="1451">
                  <c:v>45965</c:v>
                </c:pt>
                <c:pt idx="1452">
                  <c:v>45967</c:v>
                </c:pt>
                <c:pt idx="1453">
                  <c:v>45968</c:v>
                </c:pt>
                <c:pt idx="1454">
                  <c:v>45971</c:v>
                </c:pt>
                <c:pt idx="1455">
                  <c:v>45972</c:v>
                </c:pt>
                <c:pt idx="1456">
                  <c:v>45973</c:v>
                </c:pt>
                <c:pt idx="1457">
                  <c:v>45974</c:v>
                </c:pt>
                <c:pt idx="1458">
                  <c:v>45975</c:v>
                </c:pt>
                <c:pt idx="1459">
                  <c:v>45978</c:v>
                </c:pt>
                <c:pt idx="1460">
                  <c:v>45979</c:v>
                </c:pt>
                <c:pt idx="1461">
                  <c:v>45980</c:v>
                </c:pt>
                <c:pt idx="1462">
                  <c:v>45981</c:v>
                </c:pt>
                <c:pt idx="1463">
                  <c:v>45982</c:v>
                </c:pt>
                <c:pt idx="1464">
                  <c:v>45985</c:v>
                </c:pt>
                <c:pt idx="1465">
                  <c:v>45986</c:v>
                </c:pt>
                <c:pt idx="1466">
                  <c:v>45987</c:v>
                </c:pt>
                <c:pt idx="1467">
                  <c:v>45988</c:v>
                </c:pt>
                <c:pt idx="1468">
                  <c:v>45989</c:v>
                </c:pt>
                <c:pt idx="1469">
                  <c:v>45992</c:v>
                </c:pt>
                <c:pt idx="1470">
                  <c:v>45993</c:v>
                </c:pt>
                <c:pt idx="1471">
                  <c:v>45994</c:v>
                </c:pt>
                <c:pt idx="1472">
                  <c:v>45995</c:v>
                </c:pt>
                <c:pt idx="1473">
                  <c:v>45996</c:v>
                </c:pt>
                <c:pt idx="1474">
                  <c:v>45999</c:v>
                </c:pt>
                <c:pt idx="1475">
                  <c:v>46000</c:v>
                </c:pt>
                <c:pt idx="1476">
                  <c:v>46001</c:v>
                </c:pt>
                <c:pt idx="1477">
                  <c:v>46002</c:v>
                </c:pt>
                <c:pt idx="1478">
                  <c:v>46003</c:v>
                </c:pt>
                <c:pt idx="1479">
                  <c:v>46006</c:v>
                </c:pt>
                <c:pt idx="1480">
                  <c:v>46007</c:v>
                </c:pt>
                <c:pt idx="1481">
                  <c:v>46008</c:v>
                </c:pt>
                <c:pt idx="1482">
                  <c:v>46009</c:v>
                </c:pt>
                <c:pt idx="1483">
                  <c:v>46010</c:v>
                </c:pt>
                <c:pt idx="1484">
                  <c:v>46013</c:v>
                </c:pt>
                <c:pt idx="1485">
                  <c:v>46014</c:v>
                </c:pt>
                <c:pt idx="1486">
                  <c:v>46015</c:v>
                </c:pt>
                <c:pt idx="1487">
                  <c:v>46017</c:v>
                </c:pt>
                <c:pt idx="1488">
                  <c:v>46020</c:v>
                </c:pt>
                <c:pt idx="1489">
                  <c:v>46021</c:v>
                </c:pt>
                <c:pt idx="1490">
                  <c:v>46022</c:v>
                </c:pt>
                <c:pt idx="1491">
                  <c:v>46023</c:v>
                </c:pt>
                <c:pt idx="1492">
                  <c:v>46024</c:v>
                </c:pt>
                <c:pt idx="1493">
                  <c:v>46027</c:v>
                </c:pt>
                <c:pt idx="1494">
                  <c:v>46028</c:v>
                </c:pt>
                <c:pt idx="1495">
                  <c:v>46029</c:v>
                </c:pt>
                <c:pt idx="1496">
                  <c:v>46030</c:v>
                </c:pt>
                <c:pt idx="1497">
                  <c:v>46031</c:v>
                </c:pt>
                <c:pt idx="1498">
                  <c:v>46034</c:v>
                </c:pt>
                <c:pt idx="1499">
                  <c:v>46035</c:v>
                </c:pt>
                <c:pt idx="1500">
                  <c:v>46036</c:v>
                </c:pt>
                <c:pt idx="1501">
                  <c:v>46038</c:v>
                </c:pt>
                <c:pt idx="1502">
                  <c:v>46041</c:v>
                </c:pt>
                <c:pt idx="1503">
                  <c:v>46042</c:v>
                </c:pt>
                <c:pt idx="1504">
                  <c:v>46043</c:v>
                </c:pt>
                <c:pt idx="1505">
                  <c:v>46044</c:v>
                </c:pt>
                <c:pt idx="1506">
                  <c:v>46045</c:v>
                </c:pt>
                <c:pt idx="1507">
                  <c:v>46049</c:v>
                </c:pt>
                <c:pt idx="1508">
                  <c:v>46050</c:v>
                </c:pt>
                <c:pt idx="1509">
                  <c:v>46051</c:v>
                </c:pt>
                <c:pt idx="1510">
                  <c:v>46052</c:v>
                </c:pt>
                <c:pt idx="1511">
                  <c:v>46054</c:v>
                </c:pt>
                <c:pt idx="1512">
                  <c:v>46055</c:v>
                </c:pt>
                <c:pt idx="1513">
                  <c:v>46056</c:v>
                </c:pt>
                <c:pt idx="1514">
                  <c:v>46057</c:v>
                </c:pt>
                <c:pt idx="1515">
                  <c:v>46058</c:v>
                </c:pt>
                <c:pt idx="1516">
                  <c:v>46059</c:v>
                </c:pt>
                <c:pt idx="1517">
                  <c:v>46062</c:v>
                </c:pt>
                <c:pt idx="1518">
                  <c:v>46063</c:v>
                </c:pt>
                <c:pt idx="1519">
                  <c:v>46064</c:v>
                </c:pt>
                <c:pt idx="1520">
                  <c:v>46065</c:v>
                </c:pt>
                <c:pt idx="1521">
                  <c:v>46066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78-4188-932D-E939A8958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594047"/>
        <c:axId val="876594527"/>
      </c:barChart>
      <c:catAx>
        <c:axId val="876594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94527"/>
        <c:crosses val="autoZero"/>
        <c:auto val="1"/>
        <c:lblAlgn val="ctr"/>
        <c:lblOffset val="100"/>
        <c:noMultiLvlLbl val="0"/>
      </c:catAx>
      <c:valAx>
        <c:axId val="87659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59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2.png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63501</xdr:rowOff>
    </xdr:from>
    <xdr:to>
      <xdr:col>1</xdr:col>
      <xdr:colOff>1066800</xdr:colOff>
      <xdr:row>3</xdr:row>
      <xdr:rowOff>640340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254251-C262-418E-88BF-ABA3DAE0F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150" y="615951"/>
          <a:ext cx="1009650" cy="576839"/>
        </a:xfrm>
        <a:prstGeom prst="rect">
          <a:avLst/>
        </a:prstGeom>
      </xdr:spPr>
    </xdr:pic>
    <xdr:clientData/>
  </xdr:twoCellAnchor>
  <xdr:twoCellAnchor>
    <xdr:from>
      <xdr:col>7</xdr:col>
      <xdr:colOff>241300</xdr:colOff>
      <xdr:row>7</xdr:row>
      <xdr:rowOff>69850</xdr:rowOff>
    </xdr:from>
    <xdr:to>
      <xdr:col>12</xdr:col>
      <xdr:colOff>0</xdr:colOff>
      <xdr:row>16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18E943-E68A-47D7-A3B4-18CEC013C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436563</xdr:colOff>
      <xdr:row>18</xdr:row>
      <xdr:rowOff>38100</xdr:rowOff>
    </xdr:from>
    <xdr:to>
      <xdr:col>20</xdr:col>
      <xdr:colOff>128587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7E9A0D-0884-4E97-82A8-EA269D8BA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23813</xdr:colOff>
      <xdr:row>29</xdr:row>
      <xdr:rowOff>55563</xdr:rowOff>
    </xdr:from>
    <xdr:to>
      <xdr:col>12</xdr:col>
      <xdr:colOff>95251</xdr:colOff>
      <xdr:row>38</xdr:row>
      <xdr:rowOff>150813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DE53D0-32AB-4223-BF10-792CB1FD4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127000</xdr:colOff>
      <xdr:row>20</xdr:row>
      <xdr:rowOff>15875</xdr:rowOff>
    </xdr:from>
    <xdr:to>
      <xdr:col>12</xdr:col>
      <xdr:colOff>166687</xdr:colOff>
      <xdr:row>26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295A01-514D-463D-A8F8-2102FB493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301008</xdr:colOff>
      <xdr:row>0</xdr:row>
      <xdr:rowOff>128985</xdr:rowOff>
    </xdr:from>
    <xdr:to>
      <xdr:col>2</xdr:col>
      <xdr:colOff>804560</xdr:colOff>
      <xdr:row>7</xdr:row>
      <xdr:rowOff>216</xdr:rowOff>
    </xdr:to>
    <xdr:pic>
      <xdr:nvPicPr>
        <xdr:cNvPr id="3" name="Picture 2" descr="Logos Download | Eicher Tractor">
          <a:extLst>
            <a:ext uri="{FF2B5EF4-FFF2-40B4-BE49-F238E27FC236}">
              <a16:creationId xmlns:a16="http://schemas.microsoft.com/office/drawing/2014/main" id="{1103DFC0-D764-C6F3-C8D6-9945E405B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008" y="128985"/>
          <a:ext cx="2177643" cy="1164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36286</xdr:colOff>
      <xdr:row>0</xdr:row>
      <xdr:rowOff>136072</xdr:rowOff>
    </xdr:from>
    <xdr:to>
      <xdr:col>2</xdr:col>
      <xdr:colOff>730553</xdr:colOff>
      <xdr:row>6</xdr:row>
      <xdr:rowOff>153319</xdr:rowOff>
    </xdr:to>
    <xdr:pic>
      <xdr:nvPicPr>
        <xdr:cNvPr id="2" name="Picture 1" descr="Logos Download | Eicher Tractor">
          <a:extLst>
            <a:ext uri="{FF2B5EF4-FFF2-40B4-BE49-F238E27FC236}">
              <a16:creationId xmlns:a16="http://schemas.microsoft.com/office/drawing/2014/main" id="{63411EFC-8F21-40C5-A493-ADF394FDD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136072"/>
          <a:ext cx="1955196" cy="1105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541867</xdr:colOff>
      <xdr:row>6</xdr:row>
      <xdr:rowOff>85983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AD6ED2-3C39-EB81-6DD8-0EA09646A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186267"/>
          <a:ext cx="1811867" cy="1017316"/>
        </a:xfrm>
        <a:prstGeom prst="rect">
          <a:avLst/>
        </a:prstGeom>
      </xdr:spPr>
    </xdr:pic>
    <xdr:clientData/>
  </xdr:twoCellAnchor>
  <xdr:twoCellAnchor>
    <xdr:from>
      <xdr:col>6</xdr:col>
      <xdr:colOff>74385</xdr:colOff>
      <xdr:row>10</xdr:row>
      <xdr:rowOff>44145</xdr:rowOff>
    </xdr:from>
    <xdr:to>
      <xdr:col>13</xdr:col>
      <xdr:colOff>795562</xdr:colOff>
      <xdr:row>26</xdr:row>
      <xdr:rowOff>120346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C98204-6F08-4185-9F42-5A6C671CD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80434</xdr:colOff>
      <xdr:row>30</xdr:row>
      <xdr:rowOff>143933</xdr:rowOff>
    </xdr:from>
    <xdr:to>
      <xdr:col>13</xdr:col>
      <xdr:colOff>824895</xdr:colOff>
      <xdr:row>46</xdr:row>
      <xdr:rowOff>160866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6688AD-7C6A-2C22-246E-F3E0B06D3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558196</xdr:colOff>
      <xdr:row>50</xdr:row>
      <xdr:rowOff>16935</xdr:rowOff>
    </xdr:from>
    <xdr:to>
      <xdr:col>13</xdr:col>
      <xdr:colOff>758371</xdr:colOff>
      <xdr:row>67</xdr:row>
      <xdr:rowOff>96764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3D1757-5068-891E-194C-D325FCAD1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56266</xdr:colOff>
      <xdr:row>0</xdr:row>
      <xdr:rowOff>120570</xdr:rowOff>
    </xdr:from>
    <xdr:to>
      <xdr:col>2</xdr:col>
      <xdr:colOff>393861</xdr:colOff>
      <xdr:row>6</xdr:row>
      <xdr:rowOff>115306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5D78BA-FBAC-2F60-5DDA-12C85140C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988" y="120570"/>
          <a:ext cx="1985379" cy="11039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4232</xdr:rowOff>
    </xdr:from>
    <xdr:to>
      <xdr:col>2</xdr:col>
      <xdr:colOff>243418</xdr:colOff>
      <xdr:row>7</xdr:row>
      <xdr:rowOff>42642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76332-68CC-EA3F-1872-FB9ED52DA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1" y="184149"/>
          <a:ext cx="2190750" cy="11179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2055395</xdr:colOff>
      <xdr:row>7</xdr:row>
      <xdr:rowOff>40015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0F006-DA45-2BB6-5B86-793306F30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329" y="183816"/>
          <a:ext cx="2055395" cy="11429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626680</xdr:colOff>
      <xdr:row>5</xdr:row>
      <xdr:rowOff>44097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9E7BD-AE19-FEF4-38DD-AF4771521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72" y="185208"/>
          <a:ext cx="1411611" cy="78493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127939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D1575-A5B0-3781-55D8-DC867678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184150"/>
          <a:ext cx="1885950" cy="104868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476250</xdr:colOff>
      <xdr:row>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7C123-92F9-C246-A100-5CFA198B9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184150"/>
          <a:ext cx="1981200" cy="10731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152400</xdr:rowOff>
    </xdr:from>
    <xdr:to>
      <xdr:col>2</xdr:col>
      <xdr:colOff>361950</xdr:colOff>
      <xdr:row>6</xdr:row>
      <xdr:rowOff>163277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F3C74D-9EA8-429F-E683-E2F559B93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050" y="152400"/>
          <a:ext cx="2006600" cy="111577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49</xdr:row>
      <xdr:rowOff>0</xdr:rowOff>
    </xdr:from>
    <xdr:to>
      <xdr:col>13</xdr:col>
      <xdr:colOff>69849</xdr:colOff>
      <xdr:row>50</xdr:row>
      <xdr:rowOff>120650</xdr:rowOff>
    </xdr:to>
    <xdr:sp macro="" textlink="">
      <xdr:nvSpPr>
        <xdr:cNvPr id="16385" name="AutoShape 1" descr="Eicher Motors (EICH.NS, EIM IN) Logo">
          <a:extLst>
            <a:ext uri="{FF2B5EF4-FFF2-40B4-BE49-F238E27FC236}">
              <a16:creationId xmlns:a16="http://schemas.microsoft.com/office/drawing/2014/main" id="{9A983174-EA3E-6904-C05C-4B8F9DB08878}"/>
            </a:ext>
          </a:extLst>
        </xdr:cNvPr>
        <xdr:cNvSpPr>
          <a:spLocks noChangeAspect="1" noChangeArrowheads="1"/>
        </xdr:cNvSpPr>
      </xdr:nvSpPr>
      <xdr:spPr bwMode="auto">
        <a:xfrm>
          <a:off x="7315200" y="86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129592</xdr:colOff>
      <xdr:row>0</xdr:row>
      <xdr:rowOff>155511</xdr:rowOff>
    </xdr:from>
    <xdr:to>
      <xdr:col>2</xdr:col>
      <xdr:colOff>367841</xdr:colOff>
      <xdr:row>7</xdr:row>
      <xdr:rowOff>66463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ACEE11-C10C-D506-6DEB-7B2FA9BDC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898" y="155511"/>
          <a:ext cx="2123810" cy="118095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127000</xdr:rowOff>
    </xdr:from>
    <xdr:to>
      <xdr:col>1</xdr:col>
      <xdr:colOff>845038</xdr:colOff>
      <xdr:row>4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70A8AA-9D27-45FF-8625-21016EEB7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127000"/>
          <a:ext cx="845038" cy="74246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374650</xdr:colOff>
      <xdr:row>1169</xdr:row>
      <xdr:rowOff>57150</xdr:rowOff>
    </xdr:from>
    <xdr:to>
      <xdr:col>32</xdr:col>
      <xdr:colOff>69850</xdr:colOff>
      <xdr:row>1185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1B7543-6A13-3F62-BC84-01E1F43CB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304800</xdr:colOff>
      <xdr:row>1501</xdr:row>
      <xdr:rowOff>158750</xdr:rowOff>
    </xdr:from>
    <xdr:to>
      <xdr:col>24</xdr:col>
      <xdr:colOff>209550</xdr:colOff>
      <xdr:row>1518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115082-0CA1-2C72-E188-DCE8F1E08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796925</xdr:colOff>
      <xdr:row>24</xdr:row>
      <xdr:rowOff>158750</xdr:rowOff>
    </xdr:from>
    <xdr:to>
      <xdr:col>13</xdr:col>
      <xdr:colOff>777875</xdr:colOff>
      <xdr:row>39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AC74CD-95DB-1450-2A35-1EF3306D8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241300</xdr:colOff>
      <xdr:row>1500</xdr:row>
      <xdr:rowOff>158750</xdr:rowOff>
    </xdr:from>
    <xdr:to>
      <xdr:col>20</xdr:col>
      <xdr:colOff>184150</xdr:colOff>
      <xdr:row>1515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1E6983-8A1F-4A5F-A894-E3C38B770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19">
  <tableColumns count="14">
    <tableColumn id="1" xr3:uid="{00000000-0010-0000-0000-000001000000}" name="Column1" headerRowDxfId="18" dataDxfId="17"/>
    <tableColumn id="2" xr3:uid="{00000000-0010-0000-0000-000002000000}" name="Column2" headerRowDxfId="16"/>
    <tableColumn id="3" xr3:uid="{00000000-0010-0000-0000-000003000000}" name="Column3" headerRowDxfId="15"/>
    <tableColumn id="4" xr3:uid="{00000000-0010-0000-0000-000004000000}" name="Column4" headerRowDxfId="14"/>
    <tableColumn id="5" xr3:uid="{00000000-0010-0000-0000-000005000000}" name="Column5" headerRowDxfId="13"/>
    <tableColumn id="6" xr3:uid="{00000000-0010-0000-0000-000006000000}" name="Column6" headerRowDxfId="12"/>
    <tableColumn id="7" xr3:uid="{00000000-0010-0000-0000-000007000000}" name="Column7" headerRowDxfId="11"/>
    <tableColumn id="8" xr3:uid="{00000000-0010-0000-0000-000008000000}" name="Column8" headerRowDxfId="10"/>
    <tableColumn id="9" xr3:uid="{00000000-0010-0000-0000-000009000000}" name="Column9" headerRowDxfId="9"/>
    <tableColumn id="10" xr3:uid="{00000000-0010-0000-0000-00000A000000}" name="Column10" headerRowDxfId="8"/>
    <tableColumn id="11" xr3:uid="{00000000-0010-0000-0000-00000B000000}" name="Column11" headerRowDxfId="7"/>
    <tableColumn id="12" xr3:uid="{00000000-0010-0000-0000-00000C000000}" name="Column12" headerRowDxfId="6" dataDxfId="5"/>
    <tableColumn id="13" xr3:uid="{00000000-0010-0000-0000-00000D000000}" name="Column13" headerRowDxfId="4" dataDxfId="3"/>
    <tableColumn id="14" xr3:uid="{00000000-0010-0000-0000-00000E000000}" name="Column14" headerRowDxfId="2" dataDxfId="1"/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arketsmojo.com/news/stocks-in-action/eicher-motors-ltd-hits-new-52-week-high-of-rs8140-on-19-feb-2026-384693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screener.in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screener.in/excel/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A06A-E241-4C3C-A6B2-663F406A2E14}">
  <dimension ref="B1:R109"/>
  <sheetViews>
    <sheetView showGridLines="0" tabSelected="1" view="pageBreakPreview" zoomScale="55" zoomScaleNormal="55" zoomScaleSheetLayoutView="55" workbookViewId="0">
      <selection activeCell="G72" sqref="G72"/>
    </sheetView>
  </sheetViews>
  <sheetFormatPr defaultRowHeight="14.5" x14ac:dyDescent="0.35"/>
  <cols>
    <col min="1" max="1" width="1.81640625" customWidth="1"/>
    <col min="2" max="2" width="42.1796875" customWidth="1"/>
    <col min="3" max="3" width="16.1796875" customWidth="1"/>
    <col min="4" max="4" width="13.453125" customWidth="1"/>
    <col min="5" max="5" width="9.54296875" bestFit="1" customWidth="1"/>
    <col min="6" max="7" width="9.54296875" style="123" bestFit="1" customWidth="1"/>
    <col min="8" max="8" width="2.26953125" style="123" customWidth="1"/>
    <col min="9" max="10" width="8.7265625" style="123"/>
    <col min="13" max="13" width="3.54296875" customWidth="1"/>
    <col min="14" max="14" width="8.7265625" style="47"/>
  </cols>
  <sheetData>
    <row r="1" spans="2:16" x14ac:dyDescent="0.35">
      <c r="F1"/>
      <c r="G1"/>
      <c r="H1"/>
      <c r="I1"/>
      <c r="J1"/>
    </row>
    <row r="2" spans="2:16" x14ac:dyDescent="0.35">
      <c r="B2" s="209" t="str">
        <f>'Data Sheet'!B1 &amp; " - One Page View"</f>
        <v>EICHER MOTORS LTD - One Page View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3" spans="2:16" x14ac:dyDescent="0.35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2:16" ht="66" customHeight="1" x14ac:dyDescent="0.35">
      <c r="C4" s="210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D4" s="210"/>
      <c r="E4" s="210"/>
      <c r="F4" s="210"/>
      <c r="G4" s="210"/>
      <c r="H4" s="210"/>
      <c r="I4" s="210"/>
      <c r="J4" s="210"/>
      <c r="K4" s="210"/>
    </row>
    <row r="5" spans="2:16" x14ac:dyDescent="0.35">
      <c r="B5" s="123"/>
      <c r="C5" s="123"/>
      <c r="D5" s="123"/>
      <c r="E5" s="123"/>
      <c r="K5" s="123"/>
      <c r="L5" s="123"/>
    </row>
    <row r="6" spans="2:16" x14ac:dyDescent="0.35">
      <c r="B6" s="49" t="s">
        <v>406</v>
      </c>
      <c r="C6" s="51">
        <f>IFERROR('Data Sheet'!G16,0)</f>
        <v>44286</v>
      </c>
      <c r="D6" s="51">
        <f>IFERROR('Data Sheet'!H16,0)</f>
        <v>44651</v>
      </c>
      <c r="E6" s="51">
        <f>IFERROR('Data Sheet'!I16,0)</f>
        <v>45016</v>
      </c>
      <c r="F6" s="51">
        <f>IFERROR('Data Sheet'!J16,0)</f>
        <v>45382</v>
      </c>
      <c r="G6" s="51">
        <f>IFERROR('Data Sheet'!K16,0)</f>
        <v>45747</v>
      </c>
      <c r="H6"/>
      <c r="I6" s="212" t="s">
        <v>422</v>
      </c>
      <c r="J6" s="212"/>
      <c r="K6" s="212"/>
      <c r="L6" s="212"/>
    </row>
    <row r="7" spans="2:16" ht="6.5" customHeight="1" x14ac:dyDescent="0.35">
      <c r="F7"/>
      <c r="G7"/>
      <c r="K7" s="123"/>
      <c r="L7" s="123"/>
      <c r="M7" s="123"/>
      <c r="N7" s="185"/>
      <c r="O7" s="123"/>
      <c r="P7" s="123"/>
    </row>
    <row r="8" spans="2:16" x14ac:dyDescent="0.35">
      <c r="B8" s="52" t="s">
        <v>407</v>
      </c>
      <c r="C8" s="53">
        <f>IFERROR('Data Sheet'!G17,0)</f>
        <v>8720.35</v>
      </c>
      <c r="D8" s="53">
        <f>IFERROR('Data Sheet'!H17,0)</f>
        <v>10297.83</v>
      </c>
      <c r="E8" s="53">
        <f>IFERROR('Data Sheet'!I17,0)</f>
        <v>14442.18</v>
      </c>
      <c r="F8" s="53">
        <f>IFERROR('Data Sheet'!J17,0)</f>
        <v>16535.78</v>
      </c>
      <c r="G8" s="53">
        <f>IFERROR('Data Sheet'!K17,0)</f>
        <v>18870.349999999999</v>
      </c>
      <c r="K8" s="123"/>
      <c r="L8" s="123"/>
      <c r="M8" s="123"/>
      <c r="N8" s="185"/>
      <c r="O8" s="123"/>
      <c r="P8" s="123"/>
    </row>
    <row r="9" spans="2:16" x14ac:dyDescent="0.35">
      <c r="B9" s="195" t="s">
        <v>408</v>
      </c>
      <c r="C9" s="189">
        <f>IFERROR('Profit &amp; Loss'!G4/'Profit &amp; Loss'!F4-1,0)</f>
        <v>-4.732902318000165E-2</v>
      </c>
      <c r="D9" s="189">
        <f>IFERROR('Profit &amp; Loss'!H4/'Profit &amp; Loss'!G4-1,0)</f>
        <v>0.18089640897441028</v>
      </c>
      <c r="E9" s="189">
        <f>IFERROR('Profit &amp; Loss'!I4/'Profit &amp; Loss'!H4-1,0)</f>
        <v>0.40244886544058311</v>
      </c>
      <c r="F9" s="189">
        <f>IFERROR('Profit &amp; Loss'!J4/'Profit &amp; Loss'!I4-1,0)</f>
        <v>0.14496426439775711</v>
      </c>
      <c r="G9" s="189">
        <f>IFERROR('Profit &amp; Loss'!K4/'Profit &amp; Loss'!J4-1,0)</f>
        <v>0.14118293784750402</v>
      </c>
      <c r="K9" s="123"/>
      <c r="L9" s="123"/>
      <c r="M9" s="123"/>
      <c r="N9" s="185"/>
      <c r="O9" s="123"/>
      <c r="P9" s="123"/>
    </row>
    <row r="10" spans="2:16" x14ac:dyDescent="0.35">
      <c r="B10" s="59" t="s">
        <v>411</v>
      </c>
      <c r="C10" s="60">
        <f>IFERROR('Data Sheet'!G36,0)</f>
        <v>0.23480020870721929</v>
      </c>
      <c r="D10" s="60">
        <f>IFERROR('Data Sheet'!H36,0)</f>
        <v>0.27508222606121874</v>
      </c>
      <c r="E10" s="60">
        <f>IFERROR('Data Sheet'!I36,0)</f>
        <v>0.32029652033141803</v>
      </c>
      <c r="F10" s="60">
        <f>IFERROR('Data Sheet'!J36,0)</f>
        <v>0.32902832524380465</v>
      </c>
      <c r="G10" s="60">
        <f>IFERROR('Data Sheet'!K36,0)</f>
        <v>0.33397472754877361</v>
      </c>
      <c r="H10" s="268"/>
      <c r="K10" s="123"/>
      <c r="L10" s="123"/>
      <c r="M10" s="123"/>
      <c r="N10" s="185"/>
      <c r="O10" s="123"/>
      <c r="P10" s="123"/>
    </row>
    <row r="11" spans="2:16" x14ac:dyDescent="0.35">
      <c r="B11" s="59" t="s">
        <v>412</v>
      </c>
      <c r="C11" s="60">
        <f>IFERROR('Profit &amp; Loss'!G28,0)</f>
        <v>0.20449064544427684</v>
      </c>
      <c r="D11" s="60">
        <f>IFERROR('Profit &amp; Loss'!H28,0)</f>
        <v>0.21145911323065147</v>
      </c>
      <c r="E11" s="60">
        <f>IFERROR('Profit &amp; Loss'!I28,0)</f>
        <v>0.23858724929338931</v>
      </c>
      <c r="F11" s="60">
        <f>IFERROR('Profit &amp; Loss'!J28,0)</f>
        <v>0.26181831156437724</v>
      </c>
      <c r="G11" s="60">
        <f>IFERROR('Profit &amp; Loss'!K28,0)</f>
        <v>0.25026403855784329</v>
      </c>
      <c r="K11" s="123"/>
      <c r="L11" s="123"/>
      <c r="M11" s="123"/>
      <c r="N11" s="185"/>
      <c r="O11" s="123"/>
      <c r="P11" s="123"/>
    </row>
    <row r="12" spans="2:16" x14ac:dyDescent="0.35">
      <c r="B12" t="s">
        <v>414</v>
      </c>
      <c r="C12" s="5">
        <f>IFERROR('Profit &amp; Loss'!G29,0)</f>
        <v>0.15280349985952393</v>
      </c>
      <c r="D12" s="5">
        <f>IFERROR('Profit &amp; Loss'!H29,0)</f>
        <v>0.1675731683276962</v>
      </c>
      <c r="E12" s="5">
        <f>IFERROR('Profit &amp; Loss'!I29,0)</f>
        <v>0.20215161422998473</v>
      </c>
      <c r="F12" s="5">
        <f>IFERROR('Profit &amp; Loss'!J29,0)</f>
        <v>0.2256784983835052</v>
      </c>
      <c r="G12" s="5">
        <f>IFERROR('Profit &amp; Loss'!K29,0)</f>
        <v>0.21161451695384551</v>
      </c>
      <c r="K12" s="123"/>
      <c r="L12" s="123"/>
      <c r="M12" s="123"/>
      <c r="N12" s="185"/>
      <c r="O12" s="123"/>
      <c r="P12" s="123"/>
    </row>
    <row r="13" spans="2:16" x14ac:dyDescent="0.35">
      <c r="B13" s="59" t="s">
        <v>415</v>
      </c>
      <c r="C13" s="60">
        <f>IFERROR('Profit &amp; Loss'!G12/'Profit &amp; Loss'!G4,0)</f>
        <v>0.15445366298371052</v>
      </c>
      <c r="D13" s="60">
        <f>IFERROR('Profit &amp; Loss'!H12/'Profit &amp; Loss'!H4,0)</f>
        <v>0.16281099998737597</v>
      </c>
      <c r="E13" s="60">
        <f>IFERROR('Profit &amp; Loss'!I12/'Profit &amp; Loss'!I4,0)</f>
        <v>0.20176593838326345</v>
      </c>
      <c r="F13" s="60">
        <f>IFERROR('Profit &amp; Loss'!J12/'Profit &amp; Loss'!J4,0)</f>
        <v>0.24196076628982729</v>
      </c>
      <c r="G13" s="60">
        <f>IFERROR('Profit &amp; Loss'!K12/'Profit &amp; Loss'!K4,0)</f>
        <v>0.25089306769614766</v>
      </c>
      <c r="K13" s="123"/>
      <c r="L13" s="123"/>
      <c r="M13" s="123"/>
      <c r="N13" s="185"/>
      <c r="O13" s="123"/>
      <c r="P13" s="123"/>
    </row>
    <row r="14" spans="2:16" x14ac:dyDescent="0.35">
      <c r="B14" s="59" t="s">
        <v>416</v>
      </c>
      <c r="C14" s="76">
        <f>IFERROR('Profit &amp; Loss'!G13,0)</f>
        <v>49.28247347237469</v>
      </c>
      <c r="D14" s="76">
        <f>IFERROR('Profit &amp; Loss'!H13,0)</f>
        <v>61.324067300658371</v>
      </c>
      <c r="E14" s="76">
        <f>IFERROR('Profit &amp; Loss'!I13,0)</f>
        <v>106.54259597806215</v>
      </c>
      <c r="F14" s="76">
        <f>IFERROR('Profit &amp; Loss'!J13,0)</f>
        <v>146.12892622352084</v>
      </c>
      <c r="G14" s="76">
        <f>IFERROR('Profit &amp; Loss'!K13,0)</f>
        <v>172.66374908825671</v>
      </c>
      <c r="K14" s="123"/>
      <c r="L14" s="123"/>
      <c r="M14" s="123"/>
      <c r="N14" s="185"/>
      <c r="O14" s="123"/>
      <c r="P14" s="123"/>
    </row>
    <row r="15" spans="2:16" x14ac:dyDescent="0.35">
      <c r="B15" s="103" t="s">
        <v>419</v>
      </c>
      <c r="C15" s="60">
        <f>IFERROR('Profit &amp; Loss'!G13/'Profit &amp; Loss'!F13-1,0)</f>
        <v>-0.26350285069246993</v>
      </c>
      <c r="D15" s="60">
        <f>IFERROR('Profit &amp; Loss'!H13/'Profit &amp; Loss'!G13-1,0)</f>
        <v>0.24433826023431227</v>
      </c>
      <c r="E15" s="60">
        <f>IFERROR('Profit &amp; Loss'!I13/'Profit &amp; Loss'!H13-1,0)</f>
        <v>0.73737001911023481</v>
      </c>
      <c r="F15" s="60">
        <f>IFERROR('Profit &amp; Loss'!J13/'Profit &amp; Loss'!I13-1,0)</f>
        <v>0.37155402383484049</v>
      </c>
      <c r="G15" s="60">
        <f>IFERROR('Profit &amp; Loss'!K13/'Profit &amp; Loss'!J13-1,0)</f>
        <v>0.18158501229351298</v>
      </c>
      <c r="K15" s="123"/>
      <c r="L15" s="123"/>
      <c r="M15" s="123"/>
      <c r="N15" s="185"/>
      <c r="O15" s="123"/>
      <c r="P15" s="123"/>
    </row>
    <row r="16" spans="2:16" x14ac:dyDescent="0.35">
      <c r="B16" s="59" t="s">
        <v>96</v>
      </c>
      <c r="C16" s="59">
        <f>IFERROR('Profit &amp; Loss'!G32,0)</f>
        <v>17.000000000000004</v>
      </c>
      <c r="D16" s="59">
        <f>IFERROR('Profit &amp; Loss'!H32,0)</f>
        <v>21</v>
      </c>
      <c r="E16" s="59">
        <f>IFERROR('Profit &amp; Loss'!I32,0)</f>
        <v>37</v>
      </c>
      <c r="F16" s="59">
        <f>IFERROR('Profit &amp; Loss'!J32,0)</f>
        <v>51.000000000000007</v>
      </c>
      <c r="G16" s="59">
        <f>IFERROR('Profit &amp; Loss'!K32,0)</f>
        <v>69.999999999999986</v>
      </c>
      <c r="K16" s="123"/>
      <c r="L16" s="123"/>
      <c r="M16" s="123"/>
      <c r="N16" s="185"/>
      <c r="O16" s="123"/>
      <c r="P16" s="123"/>
    </row>
    <row r="17" spans="2:18" x14ac:dyDescent="0.35">
      <c r="B17" s="103" t="s">
        <v>420</v>
      </c>
      <c r="C17" s="60">
        <f>IFERROR('Profit &amp; Loss'!G33,0)</f>
        <v>0.36049816849816896</v>
      </c>
      <c r="D17" s="60">
        <f>IFERROR('Profit &amp; Loss'!H33,0)</f>
        <v>0.23529411764705865</v>
      </c>
      <c r="E17" s="60">
        <f>IFERROR('Profit &amp; Loss'!I33,0)</f>
        <v>0.76190476190476186</v>
      </c>
      <c r="F17" s="60">
        <f>IFERROR('Profit &amp; Loss'!J33,0)</f>
        <v>0.37837837837837851</v>
      </c>
      <c r="G17" s="60">
        <f>IFERROR('Profit &amp; Loss'!K33,0)</f>
        <v>0.3725490196078427</v>
      </c>
      <c r="K17" s="123"/>
      <c r="L17" s="123"/>
      <c r="M17" s="151"/>
      <c r="N17" s="196"/>
      <c r="O17" s="151"/>
      <c r="P17" s="151"/>
    </row>
    <row r="18" spans="2:18" x14ac:dyDescent="0.35">
      <c r="B18" s="59"/>
      <c r="C18" s="59"/>
      <c r="D18" s="59"/>
      <c r="E18" s="59"/>
      <c r="F18" s="59"/>
      <c r="G18" s="59"/>
      <c r="H18" s="276"/>
      <c r="I18" s="276"/>
      <c r="J18" s="276"/>
      <c r="K18" s="276"/>
      <c r="L18" s="276"/>
      <c r="M18" s="123"/>
      <c r="N18" s="185"/>
      <c r="O18" s="123"/>
      <c r="P18" s="123"/>
      <c r="Q18" s="123"/>
      <c r="R18" s="123"/>
    </row>
    <row r="19" spans="2:18" x14ac:dyDescent="0.35">
      <c r="B19" s="113" t="s">
        <v>431</v>
      </c>
      <c r="C19" s="114">
        <v>44286</v>
      </c>
      <c r="D19" s="114">
        <v>44651</v>
      </c>
      <c r="E19" s="114">
        <v>45016</v>
      </c>
      <c r="F19" s="114">
        <v>45382</v>
      </c>
      <c r="G19" s="114">
        <v>45747</v>
      </c>
      <c r="I19" s="277" t="s">
        <v>476</v>
      </c>
      <c r="J19" s="277"/>
      <c r="K19" s="277"/>
      <c r="L19" s="277"/>
      <c r="M19" s="123"/>
      <c r="N19" s="185"/>
      <c r="O19" s="123"/>
      <c r="P19" s="123"/>
      <c r="Q19" s="123"/>
      <c r="R19" s="123"/>
    </row>
    <row r="20" spans="2:18" ht="7" customHeight="1" x14ac:dyDescent="0.35">
      <c r="B20" s="59"/>
      <c r="C20" s="59"/>
      <c r="D20" s="59"/>
      <c r="E20" s="59"/>
      <c r="F20" s="59"/>
      <c r="G20" s="59"/>
      <c r="K20" s="123"/>
      <c r="L20" s="123"/>
      <c r="M20" s="123"/>
      <c r="N20" s="185"/>
      <c r="O20" s="123"/>
      <c r="P20" s="123"/>
      <c r="Q20" s="123"/>
      <c r="R20" s="123"/>
    </row>
    <row r="21" spans="2:18" x14ac:dyDescent="0.35">
      <c r="B21" s="59" t="s">
        <v>432</v>
      </c>
      <c r="C21" s="115">
        <f>IFERROR('Profit &amp; Loss'!G14,0)</f>
        <v>52.837242462264904</v>
      </c>
      <c r="D21" s="115">
        <f>IFERROR('Profit &amp; Loss'!H14,0)</f>
        <v>40.068281641417158</v>
      </c>
      <c r="E21" s="115">
        <f>IFERROR('Profit &amp; Loss'!I14,0)</f>
        <v>27.677662374654247</v>
      </c>
      <c r="F21" s="115">
        <f>IFERROR('Profit &amp; Loss'!J14,0)</f>
        <v>27.505163446229826</v>
      </c>
      <c r="G21" s="115">
        <f>IFERROR('Profit &amp; Loss'!K14,0)</f>
        <v>30.971758856380063</v>
      </c>
      <c r="K21" s="123"/>
      <c r="L21" s="123"/>
      <c r="M21" s="123"/>
      <c r="N21" s="185"/>
      <c r="O21" s="123"/>
      <c r="P21" s="123"/>
      <c r="Q21" s="123"/>
      <c r="R21" s="123"/>
    </row>
    <row r="22" spans="2:18" x14ac:dyDescent="0.35">
      <c r="B22" s="59" t="s">
        <v>347</v>
      </c>
      <c r="C22" s="115">
        <f>IFERROR('Profit &amp; Loss'!G40,0)</f>
        <v>36.761855453306644</v>
      </c>
      <c r="D22" s="115">
        <f>IFERROR('Profit &amp; Loss'!H40,0)</f>
        <v>29.6494353798041</v>
      </c>
      <c r="E22" s="115">
        <f>IFERROR('Profit &amp; Loss'!I40,0)</f>
        <v>23.267670472354101</v>
      </c>
      <c r="F22" s="115">
        <f>IFERROR('Profit &amp; Loss'!J40,0)</f>
        <v>25.482128808579557</v>
      </c>
      <c r="G22" s="115">
        <f>IFERROR('Profit &amp; Loss'!K40,0)</f>
        <v>31.09092168035626</v>
      </c>
      <c r="K22" s="123"/>
      <c r="L22" s="123"/>
      <c r="M22" s="123"/>
      <c r="N22" s="185"/>
      <c r="O22" s="123"/>
      <c r="P22" s="123"/>
      <c r="Q22" s="123"/>
      <c r="R22" s="123"/>
    </row>
    <row r="23" spans="2:18" x14ac:dyDescent="0.35">
      <c r="B23" s="59" t="s">
        <v>433</v>
      </c>
      <c r="C23" s="115">
        <f>IFERROR('Profit &amp; Loss'!G41,0)</f>
        <v>7.5174555493758835</v>
      </c>
      <c r="D23" s="115">
        <f>IFERROR('Profit &amp; Loss'!H41,0)</f>
        <v>6.269643313202879</v>
      </c>
      <c r="E23" s="115">
        <f>IFERROR('Profit &amp; Loss'!I41,0)</f>
        <v>5.5513694954639812</v>
      </c>
      <c r="F23" s="115">
        <f>IFERROR('Profit &amp; Loss'!J41,0)</f>
        <v>6.6716879397282742</v>
      </c>
      <c r="G23" s="115">
        <f>IFERROR('Profit &amp; Loss'!K41,0)</f>
        <v>7.7809396222115659</v>
      </c>
      <c r="K23" s="123"/>
      <c r="L23" s="123"/>
      <c r="M23" s="123"/>
      <c r="N23" s="185"/>
      <c r="O23" s="123"/>
      <c r="P23" s="123"/>
      <c r="Q23" s="123"/>
      <c r="R23" s="123"/>
    </row>
    <row r="24" spans="2:18" x14ac:dyDescent="0.35">
      <c r="B24" s="59" t="s">
        <v>434</v>
      </c>
      <c r="C24" s="115">
        <f>IFERROR('Profit &amp; Loss'!G42,0)</f>
        <v>6.2218443567451871</v>
      </c>
      <c r="D24" s="115">
        <f>IFERROR('Profit &amp; Loss'!H42,0)</f>
        <v>5.328242465101523</v>
      </c>
      <c r="E24" s="115">
        <f>IFERROR('Profit &amp; Loss'!I42,0)</f>
        <v>5.3802228844291102</v>
      </c>
      <c r="F24" s="115">
        <f>IFERROR('Profit &amp; Loss'!J42,0)</f>
        <v>6.0983763846226724</v>
      </c>
      <c r="G24" s="115">
        <f>IFERROR('Profit &amp; Loss'!K42,0)</f>
        <v>6.8853568827539195</v>
      </c>
      <c r="K24" s="123"/>
      <c r="L24" s="123"/>
      <c r="M24" s="123"/>
      <c r="N24" s="185"/>
      <c r="O24" s="123"/>
      <c r="P24" s="123"/>
      <c r="Q24" s="123"/>
      <c r="R24" s="123"/>
    </row>
    <row r="25" spans="2:18" x14ac:dyDescent="0.35">
      <c r="B25" s="59" t="s">
        <v>436</v>
      </c>
      <c r="C25" s="111">
        <f>IFERROR('Profit &amp; Loss'!G15/'Data Sheet'!G74,0)</f>
        <v>0.17885979499416493</v>
      </c>
      <c r="D25" s="111">
        <f>IFERROR('Profit &amp; Loss'!H15/'Data Sheet'!H74,0)</f>
        <v>0.15224138048542024</v>
      </c>
      <c r="E25" s="111">
        <f>IFERROR('Profit &amp; Loss'!I15/'Data Sheet'!I74,0)</f>
        <v>0.15360481809222384</v>
      </c>
      <c r="F25" s="111">
        <f>IFERROR('Profit &amp; Loss'!J15/'Data Sheet'!J74,0)</f>
        <v>0.17388178219201017</v>
      </c>
      <c r="G25" s="111">
        <f>IFERROR('Profit &amp; Loss'!K15/'Data Sheet'!K74,0)</f>
        <v>0.1967917610722735</v>
      </c>
      <c r="K25" s="123"/>
      <c r="L25" s="123"/>
      <c r="M25" s="123"/>
      <c r="N25" s="185"/>
      <c r="O25" s="123"/>
      <c r="P25" s="123"/>
      <c r="Q25" s="123"/>
      <c r="R25" s="123"/>
    </row>
    <row r="26" spans="2:18" x14ac:dyDescent="0.35">
      <c r="B26" s="59" t="s">
        <v>435</v>
      </c>
      <c r="C26" s="111">
        <f>IFERROR('Data Sheet'!G30/('Data Sheet'!G74-'Data Sheet'!G59),0)</f>
        <v>9.3929575657490993E-2</v>
      </c>
      <c r="D26" s="111">
        <f>IFERROR('Data Sheet'!H30/('Data Sheet'!H74-'Data Sheet'!H59),0)</f>
        <v>0.10457756054720148</v>
      </c>
      <c r="E26" s="111">
        <f>IFERROR('Data Sheet'!I30/('Data Sheet'!I74-'Data Sheet'!I59),0)</f>
        <v>0.154101462619049</v>
      </c>
      <c r="F26" s="111">
        <f>IFERROR('Data Sheet'!J30/('Data Sheet'!J74-'Data Sheet'!J59),0)</f>
        <v>0.1762894188279801</v>
      </c>
      <c r="G26" s="111">
        <f>IFERROR('Data Sheet'!K30/('Data Sheet'!K74-'Data Sheet'!K59),0)</f>
        <v>0.1772117974508427</v>
      </c>
      <c r="K26" s="123"/>
      <c r="L26" s="123"/>
      <c r="M26" s="123"/>
      <c r="N26" s="185"/>
      <c r="O26" s="123"/>
      <c r="P26" s="123"/>
      <c r="Q26" s="123"/>
      <c r="R26" s="123"/>
    </row>
    <row r="27" spans="2:18" x14ac:dyDescent="0.35">
      <c r="B27" s="59"/>
      <c r="C27" s="59"/>
      <c r="D27" s="59"/>
      <c r="E27" s="59"/>
      <c r="F27" s="59"/>
      <c r="G27" s="59"/>
      <c r="K27" s="123"/>
      <c r="L27" s="123"/>
      <c r="M27" s="123"/>
      <c r="N27" s="185"/>
      <c r="O27" s="123"/>
      <c r="P27" s="123"/>
      <c r="Q27" s="123"/>
      <c r="R27" s="123"/>
    </row>
    <row r="28" spans="2:18" ht="17.5" customHeight="1" x14ac:dyDescent="0.35">
      <c r="B28" s="113" t="s">
        <v>449</v>
      </c>
      <c r="C28" s="143" t="str">
        <f>data!J25</f>
        <v>No of Shares (in Cr)</v>
      </c>
      <c r="D28" s="211" t="str">
        <f>data!K25</f>
        <v>Shareholding (%)</v>
      </c>
      <c r="E28" s="211"/>
      <c r="F28" s="211" t="str">
        <f>data!L25</f>
        <v>Market value(in Cr)</v>
      </c>
      <c r="G28" s="211"/>
      <c r="I28" s="277" t="s">
        <v>477</v>
      </c>
      <c r="J28" s="277"/>
      <c r="K28" s="277"/>
      <c r="L28" s="277"/>
      <c r="M28" s="123"/>
      <c r="N28" s="185"/>
      <c r="O28" s="123"/>
      <c r="P28" s="123"/>
      <c r="Q28" s="123"/>
      <c r="R28" s="123"/>
    </row>
    <row r="29" spans="2:18" ht="3.5" customHeight="1" x14ac:dyDescent="0.35">
      <c r="B29" s="137"/>
      <c r="C29" s="144"/>
      <c r="D29" s="145"/>
      <c r="E29" s="145"/>
      <c r="F29" s="145"/>
      <c r="G29" s="145"/>
      <c r="K29" s="123"/>
      <c r="L29" s="123"/>
      <c r="M29" s="123"/>
      <c r="N29" s="123"/>
      <c r="O29" s="123"/>
      <c r="P29" s="123"/>
      <c r="Q29" s="123"/>
      <c r="R29" s="123"/>
    </row>
    <row r="30" spans="2:18" x14ac:dyDescent="0.35">
      <c r="B30" s="59" t="str">
        <f>data!I26</f>
        <v>THE SIMRAN SIDDHARTHA TARA BENEFIT TRUST (Name of trustees are mentioned in Note-4)</v>
      </c>
      <c r="C30" s="61">
        <f>data!J26</f>
        <v>12.030647999999999</v>
      </c>
      <c r="D30" s="75">
        <f>data!K26</f>
        <v>0.43859999999999999</v>
      </c>
      <c r="E30" s="61"/>
      <c r="F30" s="61"/>
      <c r="G30" s="82">
        <f>data!L26</f>
        <v>96509.858255999992</v>
      </c>
      <c r="K30" s="123"/>
      <c r="L30" s="123"/>
      <c r="M30" s="123"/>
      <c r="N30" s="185"/>
      <c r="O30" s="123"/>
      <c r="P30" s="123"/>
      <c r="Q30" s="123"/>
      <c r="R30" s="123"/>
    </row>
    <row r="31" spans="2:18" x14ac:dyDescent="0.35">
      <c r="B31" s="59" t="str">
        <f>data!I27</f>
        <v>Sbi Nifty 50 Etf</v>
      </c>
      <c r="C31" s="61">
        <f>data!J27</f>
        <v>0.81674270000000004</v>
      </c>
      <c r="D31" s="75">
        <f>data!K27</f>
        <v>2.98E-2</v>
      </c>
      <c r="E31" s="61"/>
      <c r="F31" s="61"/>
      <c r="G31" s="82">
        <f>data!L27</f>
        <v>6551.9099394000004</v>
      </c>
      <c r="K31" s="123"/>
      <c r="L31" s="123"/>
      <c r="M31" s="123"/>
      <c r="N31" s="185"/>
      <c r="O31" s="123"/>
      <c r="P31" s="123"/>
      <c r="Q31" s="123"/>
      <c r="R31" s="123"/>
    </row>
    <row r="32" spans="2:18" x14ac:dyDescent="0.35">
      <c r="B32" s="59" t="str">
        <f>data!I28</f>
        <v>Hdfc Trustee Company Limited-Hdfc Flexi Cap Fund</v>
      </c>
      <c r="C32" s="61">
        <f>data!J28</f>
        <v>0.68612309999999999</v>
      </c>
      <c r="D32" s="75">
        <f>data!K28</f>
        <v>2.5000000000000001E-2</v>
      </c>
      <c r="E32" s="61"/>
      <c r="F32" s="61"/>
      <c r="G32" s="82">
        <f>data!L28</f>
        <v>5504.0795081999995</v>
      </c>
      <c r="K32" s="123"/>
      <c r="L32" s="123"/>
      <c r="M32" s="123"/>
      <c r="N32" s="185"/>
      <c r="O32" s="123"/>
      <c r="P32" s="123"/>
      <c r="Q32" s="123"/>
      <c r="R32" s="123"/>
    </row>
    <row r="33" spans="2:18" x14ac:dyDescent="0.35">
      <c r="B33" s="59" t="str">
        <f>data!I29</f>
        <v>THE BRINDA LAL TRUST (Mrs Anita Lal Mr. Vikram Lal &amp; Mr. Ravi Prakash)</v>
      </c>
      <c r="C33" s="61">
        <f>data!J29</f>
        <v>0.485707</v>
      </c>
      <c r="D33" s="75">
        <f>data!K29</f>
        <v>1.77E-2</v>
      </c>
      <c r="E33" s="61"/>
      <c r="F33" s="61"/>
      <c r="G33" s="82">
        <f>data!L29</f>
        <v>3896.3415540000001</v>
      </c>
      <c r="K33" s="123"/>
      <c r="L33" s="123"/>
      <c r="M33" s="123"/>
      <c r="N33" s="185"/>
      <c r="O33" s="123"/>
      <c r="P33" s="123"/>
      <c r="Q33" s="123"/>
      <c r="R33" s="123"/>
    </row>
    <row r="34" spans="2:18" x14ac:dyDescent="0.35">
      <c r="B34" s="59" t="str">
        <f>data!I30</f>
        <v>New World Fund Inc</v>
      </c>
      <c r="C34" s="61">
        <f>data!J30</f>
        <v>0.42188700000000001</v>
      </c>
      <c r="D34" s="75">
        <f>data!K30</f>
        <v>1.54E-2</v>
      </c>
      <c r="E34" s="61"/>
      <c r="F34" s="61"/>
      <c r="G34" s="82">
        <f>data!L30</f>
        <v>3384.3775140000002</v>
      </c>
      <c r="K34" s="123"/>
      <c r="L34" s="123"/>
      <c r="M34" s="123"/>
      <c r="N34" s="185"/>
      <c r="O34" s="123"/>
      <c r="P34" s="123"/>
      <c r="Q34" s="123"/>
      <c r="R34" s="123"/>
    </row>
    <row r="35" spans="2:18" x14ac:dyDescent="0.35">
      <c r="B35" s="59" t="str">
        <f>data!I31</f>
        <v>Uti Nifty 50 Etf</v>
      </c>
      <c r="C35" s="61">
        <f>data!J31</f>
        <v>0.3671085</v>
      </c>
      <c r="D35" s="75">
        <f>data!K31</f>
        <v>1.34E-2</v>
      </c>
      <c r="E35" s="61"/>
      <c r="F35" s="61"/>
      <c r="G35" s="82">
        <f>data!L31</f>
        <v>2944.944387</v>
      </c>
      <c r="K35" s="123"/>
      <c r="L35" s="123"/>
      <c r="M35" s="123"/>
      <c r="N35" s="185"/>
      <c r="O35" s="123"/>
      <c r="P35" s="123"/>
      <c r="Q35" s="123"/>
      <c r="R35" s="123"/>
    </row>
    <row r="36" spans="2:18" x14ac:dyDescent="0.35">
      <c r="B36" s="59" t="str">
        <f>data!I32</f>
        <v>Government Of Singapore</v>
      </c>
      <c r="C36" s="61">
        <f>data!J32</f>
        <v>0.32332630000000001</v>
      </c>
      <c r="D36" s="75">
        <f>data!K32</f>
        <v>1.18E-2</v>
      </c>
      <c r="E36" s="61"/>
      <c r="F36" s="61"/>
      <c r="G36" s="82">
        <f>data!L32</f>
        <v>2593.7235786000001</v>
      </c>
      <c r="K36" s="123"/>
      <c r="L36" s="123"/>
      <c r="M36" s="43"/>
      <c r="N36" s="198"/>
      <c r="O36" s="43"/>
      <c r="P36" s="43"/>
    </row>
    <row r="37" spans="2:18" x14ac:dyDescent="0.35">
      <c r="B37" s="59" t="str">
        <f>data!I33</f>
        <v>Simran Lal</v>
      </c>
      <c r="C37" s="61">
        <f>data!J33</f>
        <v>0.31524099999999999</v>
      </c>
      <c r="D37" s="75">
        <f>data!K33</f>
        <v>1.15E-2</v>
      </c>
      <c r="E37" s="61"/>
      <c r="F37" s="61"/>
      <c r="G37" s="82">
        <f>data!L33</f>
        <v>2528.8633019999997</v>
      </c>
      <c r="K37" s="123"/>
      <c r="L37" s="123"/>
      <c r="M37" s="123"/>
      <c r="N37" s="185"/>
      <c r="O37" s="123"/>
      <c r="P37" s="123"/>
    </row>
    <row r="38" spans="2:18" x14ac:dyDescent="0.35">
      <c r="B38" s="59" t="str">
        <f>data!I34</f>
        <v>TARA LAL</v>
      </c>
      <c r="C38" s="61">
        <f>data!J34</f>
        <v>0.314994</v>
      </c>
      <c r="D38" s="75">
        <f>data!K34</f>
        <v>1.15E-2</v>
      </c>
      <c r="E38" s="61"/>
      <c r="F38" s="61"/>
      <c r="G38" s="82">
        <f>data!L34</f>
        <v>2526.8818679999999</v>
      </c>
      <c r="K38" s="123"/>
      <c r="L38" s="123"/>
      <c r="M38" s="123"/>
      <c r="N38" s="185"/>
      <c r="O38" s="123"/>
      <c r="P38" s="123"/>
    </row>
    <row r="39" spans="2:18" x14ac:dyDescent="0.35">
      <c r="B39" s="59" t="str">
        <f>data!I35</f>
        <v>Nps Trust- A/C Sbi Pension Fund Scheme - State Govt</v>
      </c>
      <c r="C39" s="61">
        <f>data!J35</f>
        <v>0.30899720000000003</v>
      </c>
      <c r="D39" s="75">
        <f>data!K35</f>
        <v>1.1299999999999999E-2</v>
      </c>
      <c r="E39" s="61"/>
      <c r="F39" s="61"/>
      <c r="G39" s="82">
        <f>data!L35</f>
        <v>2478.7755384000002</v>
      </c>
      <c r="K39" s="123"/>
      <c r="L39" s="123"/>
      <c r="M39" s="151"/>
      <c r="N39" s="196"/>
      <c r="O39" s="151"/>
      <c r="P39" s="123"/>
    </row>
    <row r="40" spans="2:18" x14ac:dyDescent="0.35">
      <c r="B40" s="59"/>
      <c r="C40" s="61"/>
      <c r="D40" s="61"/>
      <c r="E40" s="61"/>
      <c r="F40" s="61"/>
      <c r="G40" s="61"/>
      <c r="K40" s="123"/>
      <c r="L40" s="123"/>
      <c r="M40" s="123"/>
      <c r="N40" s="185"/>
      <c r="O40" s="123"/>
      <c r="P40" s="123"/>
    </row>
    <row r="41" spans="2:18" ht="15.5" x14ac:dyDescent="0.35">
      <c r="B41" s="105" t="s">
        <v>478</v>
      </c>
      <c r="C41" s="121" t="s">
        <v>485</v>
      </c>
      <c r="D41" s="205" t="s">
        <v>484</v>
      </c>
      <c r="E41" s="205"/>
      <c r="F41" s="205" t="s">
        <v>486</v>
      </c>
      <c r="G41" s="205"/>
      <c r="I41" s="270" t="s">
        <v>206</v>
      </c>
      <c r="J41" s="271"/>
      <c r="K41" s="271"/>
      <c r="L41" s="271"/>
      <c r="M41" s="271"/>
      <c r="N41" s="185"/>
      <c r="O41" s="123"/>
      <c r="P41" s="123"/>
    </row>
    <row r="42" spans="2:18" ht="9" customHeight="1" x14ac:dyDescent="0.35">
      <c r="B42" s="59"/>
      <c r="C42" s="59"/>
      <c r="D42" s="59"/>
      <c r="E42" s="59"/>
      <c r="F42" s="59"/>
      <c r="G42" s="59"/>
      <c r="K42" s="123"/>
      <c r="L42" s="123"/>
      <c r="M42" s="123"/>
      <c r="N42" s="185"/>
      <c r="O42" s="123"/>
      <c r="P42" s="123"/>
    </row>
    <row r="43" spans="2:18" x14ac:dyDescent="0.35">
      <c r="B43" s="59" t="s">
        <v>479</v>
      </c>
      <c r="C43" s="59" t="s">
        <v>487</v>
      </c>
      <c r="D43" s="59">
        <v>32.72</v>
      </c>
      <c r="E43" s="59"/>
      <c r="F43" s="115">
        <v>358.4</v>
      </c>
      <c r="G43" s="59"/>
      <c r="I43" s="123" t="s">
        <v>457</v>
      </c>
      <c r="K43" s="123"/>
      <c r="L43" s="123">
        <v>8022</v>
      </c>
      <c r="M43" s="123"/>
      <c r="N43" s="185"/>
      <c r="O43" s="123"/>
      <c r="P43" s="123"/>
    </row>
    <row r="44" spans="2:18" x14ac:dyDescent="0.35">
      <c r="B44" s="59" t="s">
        <v>480</v>
      </c>
      <c r="C44" s="59" t="s">
        <v>488</v>
      </c>
      <c r="D44" s="59">
        <v>73.03</v>
      </c>
      <c r="E44" s="59"/>
      <c r="F44" s="115">
        <v>9.1</v>
      </c>
      <c r="G44" s="59"/>
      <c r="I44" s="123" t="s">
        <v>458</v>
      </c>
      <c r="K44" s="123"/>
      <c r="L44" s="123">
        <f>'Data Sheet'!B6</f>
        <v>27.429923992542662</v>
      </c>
      <c r="M44" s="123"/>
      <c r="N44" s="185"/>
      <c r="O44" s="123"/>
      <c r="P44" s="123"/>
    </row>
    <row r="45" spans="2:18" x14ac:dyDescent="0.35">
      <c r="B45" s="59" t="s">
        <v>481</v>
      </c>
      <c r="C45" s="59" t="s">
        <v>489</v>
      </c>
      <c r="D45" s="59">
        <v>19.399999999999999</v>
      </c>
      <c r="E45" s="59"/>
      <c r="F45" s="115">
        <v>211.8</v>
      </c>
      <c r="G45" s="59"/>
      <c r="I45" s="272" t="s">
        <v>459</v>
      </c>
      <c r="J45" s="272"/>
      <c r="K45" s="272"/>
      <c r="L45" s="272">
        <f>L43*L44</f>
        <v>220042.85026817722</v>
      </c>
      <c r="M45" s="123"/>
      <c r="N45" s="185"/>
      <c r="O45" s="123"/>
      <c r="P45" s="123"/>
    </row>
    <row r="46" spans="2:18" x14ac:dyDescent="0.35">
      <c r="B46" s="59" t="s">
        <v>482</v>
      </c>
      <c r="C46" s="59" t="s">
        <v>490</v>
      </c>
      <c r="D46" s="59"/>
      <c r="E46" s="59"/>
      <c r="F46" s="59"/>
      <c r="G46" s="59"/>
      <c r="I46" s="273" t="s">
        <v>460</v>
      </c>
      <c r="K46" s="123"/>
      <c r="L46" s="274">
        <f>'Data Sheet'!K69*-1</f>
        <v>-263.01</v>
      </c>
      <c r="M46" s="123"/>
      <c r="N46" s="185"/>
      <c r="O46" s="123"/>
      <c r="P46" s="123"/>
    </row>
    <row r="47" spans="2:18" x14ac:dyDescent="0.35">
      <c r="B47" s="59" t="s">
        <v>483</v>
      </c>
      <c r="C47" s="59" t="s">
        <v>491</v>
      </c>
      <c r="D47" s="59"/>
      <c r="E47" s="59"/>
      <c r="F47" s="59"/>
      <c r="G47" s="59"/>
      <c r="I47" s="273" t="s">
        <v>461</v>
      </c>
      <c r="K47" s="123"/>
      <c r="L47" s="123">
        <f>'Data Sheet'!K59</f>
        <v>458.13</v>
      </c>
      <c r="M47" s="123"/>
      <c r="N47" s="185"/>
      <c r="O47" s="123"/>
      <c r="P47" s="123"/>
    </row>
    <row r="48" spans="2:18" x14ac:dyDescent="0.35">
      <c r="B48" s="254"/>
      <c r="C48" s="254"/>
      <c r="D48" s="254"/>
      <c r="E48" s="254"/>
      <c r="F48" s="254"/>
      <c r="G48" s="254"/>
      <c r="I48" s="275" t="s">
        <v>462</v>
      </c>
      <c r="J48" s="272"/>
      <c r="K48" s="272"/>
      <c r="L48" s="272">
        <f>SUM(L45:L47)</f>
        <v>220237.97026817722</v>
      </c>
      <c r="M48" s="123"/>
      <c r="N48" s="185"/>
      <c r="O48" s="123"/>
      <c r="P48" s="123"/>
    </row>
    <row r="49" spans="2:16" x14ac:dyDescent="0.35">
      <c r="B49" s="276"/>
      <c r="C49" s="276"/>
      <c r="D49" s="276"/>
      <c r="E49" s="276"/>
      <c r="F49" s="276"/>
      <c r="G49" s="276"/>
      <c r="H49" s="276"/>
      <c r="I49" s="269"/>
      <c r="J49" s="57"/>
      <c r="K49" s="57"/>
      <c r="L49" s="57"/>
      <c r="P49" s="123"/>
    </row>
    <row r="50" spans="2:16" ht="15.5" x14ac:dyDescent="0.35">
      <c r="B50" s="387" t="s">
        <v>493</v>
      </c>
      <c r="C50" s="387"/>
      <c r="D50" s="387"/>
      <c r="E50" s="387"/>
      <c r="F50" s="387"/>
      <c r="G50" s="387"/>
      <c r="H50" s="387"/>
      <c r="I50" s="206"/>
      <c r="J50" s="206"/>
      <c r="K50" s="206"/>
      <c r="L50" s="206"/>
    </row>
    <row r="51" spans="2:16" x14ac:dyDescent="0.35">
      <c r="B51" s="57"/>
      <c r="C51" s="57"/>
      <c r="D51" s="57"/>
      <c r="E51" s="57"/>
      <c r="F51" s="57"/>
      <c r="G51" s="57"/>
      <c r="H51" s="57"/>
      <c r="I51" s="57"/>
      <c r="J51" s="57"/>
      <c r="K51" s="43"/>
      <c r="L51" s="43"/>
    </row>
    <row r="52" spans="2:16" s="390" customFormat="1" ht="29" customHeight="1" x14ac:dyDescent="0.35">
      <c r="B52" s="388" t="s">
        <v>492</v>
      </c>
      <c r="C52" s="388"/>
      <c r="D52" s="388"/>
      <c r="E52" s="388"/>
      <c r="F52" s="388"/>
      <c r="G52" s="388"/>
      <c r="H52" s="388"/>
      <c r="I52" s="388"/>
      <c r="J52" s="388"/>
      <c r="K52" s="389"/>
      <c r="L52" s="389"/>
      <c r="N52" s="391"/>
    </row>
    <row r="53" spans="2:16" ht="26" customHeight="1" x14ac:dyDescent="0.35">
      <c r="B53" s="207" t="s">
        <v>494</v>
      </c>
      <c r="C53" s="207"/>
      <c r="D53" s="207"/>
      <c r="E53" s="207"/>
      <c r="F53" s="207"/>
      <c r="G53" s="207"/>
      <c r="H53" s="208"/>
      <c r="I53" s="208"/>
      <c r="J53" s="207"/>
      <c r="K53" s="208"/>
      <c r="L53" s="208"/>
    </row>
    <row r="54" spans="2:16" x14ac:dyDescent="0.35">
      <c r="B54" s="204" t="s">
        <v>495</v>
      </c>
      <c r="C54" s="204"/>
      <c r="D54" s="204"/>
      <c r="E54" s="204"/>
      <c r="F54" s="204"/>
      <c r="G54" s="204"/>
      <c r="H54" s="204"/>
      <c r="I54" s="204"/>
      <c r="J54" s="204"/>
      <c r="K54" s="204"/>
      <c r="L54" s="204"/>
    </row>
    <row r="55" spans="2:16" x14ac:dyDescent="0.35">
      <c r="B55" s="204" t="s">
        <v>496</v>
      </c>
      <c r="C55" s="204"/>
      <c r="D55" s="204"/>
      <c r="E55" s="204"/>
      <c r="F55" s="204"/>
      <c r="G55" s="204"/>
      <c r="H55" s="204"/>
      <c r="I55" s="204"/>
      <c r="J55" s="204"/>
      <c r="K55" s="204"/>
      <c r="L55" s="204"/>
    </row>
    <row r="56" spans="2:16" x14ac:dyDescent="0.35"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</row>
    <row r="57" spans="2:16" ht="15.5" x14ac:dyDescent="0.35">
      <c r="B57" s="158" t="s">
        <v>497</v>
      </c>
      <c r="C57" s="158"/>
      <c r="D57" s="173"/>
      <c r="E57" s="173"/>
      <c r="F57" s="173"/>
      <c r="G57" s="173"/>
      <c r="H57" s="173"/>
      <c r="I57" s="173"/>
      <c r="J57" s="173"/>
      <c r="K57" s="122"/>
      <c r="L57" s="122"/>
    </row>
    <row r="58" spans="2:16" x14ac:dyDescent="0.35">
      <c r="B58" s="151" t="s">
        <v>502</v>
      </c>
      <c r="C58" s="151"/>
      <c r="D58" s="151"/>
      <c r="E58" s="151"/>
      <c r="F58" s="151"/>
      <c r="G58" s="151"/>
      <c r="H58" s="151"/>
      <c r="I58" s="151"/>
      <c r="J58" s="151"/>
    </row>
    <row r="59" spans="2:16" x14ac:dyDescent="0.35">
      <c r="B59" s="59" t="s">
        <v>499</v>
      </c>
      <c r="C59" s="59"/>
      <c r="D59" s="59"/>
      <c r="E59" s="59"/>
      <c r="F59" s="59"/>
      <c r="G59" s="59"/>
      <c r="H59" s="59"/>
      <c r="I59" s="59"/>
      <c r="J59" s="59"/>
      <c r="K59" s="59"/>
      <c r="L59" s="59"/>
    </row>
    <row r="60" spans="2:16" x14ac:dyDescent="0.35">
      <c r="B60" s="59" t="s">
        <v>498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</row>
    <row r="61" spans="2:16" x14ac:dyDescent="0.35">
      <c r="B61" s="59" t="s">
        <v>500</v>
      </c>
      <c r="C61" s="59"/>
      <c r="D61" s="59"/>
      <c r="E61" s="59"/>
      <c r="F61" s="59"/>
      <c r="G61" s="59"/>
      <c r="H61" s="59"/>
      <c r="I61" s="59"/>
      <c r="J61" s="59"/>
      <c r="K61" s="59"/>
      <c r="L61" s="59"/>
    </row>
    <row r="62" spans="2:16" x14ac:dyDescent="0.35">
      <c r="B62" s="59" t="s">
        <v>501</v>
      </c>
      <c r="C62" s="59"/>
      <c r="D62" s="59"/>
      <c r="E62" s="59"/>
      <c r="F62" s="59"/>
      <c r="G62" s="59"/>
      <c r="H62" s="59"/>
      <c r="I62" s="59"/>
      <c r="J62" s="59"/>
      <c r="K62" s="59"/>
      <c r="L62" s="59"/>
    </row>
    <row r="63" spans="2:16" x14ac:dyDescent="0.35"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</row>
    <row r="64" spans="2:16" x14ac:dyDescent="0.35">
      <c r="B64" s="123"/>
      <c r="C64" s="123"/>
      <c r="D64" s="123"/>
      <c r="E64" s="123"/>
      <c r="K64" s="123"/>
      <c r="L64" s="123"/>
      <c r="M64" s="123"/>
    </row>
    <row r="65" spans="2:13" x14ac:dyDescent="0.35"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123"/>
    </row>
    <row r="66" spans="2:13" x14ac:dyDescent="0.35"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123"/>
    </row>
    <row r="67" spans="2:13" x14ac:dyDescent="0.35"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123"/>
    </row>
    <row r="68" spans="2:13" x14ac:dyDescent="0.35"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123"/>
    </row>
    <row r="69" spans="2:13" x14ac:dyDescent="0.35"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123"/>
    </row>
    <row r="70" spans="2:13" x14ac:dyDescent="0.35"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123"/>
    </row>
    <row r="71" spans="2:13" x14ac:dyDescent="0.35"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123"/>
    </row>
    <row r="72" spans="2:13" x14ac:dyDescent="0.35"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123"/>
    </row>
    <row r="73" spans="2:13" x14ac:dyDescent="0.35"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123"/>
    </row>
    <row r="74" spans="2:13" x14ac:dyDescent="0.35"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123"/>
    </row>
    <row r="75" spans="2:13" x14ac:dyDescent="0.35"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123"/>
    </row>
    <row r="76" spans="2:13" x14ac:dyDescent="0.35"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23"/>
    </row>
    <row r="77" spans="2:13" x14ac:dyDescent="0.35"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123"/>
    </row>
    <row r="78" spans="2:13" x14ac:dyDescent="0.35"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123"/>
    </row>
    <row r="79" spans="2:13" x14ac:dyDescent="0.35"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123"/>
    </row>
    <row r="80" spans="2:13" x14ac:dyDescent="0.35"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123"/>
    </row>
    <row r="81" spans="2:13" x14ac:dyDescent="0.35"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123"/>
    </row>
    <row r="82" spans="2:13" x14ac:dyDescent="0.35"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123"/>
    </row>
    <row r="83" spans="2:13" x14ac:dyDescent="0.35"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123"/>
    </row>
    <row r="84" spans="2:13" x14ac:dyDescent="0.35"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123"/>
    </row>
    <row r="85" spans="2:13" x14ac:dyDescent="0.35"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123"/>
    </row>
    <row r="86" spans="2:13" x14ac:dyDescent="0.35"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123"/>
    </row>
    <row r="87" spans="2:13" x14ac:dyDescent="0.35"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123"/>
    </row>
    <row r="88" spans="2:13" x14ac:dyDescent="0.35"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123"/>
    </row>
    <row r="89" spans="2:13" x14ac:dyDescent="0.35"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123"/>
    </row>
    <row r="90" spans="2:13" x14ac:dyDescent="0.35"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123"/>
    </row>
    <row r="91" spans="2:13" x14ac:dyDescent="0.35"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123"/>
    </row>
    <row r="92" spans="2:13" x14ac:dyDescent="0.35"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123"/>
    </row>
    <row r="93" spans="2:13" x14ac:dyDescent="0.35"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123"/>
    </row>
    <row r="94" spans="2:13" x14ac:dyDescent="0.35"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123"/>
    </row>
    <row r="95" spans="2:13" x14ac:dyDescent="0.35"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123"/>
    </row>
    <row r="96" spans="2:13" x14ac:dyDescent="0.35"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123"/>
    </row>
    <row r="97" spans="2:13" x14ac:dyDescent="0.35"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123"/>
    </row>
    <row r="98" spans="2:13" x14ac:dyDescent="0.35"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123"/>
    </row>
    <row r="99" spans="2:13" x14ac:dyDescent="0.35"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123"/>
    </row>
    <row r="100" spans="2:13" x14ac:dyDescent="0.35"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123"/>
    </row>
    <row r="101" spans="2:13" x14ac:dyDescent="0.35"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123"/>
    </row>
    <row r="102" spans="2:13" x14ac:dyDescent="0.35"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123"/>
    </row>
    <row r="103" spans="2:13" x14ac:dyDescent="0.35"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123"/>
    </row>
    <row r="104" spans="2:13" x14ac:dyDescent="0.35"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123"/>
    </row>
    <row r="105" spans="2:13" x14ac:dyDescent="0.35"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123"/>
    </row>
    <row r="106" spans="2:13" x14ac:dyDescent="0.35"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123"/>
    </row>
    <row r="107" spans="2:13" x14ac:dyDescent="0.35"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123"/>
    </row>
    <row r="108" spans="2:13" x14ac:dyDescent="0.35">
      <c r="B108" s="123"/>
      <c r="C108" s="123"/>
      <c r="D108" s="123"/>
      <c r="E108" s="123"/>
      <c r="K108" s="123"/>
      <c r="L108" s="123"/>
      <c r="M108" s="123"/>
    </row>
    <row r="109" spans="2:13" x14ac:dyDescent="0.35">
      <c r="F109" s="43"/>
      <c r="G109" s="43"/>
      <c r="H109" s="43"/>
      <c r="I109" s="43"/>
      <c r="J109" s="43"/>
    </row>
  </sheetData>
  <mergeCells count="15">
    <mergeCell ref="B2:L2"/>
    <mergeCell ref="C4:K4"/>
    <mergeCell ref="F28:G28"/>
    <mergeCell ref="D28:E28"/>
    <mergeCell ref="I6:L6"/>
    <mergeCell ref="I19:L19"/>
    <mergeCell ref="I28:L28"/>
    <mergeCell ref="B55:L55"/>
    <mergeCell ref="B56:L56"/>
    <mergeCell ref="D41:E41"/>
    <mergeCell ref="F41:G41"/>
    <mergeCell ref="B50:L50"/>
    <mergeCell ref="B54:L54"/>
    <mergeCell ref="B52:L52"/>
    <mergeCell ref="B53:L53"/>
  </mergeCells>
  <hyperlinks>
    <hyperlink ref="B52" r:id="rId1" display="https://www.marketsmojo.com/news/stocks-in-action/eicher-motors-ltd-hits-new-52-week-high-of-rs8140-on-19-feb-2026-3846936" xr:uid="{D1667DE0-9DB3-435F-87FF-F6F058B84A62}"/>
  </hyperlinks>
  <pageMargins left="0.31496062992125984" right="0.31496062992125984" top="0.55118110236220474" bottom="0.55118110236220474" header="0.31496062992125984" footer="0.11811023622047245"/>
  <pageSetup paperSize="9" scale="68" orientation="portrait" r:id="rId2"/>
  <headerFooter>
    <oddHeader xml:space="preserve">&amp;R </oddHeader>
    <oddFooter>&amp;RBy Nikhil Kulkarni MBA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0428-FF80-434C-87A3-FECAC1D3B3EA}">
  <sheetPr>
    <tabColor theme="7" tint="-0.249977111117893"/>
  </sheetPr>
  <dimension ref="A1:S109"/>
  <sheetViews>
    <sheetView showGridLines="0" tabSelected="1" view="pageBreakPreview" zoomScale="55" zoomScaleNormal="55" zoomScaleSheetLayoutView="55" zoomScalePageLayoutView="30" workbookViewId="0">
      <selection activeCell="G72" sqref="G72"/>
    </sheetView>
  </sheetViews>
  <sheetFormatPr defaultRowHeight="14.5" x14ac:dyDescent="0.35"/>
  <cols>
    <col min="1" max="1" width="1.81640625" style="15" customWidth="1"/>
    <col min="2" max="2" width="24" style="15" customWidth="1"/>
    <col min="3" max="5" width="13.6328125" style="15" customWidth="1"/>
    <col min="6" max="10" width="13.6328125" style="127" customWidth="1"/>
    <col min="11" max="12" width="13.6328125" style="15" customWidth="1"/>
    <col min="13" max="13" width="13.6328125" style="42" customWidth="1"/>
    <col min="14" max="16384" width="8.7265625" style="15"/>
  </cols>
  <sheetData>
    <row r="1" spans="1:19" x14ac:dyDescent="0.35">
      <c r="F1" s="15"/>
      <c r="G1" s="15"/>
      <c r="H1" s="15"/>
      <c r="I1" s="15"/>
      <c r="J1" s="15"/>
    </row>
    <row r="2" spans="1:19" x14ac:dyDescent="0.35">
      <c r="D2" s="215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E2" s="215"/>
      <c r="F2" s="215"/>
      <c r="G2" s="215"/>
      <c r="H2" s="215"/>
      <c r="I2" s="215"/>
      <c r="J2" s="215"/>
      <c r="K2" s="215"/>
      <c r="L2" s="215"/>
    </row>
    <row r="3" spans="1:19" x14ac:dyDescent="0.35">
      <c r="D3" s="215"/>
      <c r="E3" s="215"/>
      <c r="F3" s="215"/>
      <c r="G3" s="215"/>
      <c r="H3" s="215"/>
      <c r="I3" s="215"/>
      <c r="J3" s="215"/>
      <c r="K3" s="215"/>
      <c r="L3" s="215"/>
    </row>
    <row r="4" spans="1:19" x14ac:dyDescent="0.35">
      <c r="D4" s="215"/>
      <c r="E4" s="215"/>
      <c r="F4" s="215"/>
      <c r="G4" s="215"/>
      <c r="H4" s="215"/>
      <c r="I4" s="215"/>
      <c r="J4" s="215"/>
      <c r="K4" s="215"/>
      <c r="L4" s="215"/>
    </row>
    <row r="5" spans="1:19" x14ac:dyDescent="0.35">
      <c r="D5" s="215"/>
      <c r="E5" s="215"/>
      <c r="F5" s="215"/>
      <c r="G5" s="215"/>
      <c r="H5" s="215"/>
      <c r="I5" s="215"/>
      <c r="J5" s="215"/>
      <c r="K5" s="215"/>
      <c r="L5" s="215"/>
    </row>
    <row r="6" spans="1:19" x14ac:dyDescent="0.35">
      <c r="D6" s="215"/>
      <c r="E6" s="215"/>
      <c r="F6" s="215"/>
      <c r="G6" s="215"/>
      <c r="H6" s="215"/>
      <c r="I6" s="215"/>
      <c r="J6" s="215"/>
      <c r="K6" s="215"/>
      <c r="L6" s="215"/>
      <c r="M6" s="187"/>
      <c r="N6" s="127"/>
      <c r="O6" s="127"/>
      <c r="P6" s="127"/>
      <c r="Q6" s="127"/>
      <c r="R6" s="127"/>
      <c r="S6" s="127"/>
    </row>
    <row r="7" spans="1:19" x14ac:dyDescent="0.35">
      <c r="D7" s="215"/>
      <c r="E7" s="215"/>
      <c r="F7" s="215"/>
      <c r="G7" s="215"/>
      <c r="H7" s="215"/>
      <c r="I7" s="216"/>
      <c r="J7" s="216"/>
      <c r="K7" s="216"/>
      <c r="L7" s="216"/>
      <c r="M7" s="187"/>
      <c r="N7" s="127"/>
      <c r="O7" s="127"/>
      <c r="P7" s="127"/>
      <c r="Q7" s="127"/>
      <c r="R7" s="127"/>
      <c r="S7" s="127"/>
    </row>
    <row r="8" spans="1:19" ht="8.5" customHeight="1" x14ac:dyDescent="0.35">
      <c r="F8" s="15"/>
      <c r="G8" s="15"/>
      <c r="H8" s="15"/>
      <c r="K8" s="127"/>
      <c r="L8" s="127"/>
      <c r="M8" s="187"/>
      <c r="N8" s="127"/>
      <c r="O8" s="127"/>
      <c r="P8" s="127"/>
      <c r="Q8" s="127"/>
      <c r="R8" s="127"/>
      <c r="S8" s="127"/>
    </row>
    <row r="9" spans="1:19" ht="15.5" x14ac:dyDescent="0.35">
      <c r="B9" s="213" t="str">
        <f>"Historical Finanical Statement - "&amp;'Balance Sheet'!A1</f>
        <v>Historical Finanical Statement - EICHER MOTORS LTD</v>
      </c>
      <c r="C9" s="213"/>
      <c r="D9" s="213"/>
      <c r="E9" s="213"/>
      <c r="F9" s="213"/>
      <c r="G9" s="213"/>
      <c r="H9" s="213"/>
      <c r="I9" s="214"/>
      <c r="J9" s="214"/>
      <c r="K9" s="214"/>
      <c r="L9" s="214"/>
      <c r="M9" s="279"/>
      <c r="N9" s="127"/>
      <c r="O9" s="127"/>
      <c r="P9" s="127"/>
      <c r="Q9" s="127"/>
      <c r="R9" s="127"/>
      <c r="S9" s="127"/>
    </row>
    <row r="10" spans="1:19" ht="15.5" x14ac:dyDescent="0.35">
      <c r="B10" s="181" t="s">
        <v>75</v>
      </c>
      <c r="C10" s="183">
        <f>'Balance Sheet'!B3</f>
        <v>42460</v>
      </c>
      <c r="D10" s="184">
        <f>'Balance Sheet'!C3</f>
        <v>42825</v>
      </c>
      <c r="E10" s="184">
        <f>'Balance Sheet'!D3</f>
        <v>43190</v>
      </c>
      <c r="F10" s="184">
        <f>'Balance Sheet'!E3</f>
        <v>43555</v>
      </c>
      <c r="G10" s="184">
        <f>'Balance Sheet'!F3</f>
        <v>43921</v>
      </c>
      <c r="H10" s="184">
        <f>'Balance Sheet'!G3</f>
        <v>44286</v>
      </c>
      <c r="I10" s="184">
        <f>'Balance Sheet'!H3</f>
        <v>44651</v>
      </c>
      <c r="J10" s="184">
        <f>'Balance Sheet'!I3</f>
        <v>45016</v>
      </c>
      <c r="K10" s="184">
        <f>'Balance Sheet'!J3</f>
        <v>45382</v>
      </c>
      <c r="L10" s="184">
        <f>'Balance Sheet'!K3</f>
        <v>45747</v>
      </c>
      <c r="M10" s="280" t="s">
        <v>76</v>
      </c>
      <c r="N10" s="127"/>
      <c r="O10" s="127"/>
      <c r="P10" s="127"/>
      <c r="Q10" s="127"/>
      <c r="R10" s="127"/>
      <c r="S10" s="127"/>
    </row>
    <row r="11" spans="1:19" x14ac:dyDescent="0.35">
      <c r="A11" s="15" t="s">
        <v>77</v>
      </c>
      <c r="B11" s="147" t="s">
        <v>78</v>
      </c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87"/>
      <c r="N11" s="127"/>
      <c r="O11" s="127"/>
      <c r="P11" s="127"/>
      <c r="Q11" s="127"/>
      <c r="R11" s="127"/>
      <c r="S11" s="127"/>
    </row>
    <row r="12" spans="1:19" x14ac:dyDescent="0.35">
      <c r="B12" s="15" t="s">
        <v>3</v>
      </c>
      <c r="C12" s="15">
        <f>IFERROR('Profit &amp; Loss'!B4,'Profit &amp; Loss'!B40)</f>
        <v>6173.46</v>
      </c>
      <c r="D12" s="15">
        <f>IFERROR('Profit &amp; Loss'!C4,'Profit &amp; Loss'!C40)</f>
        <v>7033.36</v>
      </c>
      <c r="E12" s="15">
        <f>IFERROR('Profit &amp; Loss'!D4,'Profit &amp; Loss'!D40)</f>
        <v>8964.9599999999991</v>
      </c>
      <c r="F12" s="15">
        <f>IFERROR('Profit &amp; Loss'!E4,'Profit &amp; Loss'!E40)</f>
        <v>9797.06</v>
      </c>
      <c r="G12" s="15">
        <f>IFERROR('Profit &amp; Loss'!F4,'Profit &amp; Loss'!F40)</f>
        <v>9153.58</v>
      </c>
      <c r="H12" s="15">
        <f>IFERROR('Profit &amp; Loss'!G4,'Profit &amp; Loss'!G40)</f>
        <v>8720.35</v>
      </c>
      <c r="I12" s="15">
        <f>IFERROR('Profit &amp; Loss'!H4,'Profit &amp; Loss'!H40)</f>
        <v>10297.83</v>
      </c>
      <c r="J12" s="15">
        <f>IFERROR('Profit &amp; Loss'!I4,'Profit &amp; Loss'!I40)</f>
        <v>14442.18</v>
      </c>
      <c r="K12" s="15">
        <f>IFERROR('Profit &amp; Loss'!J4,'Profit &amp; Loss'!J40)</f>
        <v>16535.78</v>
      </c>
      <c r="L12" s="15">
        <f>IFERROR('Profit &amp; Loss'!K4,'Profit &amp; Loss'!K40)</f>
        <v>18870.349999999999</v>
      </c>
      <c r="M12" s="187">
        <f>IFERROR(SUM(#REF!),0)</f>
        <v>0</v>
      </c>
      <c r="N12" s="127"/>
      <c r="O12" s="127"/>
      <c r="P12" s="127"/>
      <c r="Q12" s="127"/>
      <c r="R12" s="127"/>
      <c r="S12" s="127"/>
    </row>
    <row r="13" spans="1:19" x14ac:dyDescent="0.35">
      <c r="B13" s="73" t="s">
        <v>17</v>
      </c>
      <c r="C13" s="74" t="s">
        <v>79</v>
      </c>
      <c r="D13" s="73">
        <f>IFERROR(D12/C12-1,0)</f>
        <v>0.13928979858944568</v>
      </c>
      <c r="E13" s="73">
        <f t="shared" ref="E13:L13" si="0">IFERROR(E12/D12-1,0)</f>
        <v>0.27463402982358365</v>
      </c>
      <c r="F13" s="73">
        <f t="shared" si="0"/>
        <v>9.2816922774892507E-2</v>
      </c>
      <c r="G13" s="73">
        <f t="shared" si="0"/>
        <v>-6.568092876842635E-2</v>
      </c>
      <c r="H13" s="73">
        <f t="shared" si="0"/>
        <v>-4.732902318000165E-2</v>
      </c>
      <c r="I13" s="73">
        <f t="shared" si="0"/>
        <v>0.18089640897441028</v>
      </c>
      <c r="J13" s="73">
        <f t="shared" si="0"/>
        <v>0.40244886544058311</v>
      </c>
      <c r="K13" s="73">
        <f t="shared" si="0"/>
        <v>0.14496426439775711</v>
      </c>
      <c r="L13" s="73">
        <f t="shared" si="0"/>
        <v>0.14118293784750402</v>
      </c>
      <c r="M13" s="281">
        <f t="shared" ref="M13" si="1">M12/L12-1</f>
        <v>-1</v>
      </c>
      <c r="N13" s="127"/>
      <c r="O13" s="127"/>
      <c r="P13" s="127"/>
      <c r="Q13" s="127"/>
      <c r="R13" s="127"/>
      <c r="S13" s="127"/>
    </row>
    <row r="14" spans="1:19" x14ac:dyDescent="0.35"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187"/>
      <c r="N14" s="127"/>
      <c r="O14" s="127"/>
      <c r="P14" s="127"/>
      <c r="Q14" s="127"/>
      <c r="R14" s="127"/>
      <c r="S14" s="127"/>
    </row>
    <row r="15" spans="1:19" x14ac:dyDescent="0.35">
      <c r="B15" s="81" t="s">
        <v>80</v>
      </c>
      <c r="C15" s="81">
        <f>IFERROR(SUM('Data Sheet'!B18,'Data Sheet'!B20:B22)-1*'Data Sheet'!B190,0)</f>
        <v>4067.88</v>
      </c>
      <c r="D15" s="81">
        <f>IFERROR(SUM('Data Sheet'!C18,'Data Sheet'!C20:C22)-1*'Data Sheet'!C190,0)</f>
        <v>4371.1099999999997</v>
      </c>
      <c r="E15" s="81">
        <f>IFERROR(SUM('Data Sheet'!D18,'Data Sheet'!D20:D22)-1*'Data Sheet'!D190,0)</f>
        <v>5515.92</v>
      </c>
      <c r="F15" s="81">
        <f>IFERROR(SUM('Data Sheet'!E18,'Data Sheet'!E20:E22)-1*'Data Sheet'!E190,0)</f>
        <v>6302.5300000000007</v>
      </c>
      <c r="G15" s="81">
        <f>IFERROR(SUM('Data Sheet'!F18,'Data Sheet'!F20:F22)-1*'Data Sheet'!F190,0)</f>
        <v>6029.7999999999993</v>
      </c>
      <c r="H15" s="81">
        <f>IFERROR(SUM('Data Sheet'!G18,'Data Sheet'!G20:G22)-1*'Data Sheet'!G190,0)</f>
        <v>6466.91</v>
      </c>
      <c r="I15" s="81">
        <f>IFERROR(SUM('Data Sheet'!H18,'Data Sheet'!H20:H22)-1*'Data Sheet'!H190,0)</f>
        <v>7316.49</v>
      </c>
      <c r="J15" s="81">
        <f>IFERROR(SUM('Data Sheet'!I18,'Data Sheet'!I20:I22)-1*'Data Sheet'!I190,0)</f>
        <v>9753.15</v>
      </c>
      <c r="K15" s="81">
        <f>IFERROR(SUM('Data Sheet'!J18,'Data Sheet'!J20:J22)-1*'Data Sheet'!J190,0)</f>
        <v>10898.010000000002</v>
      </c>
      <c r="L15" s="81">
        <f>IFERROR(SUM('Data Sheet'!K18,'Data Sheet'!K20:K22)-1*'Data Sheet'!K190,0)</f>
        <v>12404.62</v>
      </c>
      <c r="M15" s="187">
        <f>IFERROR(SUM(#REF!),0)</f>
        <v>0</v>
      </c>
      <c r="N15" s="127"/>
      <c r="O15" s="127"/>
      <c r="P15" s="127"/>
      <c r="Q15" s="127"/>
      <c r="R15" s="127"/>
      <c r="S15" s="127"/>
    </row>
    <row r="16" spans="1:19" x14ac:dyDescent="0.35">
      <c r="B16" s="73" t="s">
        <v>81</v>
      </c>
      <c r="C16" s="74">
        <f>C15/C12</f>
        <v>0.65893032432379894</v>
      </c>
      <c r="D16" s="73">
        <f t="shared" ref="D16:M16" si="2">D15/D12</f>
        <v>0.62148247779155341</v>
      </c>
      <c r="E16" s="73">
        <f t="shared" si="2"/>
        <v>0.61527547250629122</v>
      </c>
      <c r="F16" s="73">
        <f t="shared" si="2"/>
        <v>0.64330829861203265</v>
      </c>
      <c r="G16" s="73">
        <f t="shared" si="2"/>
        <v>0.65873680024646086</v>
      </c>
      <c r="H16" s="73">
        <f t="shared" si="2"/>
        <v>0.74158835367846465</v>
      </c>
      <c r="I16" s="73">
        <f t="shared" si="2"/>
        <v>0.71048852039701571</v>
      </c>
      <c r="J16" s="73">
        <f t="shared" si="2"/>
        <v>0.67532394693875852</v>
      </c>
      <c r="K16" s="73">
        <f t="shared" si="2"/>
        <v>0.65905630094256229</v>
      </c>
      <c r="L16" s="73">
        <f t="shared" si="2"/>
        <v>0.65736035632619438</v>
      </c>
      <c r="M16" s="281" t="e">
        <f t="shared" si="2"/>
        <v>#DIV/0!</v>
      </c>
      <c r="N16" s="127"/>
      <c r="O16" s="127"/>
      <c r="P16" s="127"/>
      <c r="Q16" s="127"/>
      <c r="R16" s="127"/>
      <c r="S16" s="127"/>
    </row>
    <row r="17" spans="2:19" x14ac:dyDescent="0.35"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187"/>
      <c r="N17" s="127"/>
      <c r="O17" s="127"/>
      <c r="P17" s="127"/>
      <c r="Q17" s="127"/>
      <c r="R17" s="127"/>
      <c r="S17" s="127"/>
    </row>
    <row r="18" spans="2:19" x14ac:dyDescent="0.35">
      <c r="B18" s="112" t="s">
        <v>82</v>
      </c>
      <c r="C18" s="112">
        <f>C12-C15</f>
        <v>2105.58</v>
      </c>
      <c r="D18" s="112">
        <f t="shared" ref="D18:M18" si="3">D12-D15</f>
        <v>2662.25</v>
      </c>
      <c r="E18" s="112">
        <f t="shared" si="3"/>
        <v>3449.0399999999991</v>
      </c>
      <c r="F18" s="112">
        <f t="shared" si="3"/>
        <v>3494.5299999999988</v>
      </c>
      <c r="G18" s="112">
        <f t="shared" si="3"/>
        <v>3123.7800000000007</v>
      </c>
      <c r="H18" s="112">
        <f t="shared" si="3"/>
        <v>2253.4400000000005</v>
      </c>
      <c r="I18" s="112">
        <f t="shared" si="3"/>
        <v>2981.34</v>
      </c>
      <c r="J18" s="112">
        <f t="shared" si="3"/>
        <v>4689.0300000000007</v>
      </c>
      <c r="K18" s="112">
        <f t="shared" si="3"/>
        <v>5637.7699999999968</v>
      </c>
      <c r="L18" s="112">
        <f t="shared" si="3"/>
        <v>6465.7299999999977</v>
      </c>
      <c r="M18" s="187">
        <f t="shared" si="3"/>
        <v>0</v>
      </c>
      <c r="N18" s="127"/>
      <c r="O18" s="127"/>
      <c r="P18" s="127"/>
      <c r="Q18" s="127"/>
      <c r="R18" s="127"/>
      <c r="S18" s="127"/>
    </row>
    <row r="19" spans="2:19" x14ac:dyDescent="0.35">
      <c r="B19" s="73" t="s">
        <v>88</v>
      </c>
      <c r="C19" s="74">
        <f>C18/C12</f>
        <v>0.341069675676201</v>
      </c>
      <c r="D19" s="73">
        <f t="shared" ref="D19:M19" si="4">D18/D12</f>
        <v>0.37851752220844664</v>
      </c>
      <c r="E19" s="73">
        <f t="shared" si="4"/>
        <v>0.38472452749370878</v>
      </c>
      <c r="F19" s="73">
        <f t="shared" si="4"/>
        <v>0.3566917013879673</v>
      </c>
      <c r="G19" s="73">
        <f t="shared" si="4"/>
        <v>0.34126319975353914</v>
      </c>
      <c r="H19" s="73">
        <f t="shared" si="4"/>
        <v>0.25841164632153529</v>
      </c>
      <c r="I19" s="73">
        <f t="shared" si="4"/>
        <v>0.28951147960298435</v>
      </c>
      <c r="J19" s="73">
        <f t="shared" si="4"/>
        <v>0.32467605306124148</v>
      </c>
      <c r="K19" s="73">
        <f t="shared" si="4"/>
        <v>0.34094369905743771</v>
      </c>
      <c r="L19" s="73">
        <f t="shared" si="4"/>
        <v>0.34263964367380562</v>
      </c>
      <c r="M19" s="281" t="e">
        <f t="shared" si="4"/>
        <v>#DIV/0!</v>
      </c>
      <c r="N19" s="127"/>
      <c r="O19" s="127"/>
      <c r="P19" s="127"/>
      <c r="Q19" s="127"/>
      <c r="R19" s="127"/>
      <c r="S19" s="127"/>
    </row>
    <row r="20" spans="2:19" x14ac:dyDescent="0.35"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187"/>
      <c r="N20" s="127"/>
      <c r="O20" s="127"/>
      <c r="P20" s="127"/>
      <c r="Q20" s="127"/>
      <c r="R20" s="127"/>
      <c r="S20" s="127"/>
    </row>
    <row r="21" spans="2:19" x14ac:dyDescent="0.35">
      <c r="B21" s="81" t="s">
        <v>83</v>
      </c>
      <c r="C21" s="81">
        <f>IFERROR(SUM('Data Sheet'!B23:B24),0)</f>
        <v>477.9</v>
      </c>
      <c r="D21" s="81">
        <f>IFERROR(SUM('Data Sheet'!C23:C24),0)</f>
        <v>507.55</v>
      </c>
      <c r="E21" s="81">
        <f>IFERROR(SUM('Data Sheet'!D23:D24),0)</f>
        <v>674.28</v>
      </c>
      <c r="F21" s="81">
        <f>IFERROR(SUM('Data Sheet'!E23:E24),0)</f>
        <v>800.45</v>
      </c>
      <c r="G21" s="81">
        <f>IFERROR(SUM('Data Sheet'!F23:F24),0)</f>
        <v>856.8</v>
      </c>
      <c r="H21" s="81">
        <f>IFERROR(SUM('Data Sheet'!G23:G24),0)</f>
        <v>676.11</v>
      </c>
      <c r="I21" s="81">
        <f>IFERROR(SUM('Data Sheet'!H23:H24),0)</f>
        <v>952.36</v>
      </c>
      <c r="J21" s="81">
        <f>IFERROR(SUM('Data Sheet'!I23:I24),0)</f>
        <v>1306.56</v>
      </c>
      <c r="K21" s="81">
        <f>IFERROR(SUM('Data Sheet'!J23:J24),0)</f>
        <v>1505.43</v>
      </c>
      <c r="L21" s="81">
        <f>IFERROR(SUM('Data Sheet'!K23:K24),0)</f>
        <v>1906.67</v>
      </c>
      <c r="M21" s="187"/>
      <c r="N21" s="127"/>
      <c r="O21" s="127"/>
      <c r="P21" s="127"/>
      <c r="Q21" s="127"/>
      <c r="R21" s="127"/>
      <c r="S21" s="127"/>
    </row>
    <row r="22" spans="2:19" x14ac:dyDescent="0.35">
      <c r="B22" s="73" t="s">
        <v>84</v>
      </c>
      <c r="C22" s="74">
        <f>C21/C12</f>
        <v>7.7412018543895969E-2</v>
      </c>
      <c r="D22" s="73">
        <f t="shared" ref="D22:M22" si="5">D21/D12</f>
        <v>7.2163233504327948E-2</v>
      </c>
      <c r="E22" s="73">
        <f t="shared" si="5"/>
        <v>7.5212828612732235E-2</v>
      </c>
      <c r="F22" s="73">
        <f t="shared" si="5"/>
        <v>8.1703082353277418E-2</v>
      </c>
      <c r="G22" s="73">
        <f t="shared" si="5"/>
        <v>9.3602721558122604E-2</v>
      </c>
      <c r="H22" s="73">
        <f t="shared" si="5"/>
        <v>7.7532438491574304E-2</v>
      </c>
      <c r="I22" s="73">
        <f t="shared" si="5"/>
        <v>9.2481619914098409E-2</v>
      </c>
      <c r="J22" s="73">
        <f t="shared" si="5"/>
        <v>9.046833649767555E-2</v>
      </c>
      <c r="K22" s="73">
        <f t="shared" si="5"/>
        <v>9.1040761306693738E-2</v>
      </c>
      <c r="L22" s="73">
        <f t="shared" si="5"/>
        <v>0.10104052124099448</v>
      </c>
      <c r="M22" s="281" t="e">
        <f t="shared" si="5"/>
        <v>#DIV/0!</v>
      </c>
      <c r="N22" s="127"/>
      <c r="O22" s="127"/>
      <c r="P22" s="127"/>
      <c r="Q22" s="127"/>
      <c r="R22" s="127"/>
      <c r="S22" s="127"/>
    </row>
    <row r="23" spans="2:19" x14ac:dyDescent="0.35"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187"/>
      <c r="N23" s="127"/>
      <c r="O23" s="127"/>
      <c r="P23" s="127"/>
      <c r="Q23" s="127"/>
      <c r="R23" s="127"/>
      <c r="S23" s="127"/>
    </row>
    <row r="24" spans="2:19" x14ac:dyDescent="0.35">
      <c r="B24" s="112" t="s">
        <v>398</v>
      </c>
      <c r="C24" s="112">
        <f t="shared" ref="C24:L24" si="6">C18-C21</f>
        <v>1627.6799999999998</v>
      </c>
      <c r="D24" s="112">
        <f t="shared" si="6"/>
        <v>2154.6999999999998</v>
      </c>
      <c r="E24" s="112">
        <f t="shared" si="6"/>
        <v>2774.7599999999993</v>
      </c>
      <c r="F24" s="112">
        <f t="shared" si="6"/>
        <v>2694.079999999999</v>
      </c>
      <c r="G24" s="112">
        <f t="shared" si="6"/>
        <v>2266.9800000000005</v>
      </c>
      <c r="H24" s="112">
        <f t="shared" si="6"/>
        <v>1577.3300000000004</v>
      </c>
      <c r="I24" s="112">
        <f t="shared" si="6"/>
        <v>2028.98</v>
      </c>
      <c r="J24" s="112">
        <f t="shared" si="6"/>
        <v>3382.4700000000007</v>
      </c>
      <c r="K24" s="112">
        <f t="shared" si="6"/>
        <v>4132.3399999999965</v>
      </c>
      <c r="L24" s="112">
        <f t="shared" si="6"/>
        <v>4559.0599999999977</v>
      </c>
      <c r="M24" s="187">
        <f>IFERROR(SUM('Data Sheet'!H44:K46),0)</f>
        <v>3010.9199999999996</v>
      </c>
      <c r="N24" s="127"/>
      <c r="O24" s="127"/>
      <c r="P24" s="127"/>
      <c r="Q24" s="127"/>
      <c r="R24" s="127"/>
      <c r="S24" s="127"/>
    </row>
    <row r="25" spans="2:19" x14ac:dyDescent="0.35">
      <c r="B25" s="73" t="s">
        <v>400</v>
      </c>
      <c r="C25" s="74">
        <f>C24/C12</f>
        <v>0.26365765713230505</v>
      </c>
      <c r="D25" s="73">
        <f t="shared" ref="D25:M25" si="7">D24/D12</f>
        <v>0.30635428870411863</v>
      </c>
      <c r="E25" s="73">
        <f t="shared" si="7"/>
        <v>0.30951169888097657</v>
      </c>
      <c r="F25" s="73">
        <f t="shared" si="7"/>
        <v>0.27498861903468991</v>
      </c>
      <c r="G25" s="73">
        <f t="shared" si="7"/>
        <v>0.24766047819541648</v>
      </c>
      <c r="H25" s="73">
        <f t="shared" si="7"/>
        <v>0.180879207829961</v>
      </c>
      <c r="I25" s="73">
        <f t="shared" si="7"/>
        <v>0.19702985968888592</v>
      </c>
      <c r="J25" s="73">
        <f t="shared" si="7"/>
        <v>0.23420771656356593</v>
      </c>
      <c r="K25" s="73">
        <f t="shared" si="7"/>
        <v>0.24990293775074396</v>
      </c>
      <c r="L25" s="73">
        <f t="shared" si="7"/>
        <v>0.24159912243281115</v>
      </c>
      <c r="M25" s="281" t="e">
        <f t="shared" si="7"/>
        <v>#DIV/0!</v>
      </c>
      <c r="N25" s="127"/>
      <c r="O25" s="127"/>
      <c r="P25" s="127"/>
      <c r="Q25" s="127"/>
      <c r="R25" s="127"/>
      <c r="S25" s="127"/>
    </row>
    <row r="26" spans="2:19" x14ac:dyDescent="0.35"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187"/>
      <c r="N26" s="127"/>
      <c r="O26" s="127"/>
      <c r="P26" s="127"/>
      <c r="Q26" s="127"/>
      <c r="R26" s="127"/>
      <c r="S26" s="127"/>
    </row>
    <row r="27" spans="2:19" x14ac:dyDescent="0.35">
      <c r="B27" s="81" t="s">
        <v>85</v>
      </c>
      <c r="C27" s="81">
        <f>IFERROR('Data Sheet'!B27,0)</f>
        <v>2.12</v>
      </c>
      <c r="D27" s="81">
        <f>IFERROR('Data Sheet'!C27,0)</f>
        <v>3.56</v>
      </c>
      <c r="E27" s="81">
        <f>IFERROR('Data Sheet'!D27,0)</f>
        <v>5.34</v>
      </c>
      <c r="F27" s="81">
        <f>IFERROR('Data Sheet'!E27,0)</f>
        <v>7.33</v>
      </c>
      <c r="G27" s="81">
        <f>IFERROR('Data Sheet'!F27,0)</f>
        <v>18.88</v>
      </c>
      <c r="H27" s="81">
        <f>IFERROR('Data Sheet'!G27,0)</f>
        <v>16.45</v>
      </c>
      <c r="I27" s="81">
        <f>IFERROR('Data Sheet'!H27,0)</f>
        <v>18.78</v>
      </c>
      <c r="J27" s="81">
        <f>IFERROR('Data Sheet'!I27,0)</f>
        <v>28.02</v>
      </c>
      <c r="K27" s="81">
        <f>IFERROR('Data Sheet'!J27,0)</f>
        <v>50.88</v>
      </c>
      <c r="L27" s="81">
        <f>IFERROR('Data Sheet'!K27,0)</f>
        <v>54.34</v>
      </c>
      <c r="M27" s="187">
        <f>IFERROR(SUM('Data Sheet'!H46:K46),0)</f>
        <v>62.989999999999995</v>
      </c>
      <c r="N27" s="127"/>
      <c r="O27" s="127"/>
      <c r="P27" s="127"/>
      <c r="Q27" s="127"/>
      <c r="R27" s="127"/>
      <c r="S27" s="127"/>
    </row>
    <row r="28" spans="2:19" x14ac:dyDescent="0.35">
      <c r="B28" s="73" t="s">
        <v>86</v>
      </c>
      <c r="C28" s="74">
        <f>C27/C12</f>
        <v>3.4340548088106183E-4</v>
      </c>
      <c r="D28" s="73">
        <f t="shared" ref="D28:M28" si="8">D27/D12</f>
        <v>5.061592183536745E-4</v>
      </c>
      <c r="E28" s="73">
        <f t="shared" si="8"/>
        <v>5.9565240670343212E-4</v>
      </c>
      <c r="F28" s="73">
        <f t="shared" si="8"/>
        <v>7.48183638765099E-4</v>
      </c>
      <c r="G28" s="73">
        <f t="shared" si="8"/>
        <v>2.0625809792452787E-3</v>
      </c>
      <c r="H28" s="73">
        <f t="shared" si="8"/>
        <v>1.8863921746260183E-3</v>
      </c>
      <c r="I28" s="73">
        <f t="shared" si="8"/>
        <v>1.8236851841601581E-3</v>
      </c>
      <c r="J28" s="73">
        <f t="shared" si="8"/>
        <v>1.9401503097177849E-3</v>
      </c>
      <c r="K28" s="73">
        <f t="shared" si="8"/>
        <v>3.0769640137931205E-3</v>
      </c>
      <c r="L28" s="73">
        <f t="shared" si="8"/>
        <v>2.8796498210155088E-3</v>
      </c>
      <c r="M28" s="281" t="e">
        <f t="shared" si="8"/>
        <v>#DIV/0!</v>
      </c>
      <c r="N28" s="127"/>
      <c r="O28" s="127"/>
      <c r="P28" s="127"/>
      <c r="Q28" s="127"/>
      <c r="R28" s="127"/>
      <c r="S28" s="127"/>
    </row>
    <row r="29" spans="2:19" x14ac:dyDescent="0.35"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187"/>
      <c r="N29" s="127"/>
      <c r="O29" s="127"/>
      <c r="P29" s="127"/>
      <c r="Q29" s="127"/>
      <c r="R29" s="127"/>
      <c r="S29" s="127"/>
    </row>
    <row r="30" spans="2:19" x14ac:dyDescent="0.35">
      <c r="B30" s="81" t="s">
        <v>7</v>
      </c>
      <c r="C30" s="81">
        <f>IFERROR('Data Sheet'!B26,0)</f>
        <v>136.6</v>
      </c>
      <c r="D30" s="81">
        <f>IFERROR('Data Sheet'!C26,0)</f>
        <v>153.81</v>
      </c>
      <c r="E30" s="81">
        <f>IFERROR('Data Sheet'!D26,0)</f>
        <v>223.3</v>
      </c>
      <c r="F30" s="81">
        <f>IFERROR('Data Sheet'!E26,0)</f>
        <v>300.27999999999997</v>
      </c>
      <c r="G30" s="81">
        <f>IFERROR('Data Sheet'!F26,0)</f>
        <v>381.54</v>
      </c>
      <c r="H30" s="81">
        <f>IFERROR('Data Sheet'!G26,0)</f>
        <v>450.73</v>
      </c>
      <c r="I30" s="81">
        <f>IFERROR('Data Sheet'!H26,0)</f>
        <v>451.93</v>
      </c>
      <c r="J30" s="81">
        <f>IFERROR('Data Sheet'!I26,0)</f>
        <v>526.21</v>
      </c>
      <c r="K30" s="81">
        <f>IFERROR('Data Sheet'!J26,0)</f>
        <v>597.6</v>
      </c>
      <c r="L30" s="81">
        <f>IFERROR('Data Sheet'!K26,0)</f>
        <v>729.33</v>
      </c>
      <c r="M30" s="187">
        <f>IFERROR(SUM('Data Sheet'!H45:K45),0)</f>
        <v>778.26</v>
      </c>
      <c r="N30" s="127"/>
      <c r="O30" s="127"/>
      <c r="P30" s="127"/>
      <c r="Q30" s="127"/>
      <c r="R30" s="127"/>
      <c r="S30" s="127"/>
    </row>
    <row r="31" spans="2:19" x14ac:dyDescent="0.35">
      <c r="B31" s="73" t="s">
        <v>87</v>
      </c>
      <c r="C31" s="74">
        <f>C30/C12</f>
        <v>2.2126975796392945E-2</v>
      </c>
      <c r="D31" s="73">
        <f t="shared" ref="D31:M31" si="9">D30/D12</f>
        <v>2.186863746488165E-2</v>
      </c>
      <c r="E31" s="73">
        <f t="shared" si="9"/>
        <v>2.4908086594920671E-2</v>
      </c>
      <c r="F31" s="73">
        <f t="shared" si="9"/>
        <v>3.0650011329929588E-2</v>
      </c>
      <c r="G31" s="73">
        <f t="shared" si="9"/>
        <v>4.1682052268074352E-2</v>
      </c>
      <c r="H31" s="73">
        <f t="shared" si="9"/>
        <v>5.1687145584752903E-2</v>
      </c>
      <c r="I31" s="73">
        <f t="shared" si="9"/>
        <v>4.3885944902955283E-2</v>
      </c>
      <c r="J31" s="73">
        <f t="shared" si="9"/>
        <v>3.643563506340456E-2</v>
      </c>
      <c r="K31" s="73">
        <f t="shared" si="9"/>
        <v>3.6139813180872025E-2</v>
      </c>
      <c r="L31" s="73">
        <f t="shared" si="9"/>
        <v>3.8649521603997809E-2</v>
      </c>
      <c r="M31" s="281" t="e">
        <f t="shared" si="9"/>
        <v>#DIV/0!</v>
      </c>
      <c r="N31" s="127"/>
      <c r="O31" s="127"/>
      <c r="P31" s="127"/>
      <c r="Q31" s="127"/>
      <c r="R31" s="127"/>
      <c r="S31" s="127"/>
    </row>
    <row r="32" spans="2:19" x14ac:dyDescent="0.35">
      <c r="B32" s="81"/>
      <c r="C32" s="81"/>
      <c r="D32" s="142"/>
      <c r="E32" s="81"/>
      <c r="F32" s="81"/>
      <c r="G32" s="81"/>
      <c r="H32" s="81"/>
      <c r="I32" s="81"/>
      <c r="J32" s="81"/>
      <c r="K32" s="81"/>
      <c r="L32" s="81"/>
      <c r="M32" s="187"/>
      <c r="N32" s="127"/>
      <c r="O32" s="127"/>
      <c r="P32" s="127"/>
      <c r="Q32" s="127"/>
      <c r="R32" s="127"/>
      <c r="S32" s="127"/>
    </row>
    <row r="33" spans="2:19" x14ac:dyDescent="0.35">
      <c r="B33" s="112" t="s">
        <v>89</v>
      </c>
      <c r="C33" s="112">
        <f>IFERROR(C24-SUM(C27:C31),0)</f>
        <v>1488.9375296187225</v>
      </c>
      <c r="D33" s="112">
        <f t="shared" ref="D33:M33" si="10">IFERROR(D24-SUM(D27:D31),0)</f>
        <v>1997.3076252033165</v>
      </c>
      <c r="E33" s="112">
        <f t="shared" si="10"/>
        <v>2546.0944962609979</v>
      </c>
      <c r="F33" s="112">
        <f t="shared" si="10"/>
        <v>2386.4386018050304</v>
      </c>
      <c r="G33" s="112">
        <f t="shared" si="10"/>
        <v>1866.5162553667531</v>
      </c>
      <c r="H33" s="112">
        <f t="shared" si="10"/>
        <v>1110.096426462241</v>
      </c>
      <c r="I33" s="112">
        <f t="shared" si="10"/>
        <v>1558.224290369913</v>
      </c>
      <c r="J33" s="112">
        <f t="shared" si="10"/>
        <v>2828.2016242146274</v>
      </c>
      <c r="K33" s="112">
        <f t="shared" si="10"/>
        <v>3483.8207832228018</v>
      </c>
      <c r="L33" s="112">
        <f t="shared" si="10"/>
        <v>3775.3484708285723</v>
      </c>
      <c r="M33" s="187">
        <f t="shared" si="10"/>
        <v>0</v>
      </c>
      <c r="N33" s="127"/>
      <c r="O33" s="127"/>
      <c r="P33" s="127"/>
      <c r="Q33" s="127"/>
      <c r="R33" s="127"/>
      <c r="S33" s="127"/>
    </row>
    <row r="34" spans="2:19" x14ac:dyDescent="0.35">
      <c r="B34" s="73" t="s">
        <v>90</v>
      </c>
      <c r="C34" s="74">
        <f>C33/C12</f>
        <v>0.24118363601914039</v>
      </c>
      <c r="D34" s="73">
        <f t="shared" ref="D34:M34" si="11">D33/D12</f>
        <v>0.28397631078223162</v>
      </c>
      <c r="E34" s="73">
        <f t="shared" si="11"/>
        <v>0.28400511505472398</v>
      </c>
      <c r="F34" s="73">
        <f t="shared" si="11"/>
        <v>0.24358721920709178</v>
      </c>
      <c r="G34" s="73">
        <f t="shared" si="11"/>
        <v>0.20391106598366465</v>
      </c>
      <c r="H34" s="73">
        <f t="shared" si="11"/>
        <v>0.12729952656283761</v>
      </c>
      <c r="I34" s="73">
        <f t="shared" si="11"/>
        <v>0.15131579083844976</v>
      </c>
      <c r="J34" s="73">
        <f t="shared" si="11"/>
        <v>0.1958292739887349</v>
      </c>
      <c r="K34" s="73">
        <f t="shared" si="11"/>
        <v>0.21068378892455039</v>
      </c>
      <c r="L34" s="73">
        <f t="shared" si="11"/>
        <v>0.2000677502446204</v>
      </c>
      <c r="M34" s="281" t="e">
        <f t="shared" si="11"/>
        <v>#DIV/0!</v>
      </c>
      <c r="N34" s="127"/>
      <c r="O34" s="127"/>
      <c r="P34" s="127"/>
      <c r="Q34" s="127"/>
      <c r="R34" s="127"/>
      <c r="S34" s="127"/>
    </row>
    <row r="35" spans="2:19" x14ac:dyDescent="0.35"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187"/>
      <c r="N35" s="127"/>
      <c r="O35" s="127"/>
      <c r="P35" s="127"/>
      <c r="Q35" s="127"/>
      <c r="R35" s="127"/>
      <c r="S35" s="127"/>
    </row>
    <row r="36" spans="2:19" x14ac:dyDescent="0.35">
      <c r="B36" s="81" t="s">
        <v>10</v>
      </c>
      <c r="C36" s="81">
        <f>IFERROR('Data Sheet'!B29,0)</f>
        <v>538.88</v>
      </c>
      <c r="D36" s="81">
        <f>IFERROR('Data Sheet'!C29,0)</f>
        <v>720.3</v>
      </c>
      <c r="E36" s="81">
        <f>IFERROR('Data Sheet'!D29,0)</f>
        <v>935.93</v>
      </c>
      <c r="F36" s="81">
        <f>IFERROR('Data Sheet'!E29,0)</f>
        <v>1077.04</v>
      </c>
      <c r="G36" s="81">
        <f>IFERROR('Data Sheet'!F29,0)</f>
        <v>527.45000000000005</v>
      </c>
      <c r="H36" s="81">
        <f>IFERROR('Data Sheet'!G29,0)</f>
        <v>451.5</v>
      </c>
      <c r="I36" s="81">
        <f>IFERROR('Data Sheet'!H29,0)</f>
        <v>525.91</v>
      </c>
      <c r="J36" s="81">
        <f>IFERROR('Data Sheet'!I29,0)</f>
        <v>885.69</v>
      </c>
      <c r="K36" s="81">
        <f>IFERROR('Data Sheet'!J29,0)</f>
        <v>1201.01</v>
      </c>
      <c r="L36" s="81">
        <f>IFERROR('Data Sheet'!K29,0)</f>
        <v>1198.6300000000001</v>
      </c>
      <c r="M36" s="187">
        <f>IFERROR(SUM('Data Sheet'!H48:K48),0)</f>
        <v>1394.6599999999999</v>
      </c>
      <c r="N36" s="127"/>
      <c r="O36" s="127"/>
      <c r="P36" s="127"/>
      <c r="Q36" s="127"/>
      <c r="R36" s="127"/>
      <c r="S36" s="127"/>
    </row>
    <row r="37" spans="2:19" x14ac:dyDescent="0.35">
      <c r="B37" s="73" t="s">
        <v>91</v>
      </c>
      <c r="C37" s="74">
        <f>C36/C24</f>
        <v>0.33107244667256464</v>
      </c>
      <c r="D37" s="73">
        <f>D36/D24</f>
        <v>0.33429247691093888</v>
      </c>
      <c r="E37" s="73">
        <f t="shared" ref="E37:M37" si="12">E36/E24</f>
        <v>0.33730124407155943</v>
      </c>
      <c r="F37" s="73">
        <f t="shared" si="12"/>
        <v>0.39978025893811631</v>
      </c>
      <c r="G37" s="73">
        <f t="shared" si="12"/>
        <v>0.23266636670813148</v>
      </c>
      <c r="H37" s="73">
        <f t="shared" si="12"/>
        <v>0.28624320845986567</v>
      </c>
      <c r="I37" s="73">
        <f t="shared" si="12"/>
        <v>0.25919920354069531</v>
      </c>
      <c r="J37" s="73">
        <f t="shared" si="12"/>
        <v>0.2618471117260463</v>
      </c>
      <c r="K37" s="73">
        <f t="shared" si="12"/>
        <v>0.29063678206536758</v>
      </c>
      <c r="L37" s="73">
        <f t="shared" si="12"/>
        <v>0.26291165284071732</v>
      </c>
      <c r="M37" s="281">
        <f t="shared" si="12"/>
        <v>0.46320061642288735</v>
      </c>
      <c r="N37" s="127"/>
      <c r="O37" s="127"/>
      <c r="P37" s="127"/>
      <c r="Q37" s="127"/>
      <c r="R37" s="127"/>
      <c r="S37" s="127"/>
    </row>
    <row r="38" spans="2:19" x14ac:dyDescent="0.35"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187"/>
      <c r="N38" s="127"/>
      <c r="O38" s="127"/>
      <c r="P38" s="127"/>
      <c r="Q38" s="127"/>
      <c r="R38" s="127"/>
      <c r="S38" s="127"/>
    </row>
    <row r="39" spans="2:19" x14ac:dyDescent="0.35">
      <c r="B39" s="112" t="s">
        <v>92</v>
      </c>
      <c r="C39" s="112">
        <f>IFERROR(C33-C36,0)</f>
        <v>950.05752961872247</v>
      </c>
      <c r="D39" s="112">
        <f t="shared" ref="D39:M39" si="13">IFERROR(D33-D36,0)</f>
        <v>1277.0076252033166</v>
      </c>
      <c r="E39" s="112">
        <f t="shared" si="13"/>
        <v>1610.164496260998</v>
      </c>
      <c r="F39" s="112">
        <f t="shared" si="13"/>
        <v>1309.3986018050305</v>
      </c>
      <c r="G39" s="112">
        <f t="shared" si="13"/>
        <v>1339.066255366753</v>
      </c>
      <c r="H39" s="112">
        <f t="shared" si="13"/>
        <v>658.59642646224097</v>
      </c>
      <c r="I39" s="112">
        <f t="shared" si="13"/>
        <v>1032.3142903699131</v>
      </c>
      <c r="J39" s="112">
        <f t="shared" si="13"/>
        <v>1942.5116242146273</v>
      </c>
      <c r="K39" s="112">
        <f t="shared" si="13"/>
        <v>2282.8107832228015</v>
      </c>
      <c r="L39" s="112">
        <f t="shared" si="13"/>
        <v>2576.7184708285722</v>
      </c>
      <c r="M39" s="187">
        <f t="shared" si="13"/>
        <v>-1394.6599999999999</v>
      </c>
      <c r="N39" s="127"/>
      <c r="O39" s="127"/>
      <c r="P39" s="127"/>
      <c r="Q39" s="127"/>
      <c r="R39" s="127"/>
      <c r="S39" s="127"/>
    </row>
    <row r="40" spans="2:19" x14ac:dyDescent="0.35">
      <c r="B40" s="73" t="s">
        <v>93</v>
      </c>
      <c r="C40" s="74">
        <f>IFERROR(C39/C12,0)</f>
        <v>0.15389385038839201</v>
      </c>
      <c r="D40" s="73">
        <f t="shared" ref="D40:M40" si="14">IFERROR(D39/D12,0)</f>
        <v>0.18156437679904294</v>
      </c>
      <c r="E40" s="73">
        <f t="shared" si="14"/>
        <v>0.1796064339674687</v>
      </c>
      <c r="F40" s="73">
        <f t="shared" si="14"/>
        <v>0.13365219788436844</v>
      </c>
      <c r="G40" s="73">
        <f t="shared" si="14"/>
        <v>0.14628880234473868</v>
      </c>
      <c r="H40" s="73">
        <f t="shared" si="14"/>
        <v>7.5524081769910725E-2</v>
      </c>
      <c r="I40" s="73">
        <f t="shared" si="14"/>
        <v>0.10024580813335558</v>
      </c>
      <c r="J40" s="73">
        <f t="shared" si="14"/>
        <v>0.13450265986261264</v>
      </c>
      <c r="K40" s="73">
        <f t="shared" si="14"/>
        <v>0.1380528032679923</v>
      </c>
      <c r="L40" s="73">
        <f t="shared" si="14"/>
        <v>0.13654852564094319</v>
      </c>
      <c r="M40" s="281">
        <f t="shared" si="14"/>
        <v>0</v>
      </c>
      <c r="N40" s="127"/>
      <c r="O40" s="127"/>
      <c r="P40" s="127"/>
      <c r="Q40" s="123"/>
      <c r="R40" s="127"/>
      <c r="S40" s="127"/>
    </row>
    <row r="41" spans="2:19" x14ac:dyDescent="0.35"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187"/>
      <c r="N41" s="127"/>
      <c r="O41" s="127"/>
      <c r="P41" s="127"/>
      <c r="Q41" s="127"/>
      <c r="R41" s="127"/>
      <c r="S41" s="127"/>
    </row>
    <row r="42" spans="2:19" x14ac:dyDescent="0.35">
      <c r="B42" s="81" t="s">
        <v>94</v>
      </c>
      <c r="C42" s="81">
        <f>IFERROR('Data Sheet'!B93,0)</f>
        <v>27.16</v>
      </c>
      <c r="D42" s="81">
        <f>IFERROR('Data Sheet'!C93,0)</f>
        <v>27.21</v>
      </c>
      <c r="E42" s="81">
        <f>IFERROR('Data Sheet'!D93,0)</f>
        <v>27.26</v>
      </c>
      <c r="F42" s="81">
        <f>IFERROR('Data Sheet'!E93,0)</f>
        <v>27.28</v>
      </c>
      <c r="G42" s="81">
        <f>IFERROR('Data Sheet'!F93,0)</f>
        <v>27.31</v>
      </c>
      <c r="H42" s="81">
        <f>IFERROR('Data Sheet'!G93,0)</f>
        <v>27.33</v>
      </c>
      <c r="I42" s="81">
        <f>IFERROR('Data Sheet'!H93,0)</f>
        <v>27.34</v>
      </c>
      <c r="J42" s="81">
        <f>IFERROR('Data Sheet'!I93,0)</f>
        <v>27.35</v>
      </c>
      <c r="K42" s="81">
        <f>IFERROR('Data Sheet'!J93,0)</f>
        <v>27.38</v>
      </c>
      <c r="L42" s="81">
        <f>IFERROR('Data Sheet'!K93,0)</f>
        <v>27.42</v>
      </c>
      <c r="M42" s="187"/>
      <c r="N42" s="127"/>
      <c r="O42" s="127"/>
      <c r="P42" s="127"/>
      <c r="Q42" s="127"/>
      <c r="R42" s="127"/>
      <c r="S42" s="127"/>
    </row>
    <row r="43" spans="2:19" x14ac:dyDescent="0.35"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187"/>
      <c r="N43" s="127"/>
      <c r="O43" s="127"/>
      <c r="P43" s="127"/>
      <c r="Q43" s="127"/>
      <c r="R43" s="127"/>
      <c r="S43" s="127"/>
    </row>
    <row r="44" spans="2:19" x14ac:dyDescent="0.35">
      <c r="B44" s="81" t="s">
        <v>95</v>
      </c>
      <c r="C44" s="81">
        <f>IFERROR(C39/C42,0)</f>
        <v>34.980026863723211</v>
      </c>
      <c r="D44" s="81">
        <f t="shared" ref="D44:M44" si="15">IFERROR(D39/D42,0)</f>
        <v>46.931555501775691</v>
      </c>
      <c r="E44" s="81">
        <f t="shared" si="15"/>
        <v>59.066929429970578</v>
      </c>
      <c r="F44" s="81">
        <f t="shared" si="15"/>
        <v>47.998482470858889</v>
      </c>
      <c r="G44" s="81">
        <f t="shared" si="15"/>
        <v>49.032085513246173</v>
      </c>
      <c r="H44" s="81">
        <f t="shared" si="15"/>
        <v>24.097929983982475</v>
      </c>
      <c r="I44" s="81">
        <f t="shared" si="15"/>
        <v>37.758386626551321</v>
      </c>
      <c r="J44" s="81">
        <f t="shared" si="15"/>
        <v>71.024191013331887</v>
      </c>
      <c r="K44" s="81">
        <f t="shared" si="15"/>
        <v>83.375119913177556</v>
      </c>
      <c r="L44" s="81">
        <f t="shared" si="15"/>
        <v>93.972227236636471</v>
      </c>
      <c r="M44" s="187">
        <f t="shared" si="15"/>
        <v>0</v>
      </c>
      <c r="N44" s="127"/>
      <c r="O44" s="127"/>
      <c r="P44" s="127"/>
      <c r="Q44" s="127"/>
      <c r="R44" s="127"/>
      <c r="S44" s="127"/>
    </row>
    <row r="45" spans="2:19" x14ac:dyDescent="0.35">
      <c r="B45" s="73" t="s">
        <v>97</v>
      </c>
      <c r="C45" s="74"/>
      <c r="D45" s="73">
        <f>IFERROR(D44/C44-1,0)</f>
        <v>0.34166722297309238</v>
      </c>
      <c r="E45" s="73">
        <f t="shared" ref="E45:M45" si="16">IFERROR(E44/D44-1,0)</f>
        <v>0.25857600069820275</v>
      </c>
      <c r="F45" s="73">
        <f t="shared" si="16"/>
        <v>-0.18738822325671045</v>
      </c>
      <c r="G45" s="73">
        <f t="shared" si="16"/>
        <v>2.1534077520363404E-2</v>
      </c>
      <c r="H45" s="73">
        <f t="shared" si="16"/>
        <v>-0.50852732997717709</v>
      </c>
      <c r="I45" s="73">
        <f t="shared" si="16"/>
        <v>0.56687261734301431</v>
      </c>
      <c r="J45" s="73">
        <f t="shared" si="16"/>
        <v>0.88101763234206576</v>
      </c>
      <c r="K45" s="73">
        <f t="shared" si="16"/>
        <v>0.17389749497501894</v>
      </c>
      <c r="L45" s="73">
        <f t="shared" si="16"/>
        <v>0.12710155421058689</v>
      </c>
      <c r="M45" s="281">
        <f t="shared" si="16"/>
        <v>-1</v>
      </c>
      <c r="N45" s="127"/>
      <c r="O45" s="127"/>
      <c r="P45" s="127"/>
      <c r="Q45" s="127"/>
      <c r="R45" s="127"/>
      <c r="S45" s="127"/>
    </row>
    <row r="46" spans="2:19" x14ac:dyDescent="0.35"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187"/>
      <c r="N46" s="127"/>
      <c r="O46" s="127"/>
      <c r="P46" s="127"/>
      <c r="Q46" s="127"/>
      <c r="R46" s="127"/>
      <c r="S46" s="127"/>
    </row>
    <row r="47" spans="2:19" x14ac:dyDescent="0.35">
      <c r="B47" s="81" t="s">
        <v>96</v>
      </c>
      <c r="C47" s="81">
        <f>IFERROR('Data Sheet'!B31/'Historical IFS'!C42,0)</f>
        <v>10</v>
      </c>
      <c r="D47" s="81">
        <f>IFERROR('Data Sheet'!C31/'Historical IFS'!D42,0)</f>
        <v>10</v>
      </c>
      <c r="E47" s="81">
        <f>IFERROR('Data Sheet'!D31/'Historical IFS'!E42,0)</f>
        <v>11</v>
      </c>
      <c r="F47" s="81">
        <f>IFERROR('Data Sheet'!E31/'Historical IFS'!F42,0)</f>
        <v>12.5</v>
      </c>
      <c r="G47" s="81">
        <f>IFERROR('Data Sheet'!F31/'Historical IFS'!G42,0)</f>
        <v>12.495422922006592</v>
      </c>
      <c r="H47" s="81">
        <f>IFERROR('Data Sheet'!G31/'Historical IFS'!H42,0)</f>
        <v>17</v>
      </c>
      <c r="I47" s="81">
        <f>IFERROR('Data Sheet'!H31/'Historical IFS'!I42,0)</f>
        <v>21</v>
      </c>
      <c r="J47" s="81">
        <f>IFERROR('Data Sheet'!I31/'Historical IFS'!J42,0)</f>
        <v>37</v>
      </c>
      <c r="K47" s="81">
        <f>IFERROR('Data Sheet'!J31/'Historical IFS'!K42,0)</f>
        <v>51.000000000000007</v>
      </c>
      <c r="L47" s="81">
        <f>IFERROR('Data Sheet'!K31/'Historical IFS'!L42,0)</f>
        <v>70</v>
      </c>
      <c r="M47" s="187">
        <f>IFERROR('Data Sheet'!L31/'Historical IFS'!M42,0)</f>
        <v>0</v>
      </c>
      <c r="N47" s="127"/>
      <c r="O47" s="127"/>
      <c r="P47" s="127"/>
      <c r="Q47" s="127"/>
      <c r="R47" s="127"/>
      <c r="S47" s="127"/>
    </row>
    <row r="48" spans="2:19" x14ac:dyDescent="0.35">
      <c r="B48" s="73" t="s">
        <v>98</v>
      </c>
      <c r="C48" s="74">
        <f>IFERROR(C47/C44,0)</f>
        <v>0.2858774248218407</v>
      </c>
      <c r="D48" s="73">
        <f t="shared" ref="D48:M48" si="17">IFERROR(D47/D44,0)</f>
        <v>0.21307625313253559</v>
      </c>
      <c r="E48" s="73">
        <f t="shared" si="17"/>
        <v>0.1862294198489112</v>
      </c>
      <c r="F48" s="73">
        <f t="shared" si="17"/>
        <v>0.26042490004947699</v>
      </c>
      <c r="G48" s="73">
        <f t="shared" si="17"/>
        <v>0.25484175904838707</v>
      </c>
      <c r="H48" s="73">
        <f t="shared" si="17"/>
        <v>0.70545478434453246</v>
      </c>
      <c r="I48" s="73">
        <f t="shared" si="17"/>
        <v>0.55616783120794178</v>
      </c>
      <c r="J48" s="73">
        <f t="shared" si="17"/>
        <v>0.52094926351297355</v>
      </c>
      <c r="K48" s="73">
        <f t="shared" si="17"/>
        <v>0.61169327316240996</v>
      </c>
      <c r="L48" s="73">
        <f t="shared" si="17"/>
        <v>0.74490093571720151</v>
      </c>
      <c r="M48" s="281">
        <f t="shared" si="17"/>
        <v>0</v>
      </c>
      <c r="N48" s="127"/>
      <c r="O48" s="127"/>
      <c r="P48" s="127"/>
      <c r="Q48" s="127"/>
      <c r="R48" s="127"/>
      <c r="S48" s="127"/>
    </row>
    <row r="49" spans="1:19" x14ac:dyDescent="0.35"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187"/>
      <c r="N49" s="127"/>
      <c r="O49" s="127"/>
      <c r="P49" s="127"/>
      <c r="Q49" s="127"/>
      <c r="R49" s="127"/>
      <c r="S49" s="127"/>
    </row>
    <row r="50" spans="1:19" x14ac:dyDescent="0.35">
      <c r="B50" s="73" t="s">
        <v>99</v>
      </c>
      <c r="C50" s="74">
        <f>IFERROR(IF(C44&gt;C47,1-C48,0),0)</f>
        <v>0.71412257517815925</v>
      </c>
      <c r="D50" s="73">
        <f t="shared" ref="D50:M50" si="18">IFERROR(IF(D44&gt;D47,1-D48,0),0)</f>
        <v>0.78692374686746436</v>
      </c>
      <c r="E50" s="73">
        <f t="shared" si="18"/>
        <v>0.81377058015108883</v>
      </c>
      <c r="F50" s="73">
        <f t="shared" si="18"/>
        <v>0.73957509995052306</v>
      </c>
      <c r="G50" s="73">
        <f t="shared" si="18"/>
        <v>0.74515824095161287</v>
      </c>
      <c r="H50" s="73">
        <f t="shared" si="18"/>
        <v>0.29454521565546754</v>
      </c>
      <c r="I50" s="73">
        <f t="shared" si="18"/>
        <v>0.44383216879205822</v>
      </c>
      <c r="J50" s="73">
        <f t="shared" si="18"/>
        <v>0.47905073648702645</v>
      </c>
      <c r="K50" s="73">
        <f t="shared" si="18"/>
        <v>0.38830672683759004</v>
      </c>
      <c r="L50" s="73">
        <f t="shared" si="18"/>
        <v>0.25509906428279849</v>
      </c>
      <c r="M50" s="281">
        <f t="shared" si="18"/>
        <v>0</v>
      </c>
      <c r="N50" s="127"/>
      <c r="O50" s="127"/>
      <c r="P50" s="127"/>
      <c r="Q50" s="127"/>
      <c r="R50" s="127"/>
      <c r="S50" s="127"/>
    </row>
    <row r="51" spans="1:19" x14ac:dyDescent="0.35">
      <c r="B51" s="58"/>
      <c r="C51" s="58"/>
      <c r="D51" s="58"/>
      <c r="E51" s="58"/>
      <c r="F51" s="58"/>
      <c r="G51" s="58"/>
      <c r="H51" s="58"/>
      <c r="I51" s="58"/>
      <c r="J51" s="58"/>
      <c r="K51" s="160"/>
      <c r="L51" s="160"/>
      <c r="M51" s="187"/>
      <c r="N51" s="127"/>
      <c r="O51" s="127"/>
      <c r="P51" s="127"/>
      <c r="Q51" s="127"/>
      <c r="R51" s="127"/>
      <c r="S51" s="127"/>
    </row>
    <row r="52" spans="1:19" x14ac:dyDescent="0.35">
      <c r="A52" s="15" t="s">
        <v>77</v>
      </c>
      <c r="B52" s="147" t="s">
        <v>100</v>
      </c>
      <c r="C52" s="147"/>
      <c r="D52" s="147"/>
      <c r="E52" s="147"/>
      <c r="F52" s="147"/>
      <c r="G52" s="147"/>
      <c r="H52" s="147"/>
      <c r="I52" s="147"/>
      <c r="J52" s="147"/>
      <c r="K52" s="199"/>
      <c r="L52" s="199"/>
      <c r="M52" s="187"/>
      <c r="N52" s="127"/>
      <c r="O52" s="127"/>
      <c r="P52" s="127"/>
      <c r="Q52" s="127"/>
      <c r="R52" s="127"/>
      <c r="S52" s="127"/>
    </row>
    <row r="53" spans="1:19" x14ac:dyDescent="0.35">
      <c r="B53" s="15" t="s">
        <v>19</v>
      </c>
      <c r="C53" s="15">
        <f>IFERROR('Data Sheet'!B57,0)</f>
        <v>27.16</v>
      </c>
      <c r="D53" s="15">
        <f>IFERROR('Data Sheet'!C57,0)</f>
        <v>27.21</v>
      </c>
      <c r="E53" s="15">
        <f>IFERROR('Data Sheet'!D57,0)</f>
        <v>27.26</v>
      </c>
      <c r="F53" s="15">
        <f>IFERROR('Data Sheet'!E57,0)</f>
        <v>27.28</v>
      </c>
      <c r="G53" s="15">
        <f>IFERROR('Data Sheet'!F57,0)</f>
        <v>27.3</v>
      </c>
      <c r="H53" s="81">
        <f>IFERROR('Data Sheet'!G57,0)</f>
        <v>27.33</v>
      </c>
      <c r="I53" s="81">
        <f>IFERROR('Data Sheet'!H57,0)</f>
        <v>27.34</v>
      </c>
      <c r="J53" s="15">
        <f>IFERROR('Data Sheet'!I57,0)</f>
        <v>27.35</v>
      </c>
      <c r="K53" s="81">
        <f>IFERROR('Data Sheet'!J57,0)</f>
        <v>27.38</v>
      </c>
      <c r="L53" s="81">
        <f>IFERROR('Data Sheet'!K57,0)</f>
        <v>27.42</v>
      </c>
      <c r="M53" s="187">
        <f>IFERROR('Data Sheet'!L57,0)</f>
        <v>0</v>
      </c>
      <c r="N53" s="127"/>
      <c r="O53" s="127"/>
      <c r="P53" s="127"/>
      <c r="Q53" s="127"/>
      <c r="R53" s="127"/>
      <c r="S53" s="127"/>
    </row>
    <row r="54" spans="1:19" x14ac:dyDescent="0.35">
      <c r="B54" s="81" t="s">
        <v>20</v>
      </c>
      <c r="C54" s="81">
        <f>IFERROR('Data Sheet'!B58,0)</f>
        <v>3625.93</v>
      </c>
      <c r="D54" s="81">
        <f>IFERROR('Data Sheet'!C58,0)</f>
        <v>5317.86</v>
      </c>
      <c r="E54" s="81">
        <f>IFERROR('Data Sheet'!D58,0)</f>
        <v>7002.81</v>
      </c>
      <c r="F54" s="81">
        <f>IFERROR('Data Sheet'!E58,0)</f>
        <v>8891.44</v>
      </c>
      <c r="G54" s="81">
        <f>IFERROR('Data Sheet'!F58,0)</f>
        <v>9953.6299999999992</v>
      </c>
      <c r="H54" s="81">
        <f>IFERROR('Data Sheet'!G58,0)</f>
        <v>11410.75</v>
      </c>
      <c r="I54" s="81">
        <f>IFERROR('Data Sheet'!H58,0)</f>
        <v>12580.66</v>
      </c>
      <c r="J54" s="81">
        <f>IFERROR('Data Sheet'!I58,0)</f>
        <v>14962.93</v>
      </c>
      <c r="K54" s="81">
        <f>IFERROR('Data Sheet'!J58,0)</f>
        <v>18018.150000000001</v>
      </c>
      <c r="L54" s="81">
        <f>IFERROR('Data Sheet'!K58,0)</f>
        <v>21269.07</v>
      </c>
      <c r="M54" s="187">
        <f>IFERROR('Data Sheet'!L58,0)</f>
        <v>0</v>
      </c>
      <c r="N54" s="127"/>
      <c r="O54" s="127"/>
      <c r="P54" s="127"/>
      <c r="Q54" s="127"/>
      <c r="R54" s="127"/>
      <c r="S54" s="127"/>
    </row>
    <row r="55" spans="1:19" x14ac:dyDescent="0.35">
      <c r="B55" s="81" t="s">
        <v>56</v>
      </c>
      <c r="C55" s="81">
        <f>IFERROR('Data Sheet'!B59,0)</f>
        <v>22.57</v>
      </c>
      <c r="D55" s="81">
        <f>IFERROR('Data Sheet'!C59,0)</f>
        <v>111.85</v>
      </c>
      <c r="E55" s="81">
        <f>IFERROR('Data Sheet'!D59,0)</f>
        <v>150.84</v>
      </c>
      <c r="F55" s="81">
        <f>IFERROR('Data Sheet'!E59,0)</f>
        <v>186.76</v>
      </c>
      <c r="G55" s="81">
        <f>IFERROR('Data Sheet'!F59,0)</f>
        <v>249</v>
      </c>
      <c r="H55" s="81">
        <f>IFERROR('Data Sheet'!G59,0)</f>
        <v>219.25</v>
      </c>
      <c r="I55" s="81">
        <f>IFERROR('Data Sheet'!H59,0)</f>
        <v>107.71</v>
      </c>
      <c r="J55" s="81">
        <f>IFERROR('Data Sheet'!I59,0)</f>
        <v>288.41000000000003</v>
      </c>
      <c r="K55" s="81">
        <f>IFERROR('Data Sheet'!J59,0)</f>
        <v>419.44</v>
      </c>
      <c r="L55" s="81">
        <f>IFERROR('Data Sheet'!K59,0)</f>
        <v>458.13</v>
      </c>
      <c r="M55" s="187">
        <f>IFERROR('Data Sheet'!L59,0)</f>
        <v>0</v>
      </c>
      <c r="N55" s="127"/>
      <c r="O55" s="127"/>
      <c r="P55" s="127"/>
      <c r="Q55" s="127"/>
      <c r="R55" s="127"/>
      <c r="S55" s="127"/>
    </row>
    <row r="56" spans="1:19" x14ac:dyDescent="0.35">
      <c r="B56" s="81" t="s">
        <v>57</v>
      </c>
      <c r="C56" s="81">
        <f>IFERROR('Data Sheet'!B60,0)</f>
        <v>1263.3499999999999</v>
      </c>
      <c r="D56" s="81">
        <f>IFERROR('Data Sheet'!C60,0)</f>
        <v>1552.16</v>
      </c>
      <c r="E56" s="81">
        <f>IFERROR('Data Sheet'!D60,0)</f>
        <v>2341.3200000000002</v>
      </c>
      <c r="F56" s="81">
        <f>IFERROR('Data Sheet'!E60,0)</f>
        <v>2281.35</v>
      </c>
      <c r="G56" s="81">
        <f>IFERROR('Data Sheet'!F60,0)</f>
        <v>2219.79</v>
      </c>
      <c r="H56" s="81">
        <f>IFERROR('Data Sheet'!G60,0)</f>
        <v>2901.28</v>
      </c>
      <c r="I56" s="81">
        <f>IFERROR('Data Sheet'!H60,0)</f>
        <v>3424.12</v>
      </c>
      <c r="J56" s="81">
        <f>IFERROR('Data Sheet'!I60,0)</f>
        <v>3918.95</v>
      </c>
      <c r="K56" s="81">
        <f>IFERROR('Data Sheet'!J60,0)</f>
        <v>4650.16</v>
      </c>
      <c r="L56" s="81">
        <f>IFERROR('Data Sheet'!K60,0)</f>
        <v>5419.79</v>
      </c>
      <c r="M56" s="187">
        <f>IFERROR('Data Sheet'!L60,0)</f>
        <v>0</v>
      </c>
      <c r="N56" s="127"/>
      <c r="O56" s="127"/>
      <c r="P56" s="127"/>
      <c r="Q56" s="127"/>
      <c r="R56" s="127"/>
      <c r="S56" s="127"/>
    </row>
    <row r="57" spans="1:19" x14ac:dyDescent="0.35">
      <c r="B57" s="172" t="s">
        <v>101</v>
      </c>
      <c r="C57" s="172">
        <f>IFERROR('Data Sheet'!B61,0)</f>
        <v>4939.01</v>
      </c>
      <c r="D57" s="172">
        <f>IFERROR('Data Sheet'!C61,0)</f>
        <v>7009.08</v>
      </c>
      <c r="E57" s="172">
        <f>IFERROR('Data Sheet'!D61,0)</f>
        <v>9522.23</v>
      </c>
      <c r="F57" s="172">
        <f>IFERROR('Data Sheet'!E61,0)</f>
        <v>11386.83</v>
      </c>
      <c r="G57" s="172">
        <f>IFERROR('Data Sheet'!F61,0)</f>
        <v>12449.72</v>
      </c>
      <c r="H57" s="172">
        <f>IFERROR('Data Sheet'!G61,0)</f>
        <v>14558.61</v>
      </c>
      <c r="I57" s="172">
        <f>IFERROR('Data Sheet'!H61,0)</f>
        <v>16139.83</v>
      </c>
      <c r="J57" s="172">
        <f>IFERROR('Data Sheet'!I61,0)</f>
        <v>19197.64</v>
      </c>
      <c r="K57" s="112">
        <f>IFERROR('Data Sheet'!J61,0)</f>
        <v>23115.13</v>
      </c>
      <c r="L57" s="112">
        <f>IFERROR('Data Sheet'!K61,0)</f>
        <v>27174.41</v>
      </c>
      <c r="M57" s="267">
        <f>IFERROR('Data Sheet'!L61,0)</f>
        <v>0</v>
      </c>
      <c r="N57" s="127"/>
      <c r="O57" s="127"/>
      <c r="P57" s="127"/>
      <c r="Q57" s="127"/>
      <c r="R57" s="127"/>
      <c r="S57" s="127"/>
    </row>
    <row r="58" spans="1:19" x14ac:dyDescent="0.35">
      <c r="B58" s="155"/>
      <c r="C58" s="155"/>
      <c r="D58" s="155"/>
      <c r="E58" s="155"/>
      <c r="F58" s="155"/>
      <c r="G58" s="155"/>
      <c r="H58" s="155"/>
      <c r="I58" s="155"/>
      <c r="J58" s="155"/>
      <c r="M58" s="187"/>
      <c r="N58" s="127"/>
      <c r="O58" s="127"/>
      <c r="P58" s="127"/>
      <c r="Q58" s="127"/>
      <c r="R58" s="127"/>
      <c r="S58" s="127"/>
    </row>
    <row r="59" spans="1:19" x14ac:dyDescent="0.35">
      <c r="B59" s="81" t="s">
        <v>102</v>
      </c>
      <c r="C59" s="81">
        <f>IFERROR('Data Sheet'!B62,0)</f>
        <v>789.59</v>
      </c>
      <c r="D59" s="81">
        <f>IFERROR('Data Sheet'!C62,0)</f>
        <v>872.78</v>
      </c>
      <c r="E59" s="81">
        <f>IFERROR('Data Sheet'!D62,0)</f>
        <v>1501.69</v>
      </c>
      <c r="F59" s="81">
        <f>IFERROR('Data Sheet'!E62,0)</f>
        <v>1874.58</v>
      </c>
      <c r="G59" s="81">
        <f>IFERROR('Data Sheet'!F62,0)</f>
        <v>2377.52</v>
      </c>
      <c r="H59" s="81">
        <f>IFERROR('Data Sheet'!G62,0)</f>
        <v>2433.3000000000002</v>
      </c>
      <c r="I59" s="81">
        <f>IFERROR('Data Sheet'!H62,0)</f>
        <v>2424.2800000000002</v>
      </c>
      <c r="J59" s="81">
        <f>IFERROR('Data Sheet'!I62,0)</f>
        <v>2689.99</v>
      </c>
      <c r="K59" s="81">
        <f>IFERROR('Data Sheet'!J62,0)</f>
        <v>2914.38</v>
      </c>
      <c r="L59" s="81">
        <f>IFERROR('Data Sheet'!K62,0)</f>
        <v>3473.47</v>
      </c>
      <c r="M59" s="187"/>
      <c r="N59" s="127"/>
      <c r="O59" s="127"/>
      <c r="P59" s="127"/>
      <c r="Q59" s="127"/>
      <c r="R59" s="127"/>
      <c r="S59" s="127"/>
    </row>
    <row r="60" spans="1:19" x14ac:dyDescent="0.35">
      <c r="B60" s="81" t="s">
        <v>23</v>
      </c>
      <c r="C60" s="81">
        <f>IFERROR('Data Sheet'!B63,0)</f>
        <v>94.48</v>
      </c>
      <c r="D60" s="81">
        <f>IFERROR('Data Sheet'!C63,0)</f>
        <v>373.77</v>
      </c>
      <c r="E60" s="81">
        <f>IFERROR('Data Sheet'!D63,0)</f>
        <v>333.21</v>
      </c>
      <c r="F60" s="81">
        <f>IFERROR('Data Sheet'!E63,0)</f>
        <v>449.74</v>
      </c>
      <c r="G60" s="81">
        <f>IFERROR('Data Sheet'!F63,0)</f>
        <v>312.17</v>
      </c>
      <c r="H60" s="81">
        <f>IFERROR('Data Sheet'!G63,0)</f>
        <v>314.29000000000002</v>
      </c>
      <c r="I60" s="81">
        <f>IFERROR('Data Sheet'!H63,0)</f>
        <v>504.78</v>
      </c>
      <c r="J60" s="81">
        <f>IFERROR('Data Sheet'!I63,0)</f>
        <v>472.07</v>
      </c>
      <c r="K60" s="81">
        <f>IFERROR('Data Sheet'!J63,0)</f>
        <v>555.1</v>
      </c>
      <c r="L60" s="81">
        <f>IFERROR('Data Sheet'!K63,0)</f>
        <v>491.47</v>
      </c>
      <c r="M60" s="187">
        <f>IFERROR('Data Sheet'!N63,0)</f>
        <v>0</v>
      </c>
      <c r="N60" s="127"/>
      <c r="O60" s="127"/>
      <c r="P60" s="127"/>
      <c r="Q60" s="127"/>
      <c r="R60" s="127"/>
      <c r="S60" s="127"/>
    </row>
    <row r="61" spans="1:19" x14ac:dyDescent="0.35">
      <c r="B61" s="81" t="s">
        <v>24</v>
      </c>
      <c r="C61" s="81">
        <f>IFERROR('Data Sheet'!B64,0)</f>
        <v>3388.24</v>
      </c>
      <c r="D61" s="81">
        <f>IFERROR('Data Sheet'!C64,0)</f>
        <v>4987.13</v>
      </c>
      <c r="E61" s="81">
        <f>IFERROR('Data Sheet'!D64,0)</f>
        <v>5580.84</v>
      </c>
      <c r="F61" s="81">
        <f>IFERROR('Data Sheet'!E64,0)</f>
        <v>4922.5200000000004</v>
      </c>
      <c r="G61" s="81">
        <f>IFERROR('Data Sheet'!F64,0)</f>
        <v>5748.77</v>
      </c>
      <c r="H61" s="81">
        <f>IFERROR('Data Sheet'!G64,0)</f>
        <v>3902.14</v>
      </c>
      <c r="I61" s="81">
        <f>IFERROR('Data Sheet'!H64,0)</f>
        <v>7720.58</v>
      </c>
      <c r="J61" s="81">
        <f>IFERROR('Data Sheet'!I64,0)</f>
        <v>12320.66</v>
      </c>
      <c r="K61" s="81">
        <f>IFERROR('Data Sheet'!J64,0)</f>
        <v>13526.96</v>
      </c>
      <c r="L61" s="81">
        <f>IFERROR('Data Sheet'!K64,0)</f>
        <v>14790.9</v>
      </c>
      <c r="M61" s="187">
        <f>IFERROR('Data Sheet'!L64,0)</f>
        <v>0</v>
      </c>
      <c r="N61" s="127"/>
      <c r="O61" s="127"/>
      <c r="P61" s="127"/>
      <c r="Q61" s="127"/>
      <c r="R61" s="127"/>
      <c r="S61" s="127"/>
    </row>
    <row r="62" spans="1:19" x14ac:dyDescent="0.35">
      <c r="B62" s="81" t="s">
        <v>58</v>
      </c>
      <c r="C62" s="81">
        <f>IFERROR('Data Sheet'!B65-SUM('Data Sheet'!B67:B69),0)</f>
        <v>276.50000000000006</v>
      </c>
      <c r="D62" s="81">
        <f>IFERROR('Data Sheet'!C65-SUM('Data Sheet'!C67:C69),0)</f>
        <v>364.4</v>
      </c>
      <c r="E62" s="81">
        <f>IFERROR('Data Sheet'!D65-SUM('Data Sheet'!D67:D69),0)</f>
        <v>431.84999999999991</v>
      </c>
      <c r="F62" s="81">
        <f>IFERROR('Data Sheet'!E65-SUM('Data Sheet'!E67:E69),0)</f>
        <v>457.02999999999975</v>
      </c>
      <c r="G62" s="81">
        <f>IFERROR('Data Sheet'!F65-SUM('Data Sheet'!F67:F69),0)</f>
        <v>401.55999999999995</v>
      </c>
      <c r="H62" s="81">
        <f>IFERROR('Data Sheet'!G65-SUM('Data Sheet'!G67:G69),0)</f>
        <v>1045.7600000000002</v>
      </c>
      <c r="I62" s="81">
        <f>IFERROR('Data Sheet'!H65-SUM('Data Sheet'!H67:H69),0)</f>
        <v>1333.2799999999997</v>
      </c>
      <c r="J62" s="81">
        <f>IFERROR('Data Sheet'!I65-SUM('Data Sheet'!I67:I69),0)</f>
        <v>1301.98</v>
      </c>
      <c r="K62" s="81">
        <f>IFERROR('Data Sheet'!J65-SUM('Data Sheet'!J67:J69),0)</f>
        <v>4188.9599999999991</v>
      </c>
      <c r="L62" s="81">
        <f>IFERROR('Data Sheet'!K65-SUM('Data Sheet'!K67:K69),0)</f>
        <v>6042.17</v>
      </c>
      <c r="M62" s="187">
        <f>IFERROR('Data Sheet'!L65,0)</f>
        <v>0</v>
      </c>
      <c r="N62" s="127"/>
      <c r="O62" s="127"/>
      <c r="P62" s="127"/>
      <c r="Q62" s="127"/>
      <c r="R62" s="127"/>
      <c r="S62" s="127"/>
    </row>
    <row r="63" spans="1:19" x14ac:dyDescent="0.35">
      <c r="B63" s="263" t="s">
        <v>103</v>
      </c>
      <c r="C63" s="263">
        <f>IFERROR(SUM(C59:C62),0)</f>
        <v>4548.8099999999995</v>
      </c>
      <c r="D63" s="263">
        <f t="shared" ref="D63:M63" si="19">IFERROR(SUM(D59:D62),0)</f>
        <v>6598.08</v>
      </c>
      <c r="E63" s="263">
        <f t="shared" si="19"/>
        <v>7847.59</v>
      </c>
      <c r="F63" s="263">
        <f t="shared" si="19"/>
        <v>7703.87</v>
      </c>
      <c r="G63" s="263">
        <f t="shared" si="19"/>
        <v>8840.02</v>
      </c>
      <c r="H63" s="263">
        <f t="shared" si="19"/>
        <v>7695.49</v>
      </c>
      <c r="I63" s="263">
        <f t="shared" si="19"/>
        <v>11982.919999999998</v>
      </c>
      <c r="J63" s="263">
        <f t="shared" si="19"/>
        <v>16784.7</v>
      </c>
      <c r="K63" s="263">
        <f t="shared" si="19"/>
        <v>21185.399999999998</v>
      </c>
      <c r="L63" s="263">
        <f t="shared" si="19"/>
        <v>24798.010000000002</v>
      </c>
      <c r="M63" s="267">
        <f t="shared" si="19"/>
        <v>0</v>
      </c>
      <c r="N63" s="127"/>
      <c r="O63" s="127"/>
      <c r="P63" s="127"/>
      <c r="Q63" s="127"/>
      <c r="R63" s="127"/>
      <c r="S63" s="127"/>
    </row>
    <row r="64" spans="1:19" x14ac:dyDescent="0.35">
      <c r="B64" s="170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267"/>
      <c r="N64" s="127"/>
      <c r="O64" s="127"/>
      <c r="P64" s="127"/>
      <c r="Q64" s="127"/>
      <c r="R64" s="127"/>
      <c r="S64" s="127"/>
    </row>
    <row r="65" spans="1:19" x14ac:dyDescent="0.35">
      <c r="B65" s="247" t="s">
        <v>63</v>
      </c>
      <c r="C65" s="247">
        <f>IFERROR('Data Sheet'!B67,0)</f>
        <v>32.64</v>
      </c>
      <c r="D65" s="247">
        <f>IFERROR('Data Sheet'!C67,0)</f>
        <v>50.04</v>
      </c>
      <c r="E65" s="247">
        <f>IFERROR('Data Sheet'!D67,0)</f>
        <v>68</v>
      </c>
      <c r="F65" s="247">
        <f>IFERROR('Data Sheet'!E67,0)</f>
        <v>84.29</v>
      </c>
      <c r="G65" s="247">
        <f>IFERROR('Data Sheet'!F67,0)</f>
        <v>86.76</v>
      </c>
      <c r="H65" s="247">
        <f>IFERROR('Data Sheet'!G67,0)</f>
        <v>158.16</v>
      </c>
      <c r="I65" s="247">
        <f>IFERROR('Data Sheet'!H67,0)</f>
        <v>302.04000000000002</v>
      </c>
      <c r="J65" s="247">
        <f>IFERROR('Data Sheet'!I67,0)</f>
        <v>368.92</v>
      </c>
      <c r="K65" s="247">
        <f>IFERROR('Data Sheet'!J67,0)</f>
        <v>373.78</v>
      </c>
      <c r="L65" s="247">
        <f>IFERROR('Data Sheet'!K67,0)</f>
        <v>549.64</v>
      </c>
      <c r="M65" s="187"/>
      <c r="N65" s="127"/>
      <c r="O65" s="127"/>
      <c r="P65" s="127"/>
      <c r="Q65" s="127"/>
      <c r="R65" s="127"/>
      <c r="S65" s="127"/>
    </row>
    <row r="66" spans="1:19" x14ac:dyDescent="0.35">
      <c r="B66" s="247" t="s">
        <v>40</v>
      </c>
      <c r="C66" s="247">
        <f>IFERROR('Data Sheet'!B68,0)</f>
        <v>308.39</v>
      </c>
      <c r="D66" s="247">
        <f>IFERROR('Data Sheet'!C68,0)</f>
        <v>335.9</v>
      </c>
      <c r="E66" s="247">
        <f>IFERROR('Data Sheet'!D68,0)</f>
        <v>394.64</v>
      </c>
      <c r="F66" s="247">
        <f>IFERROR('Data Sheet'!E68,0)</f>
        <v>633.38</v>
      </c>
      <c r="G66" s="247">
        <f>IFERROR('Data Sheet'!F68,0)</f>
        <v>572.35</v>
      </c>
      <c r="H66" s="247">
        <f>IFERROR('Data Sheet'!G68,0)</f>
        <v>874.6</v>
      </c>
      <c r="I66" s="247">
        <f>IFERROR('Data Sheet'!H68,0)</f>
        <v>1132.4000000000001</v>
      </c>
      <c r="J66" s="247">
        <f>IFERROR('Data Sheet'!I68,0)</f>
        <v>1278.44</v>
      </c>
      <c r="K66" s="247">
        <f>IFERROR('Data Sheet'!J68,0)</f>
        <v>1409.64</v>
      </c>
      <c r="L66" s="247">
        <f>IFERROR('Data Sheet'!K68,0)</f>
        <v>1563.75</v>
      </c>
      <c r="M66" s="187">
        <f>IFERROR('Data Sheet'!L68,0)</f>
        <v>0</v>
      </c>
      <c r="N66" s="127"/>
      <c r="O66" s="127"/>
      <c r="P66" s="127"/>
      <c r="Q66" s="127"/>
      <c r="R66" s="127"/>
      <c r="S66" s="127"/>
    </row>
    <row r="67" spans="1:19" x14ac:dyDescent="0.35">
      <c r="B67" s="247" t="s">
        <v>72</v>
      </c>
      <c r="C67" s="247">
        <f>IFERROR('Data Sheet'!B69,0)</f>
        <v>49.17</v>
      </c>
      <c r="D67" s="247">
        <f>IFERROR('Data Sheet'!C69,0)</f>
        <v>25.06</v>
      </c>
      <c r="E67" s="247">
        <f>IFERROR('Data Sheet'!D69,0)</f>
        <v>1212</v>
      </c>
      <c r="F67" s="247">
        <f>IFERROR('Data Sheet'!E69,0)</f>
        <v>2965.29</v>
      </c>
      <c r="G67" s="247">
        <f>IFERROR('Data Sheet'!F69,0)</f>
        <v>2950.59</v>
      </c>
      <c r="H67" s="247">
        <f>IFERROR('Data Sheet'!G69,0)</f>
        <v>5830.36</v>
      </c>
      <c r="I67" s="247">
        <f>IFERROR('Data Sheet'!H69,0)</f>
        <v>2722.47</v>
      </c>
      <c r="J67" s="247">
        <f>IFERROR('Data Sheet'!I69,0)</f>
        <v>765.58</v>
      </c>
      <c r="K67" s="247">
        <f>IFERROR('Data Sheet'!J69,0)</f>
        <v>146.31</v>
      </c>
      <c r="L67" s="247">
        <f>IFERROR('Data Sheet'!K69,0)</f>
        <v>263.01</v>
      </c>
      <c r="M67" s="187"/>
      <c r="N67" s="127"/>
      <c r="O67" s="127"/>
      <c r="P67" s="127"/>
      <c r="Q67" s="127"/>
      <c r="R67" s="127"/>
      <c r="S67" s="127"/>
    </row>
    <row r="68" spans="1:19" x14ac:dyDescent="0.35">
      <c r="B68" s="248" t="s">
        <v>104</v>
      </c>
      <c r="C68" s="248">
        <f>IFERROR(SUM(C65:C67),0)</f>
        <v>390.2</v>
      </c>
      <c r="D68" s="248">
        <f t="shared" ref="D68:L68" si="20">IFERROR(SUM(D65:D67),0)</f>
        <v>411</v>
      </c>
      <c r="E68" s="248">
        <f t="shared" si="20"/>
        <v>1674.6399999999999</v>
      </c>
      <c r="F68" s="248">
        <f t="shared" si="20"/>
        <v>3682.96</v>
      </c>
      <c r="G68" s="248">
        <f t="shared" si="20"/>
        <v>3609.7000000000003</v>
      </c>
      <c r="H68" s="248">
        <f t="shared" si="20"/>
        <v>6863.12</v>
      </c>
      <c r="I68" s="248">
        <f t="shared" si="20"/>
        <v>4156.91</v>
      </c>
      <c r="J68" s="248">
        <f t="shared" si="20"/>
        <v>2412.94</v>
      </c>
      <c r="K68" s="248">
        <f t="shared" si="20"/>
        <v>1929.73</v>
      </c>
      <c r="L68" s="248">
        <f t="shared" si="20"/>
        <v>2376.3999999999996</v>
      </c>
      <c r="M68" s="267"/>
      <c r="N68" s="127"/>
      <c r="O68" s="127"/>
      <c r="P68" s="127"/>
      <c r="Q68" s="127"/>
      <c r="R68" s="127"/>
      <c r="S68" s="127"/>
    </row>
    <row r="69" spans="1:19" x14ac:dyDescent="0.35">
      <c r="B69" s="324"/>
      <c r="C69" s="324"/>
      <c r="D69" s="324"/>
      <c r="E69" s="324"/>
      <c r="F69" s="324"/>
      <c r="G69" s="324"/>
      <c r="H69" s="324"/>
      <c r="I69" s="324"/>
      <c r="J69" s="324"/>
      <c r="K69" s="324"/>
      <c r="L69" s="324"/>
      <c r="M69" s="187"/>
      <c r="N69" s="127"/>
      <c r="O69" s="127"/>
      <c r="P69" s="127"/>
      <c r="Q69" s="127"/>
      <c r="R69" s="127"/>
      <c r="S69" s="127"/>
    </row>
    <row r="70" spans="1:19" x14ac:dyDescent="0.35">
      <c r="B70" s="248" t="s">
        <v>105</v>
      </c>
      <c r="C70" s="248">
        <f>IFERROR(SUM(C63,C68),0)</f>
        <v>4939.0099999999993</v>
      </c>
      <c r="D70" s="248">
        <f t="shared" ref="D70:M70" si="21">IFERROR(SUM(D63,D68),0)</f>
        <v>7009.08</v>
      </c>
      <c r="E70" s="248">
        <f t="shared" si="21"/>
        <v>9522.23</v>
      </c>
      <c r="F70" s="248">
        <f t="shared" si="21"/>
        <v>11386.83</v>
      </c>
      <c r="G70" s="248">
        <f t="shared" si="21"/>
        <v>12449.720000000001</v>
      </c>
      <c r="H70" s="248">
        <f t="shared" si="21"/>
        <v>14558.61</v>
      </c>
      <c r="I70" s="248">
        <f t="shared" si="21"/>
        <v>16139.829999999998</v>
      </c>
      <c r="J70" s="248">
        <f t="shared" si="21"/>
        <v>19197.64</v>
      </c>
      <c r="K70" s="248">
        <f t="shared" si="21"/>
        <v>23115.129999999997</v>
      </c>
      <c r="L70" s="248">
        <f t="shared" si="21"/>
        <v>27174.410000000003</v>
      </c>
      <c r="M70" s="267">
        <f t="shared" si="21"/>
        <v>0</v>
      </c>
      <c r="N70" s="127"/>
      <c r="O70" s="127"/>
      <c r="P70" s="127"/>
      <c r="Q70" s="127"/>
      <c r="R70" s="127"/>
      <c r="S70" s="127"/>
    </row>
    <row r="71" spans="1:19" x14ac:dyDescent="0.35">
      <c r="B71" s="249"/>
      <c r="C71" s="249"/>
      <c r="D71" s="249"/>
      <c r="E71" s="249"/>
      <c r="F71" s="249"/>
      <c r="G71" s="249"/>
      <c r="H71" s="249"/>
      <c r="I71" s="249"/>
      <c r="J71" s="249"/>
      <c r="K71" s="249"/>
      <c r="L71" s="249"/>
      <c r="M71" s="187"/>
      <c r="N71" s="127"/>
      <c r="O71" s="127"/>
      <c r="P71" s="127"/>
      <c r="Q71" s="127"/>
      <c r="R71" s="127"/>
      <c r="S71" s="127"/>
    </row>
    <row r="72" spans="1:19" x14ac:dyDescent="0.35">
      <c r="B72" s="250" t="s">
        <v>106</v>
      </c>
      <c r="C72" s="250" t="b">
        <f>C70=C57</f>
        <v>1</v>
      </c>
      <c r="D72" s="250" t="b">
        <f t="shared" ref="D72:L72" si="22">D70=D57</f>
        <v>1</v>
      </c>
      <c r="E72" s="250" t="b">
        <f t="shared" si="22"/>
        <v>1</v>
      </c>
      <c r="F72" s="250" t="b">
        <f t="shared" si="22"/>
        <v>1</v>
      </c>
      <c r="G72" s="250" t="b">
        <f t="shared" si="22"/>
        <v>1</v>
      </c>
      <c r="H72" s="250" t="b">
        <f t="shared" si="22"/>
        <v>1</v>
      </c>
      <c r="I72" s="250" t="b">
        <f t="shared" si="22"/>
        <v>1</v>
      </c>
      <c r="J72" s="250" t="b">
        <f t="shared" si="22"/>
        <v>1</v>
      </c>
      <c r="K72" s="250" t="b">
        <f t="shared" si="22"/>
        <v>1</v>
      </c>
      <c r="L72" s="250" t="b">
        <f t="shared" si="22"/>
        <v>1</v>
      </c>
      <c r="M72" s="267"/>
      <c r="N72" s="127"/>
      <c r="O72" s="127"/>
      <c r="P72" s="127"/>
      <c r="Q72" s="127"/>
      <c r="R72" s="127"/>
      <c r="S72" s="127"/>
    </row>
    <row r="73" spans="1:19" x14ac:dyDescent="0.35"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187"/>
      <c r="N73" s="127"/>
      <c r="O73" s="127"/>
      <c r="P73" s="127"/>
      <c r="Q73" s="127"/>
      <c r="R73" s="127"/>
      <c r="S73" s="127"/>
    </row>
    <row r="74" spans="1:19" x14ac:dyDescent="0.35">
      <c r="A74" s="15" t="s">
        <v>77</v>
      </c>
      <c r="B74" s="147" t="s">
        <v>123</v>
      </c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87"/>
      <c r="N74" s="127"/>
      <c r="O74" s="127"/>
      <c r="P74" s="127"/>
      <c r="Q74" s="127"/>
      <c r="R74" s="127"/>
      <c r="S74" s="127"/>
    </row>
    <row r="75" spans="1:19" x14ac:dyDescent="0.35">
      <c r="B75" s="252" t="s">
        <v>124</v>
      </c>
      <c r="C75" s="252"/>
      <c r="D75" s="252"/>
      <c r="E75" s="252"/>
      <c r="F75" s="252"/>
      <c r="G75" s="252"/>
      <c r="H75" s="252"/>
      <c r="I75" s="252"/>
      <c r="J75" s="252"/>
      <c r="K75" s="252"/>
      <c r="L75" s="252"/>
      <c r="M75" s="187"/>
      <c r="N75" s="127"/>
      <c r="O75" s="127"/>
      <c r="P75" s="127"/>
      <c r="Q75" s="127"/>
      <c r="R75" s="127"/>
      <c r="S75" s="127"/>
    </row>
    <row r="76" spans="1:19" x14ac:dyDescent="0.35">
      <c r="B76" s="247" t="s">
        <v>108</v>
      </c>
      <c r="C76" s="247">
        <f>IFERROR('Forcasting data '!C14,0)</f>
        <v>1719</v>
      </c>
      <c r="D76" s="247">
        <f>IFERROR('Forcasting data '!D14,0)</f>
        <v>2196</v>
      </c>
      <c r="E76" s="247">
        <f>IFERROR('Forcasting data '!E14,0)</f>
        <v>2851</v>
      </c>
      <c r="F76" s="247">
        <f>IFERROR('Forcasting data '!F14,0)</f>
        <v>2941</v>
      </c>
      <c r="G76" s="247">
        <f>IFERROR('Forcasting data '!G14,0)</f>
        <v>2236</v>
      </c>
      <c r="H76" s="247">
        <f>IFERROR('Forcasting data '!H14,0)</f>
        <v>1912</v>
      </c>
      <c r="I76" s="247">
        <f>IFERROR('Forcasting data '!I14,0)</f>
        <v>2172</v>
      </c>
      <c r="J76" s="247">
        <f>IFERROR('Forcasting data '!J14,0)</f>
        <v>3527</v>
      </c>
      <c r="K76" s="247">
        <f>IFERROR('Forcasting data '!K14,0)</f>
        <v>4404</v>
      </c>
      <c r="L76" s="247">
        <f>IFERROR('Forcasting data '!L14,0)</f>
        <v>4849</v>
      </c>
      <c r="M76" s="187">
        <f>IFERROR('Forcasting data '!M14,0)</f>
        <v>0</v>
      </c>
      <c r="N76" s="127"/>
      <c r="O76" s="127"/>
      <c r="P76" s="127"/>
      <c r="Q76" s="127"/>
      <c r="R76" s="127"/>
      <c r="S76" s="127"/>
    </row>
    <row r="77" spans="1:19" x14ac:dyDescent="0.35">
      <c r="B77" s="247" t="s">
        <v>63</v>
      </c>
      <c r="C77" s="247">
        <f>IFERROR('Forcasting data '!C15,0)</f>
        <v>-22</v>
      </c>
      <c r="D77" s="247">
        <f>IFERROR('Forcasting data '!D15,0)</f>
        <v>-17</v>
      </c>
      <c r="E77" s="247">
        <f>IFERROR('Forcasting data '!E15,0)</f>
        <v>-18</v>
      </c>
      <c r="F77" s="247">
        <f>IFERROR('Forcasting data '!F15,0)</f>
        <v>-18</v>
      </c>
      <c r="G77" s="247">
        <f>IFERROR('Forcasting data '!G15,0)</f>
        <v>0</v>
      </c>
      <c r="H77" s="247">
        <f>IFERROR('Forcasting data '!H15,0)</f>
        <v>-73</v>
      </c>
      <c r="I77" s="247">
        <f>IFERROR('Forcasting data '!I15,0)</f>
        <v>-147</v>
      </c>
      <c r="J77" s="247">
        <f>IFERROR('Forcasting data '!J15,0)</f>
        <v>-59</v>
      </c>
      <c r="K77" s="247">
        <f>IFERROR('Forcasting data '!K15,0)</f>
        <v>-5</v>
      </c>
      <c r="L77" s="247">
        <f>IFERROR('Forcasting data '!L15,0)</f>
        <v>-176</v>
      </c>
      <c r="M77" s="187">
        <f>IFERROR('Forcasting data '!M15,0)</f>
        <v>0</v>
      </c>
      <c r="N77" s="127"/>
      <c r="O77" s="127"/>
      <c r="P77" s="127"/>
      <c r="Q77" s="127"/>
      <c r="R77" s="127"/>
      <c r="S77" s="127"/>
    </row>
    <row r="78" spans="1:19" x14ac:dyDescent="0.35">
      <c r="B78" s="247" t="s">
        <v>40</v>
      </c>
      <c r="C78" s="247">
        <f>IFERROR('Forcasting data '!C16,0)</f>
        <v>-104</v>
      </c>
      <c r="D78" s="247">
        <f>IFERROR('Forcasting data '!D16,0)</f>
        <v>-28</v>
      </c>
      <c r="E78" s="247">
        <f>IFERROR('Forcasting data '!E16,0)</f>
        <v>-59</v>
      </c>
      <c r="F78" s="247">
        <f>IFERROR('Forcasting data '!F16,0)</f>
        <v>-239</v>
      </c>
      <c r="G78" s="247">
        <f>IFERROR('Forcasting data '!G16,0)</f>
        <v>61</v>
      </c>
      <c r="H78" s="247">
        <f>IFERROR('Forcasting data '!H16,0)</f>
        <v>-302</v>
      </c>
      <c r="I78" s="247">
        <f>IFERROR('Forcasting data '!I16,0)</f>
        <v>-258</v>
      </c>
      <c r="J78" s="247">
        <f>IFERROR('Forcasting data '!J16,0)</f>
        <v>-146</v>
      </c>
      <c r="K78" s="247">
        <f>IFERROR('Forcasting data '!K16,0)</f>
        <v>-131</v>
      </c>
      <c r="L78" s="247">
        <f>IFERROR('Forcasting data '!L16,0)</f>
        <v>-154</v>
      </c>
      <c r="M78" s="187">
        <f>IFERROR('Forcasting data '!M16,0)</f>
        <v>0</v>
      </c>
      <c r="N78" s="127"/>
      <c r="O78" s="127"/>
      <c r="P78" s="127"/>
      <c r="Q78" s="127"/>
      <c r="R78" s="127"/>
      <c r="S78" s="127"/>
    </row>
    <row r="79" spans="1:19" x14ac:dyDescent="0.35">
      <c r="B79" s="247" t="s">
        <v>109</v>
      </c>
      <c r="C79" s="247">
        <f>IFERROR('Forcasting data '!C17,0)</f>
        <v>241</v>
      </c>
      <c r="D79" s="247">
        <f>IFERROR('Forcasting data '!D17,0)</f>
        <v>110</v>
      </c>
      <c r="E79" s="247">
        <f>IFERROR('Forcasting data '!E17,0)</f>
        <v>407</v>
      </c>
      <c r="F79" s="247">
        <f>IFERROR('Forcasting data '!F17,0)</f>
        <v>62</v>
      </c>
      <c r="G79" s="247">
        <f>IFERROR('Forcasting data '!G17,0)</f>
        <v>-235</v>
      </c>
      <c r="H79" s="247">
        <f>IFERROR('Forcasting data '!H17,0)</f>
        <v>495</v>
      </c>
      <c r="I79" s="247">
        <f>IFERROR('Forcasting data '!I17,0)</f>
        <v>283</v>
      </c>
      <c r="J79" s="247">
        <f>IFERROR('Forcasting data '!J17,0)</f>
        <v>22</v>
      </c>
      <c r="K79" s="247">
        <f>IFERROR('Forcasting data '!K17,0)</f>
        <v>304</v>
      </c>
      <c r="L79" s="247">
        <f>IFERROR('Forcasting data '!L17,0)</f>
        <v>440</v>
      </c>
      <c r="M79" s="187">
        <f>IFERROR('Forcasting data '!M17,0)</f>
        <v>0</v>
      </c>
      <c r="N79" s="127"/>
      <c r="O79" s="127"/>
      <c r="P79" s="127"/>
      <c r="Q79" s="127"/>
      <c r="R79" s="127"/>
      <c r="S79" s="127"/>
    </row>
    <row r="80" spans="1:19" x14ac:dyDescent="0.35">
      <c r="B80" s="247" t="s">
        <v>110</v>
      </c>
      <c r="C80" s="247">
        <f>IFERROR('Forcasting data '!C18,0)</f>
        <v>-12</v>
      </c>
      <c r="D80" s="247">
        <f>IFERROR('Forcasting data '!D18,0)</f>
        <v>6</v>
      </c>
      <c r="E80" s="247">
        <f>IFERROR('Forcasting data '!E18,0)</f>
        <v>0</v>
      </c>
      <c r="F80" s="247">
        <f>IFERROR('Forcasting data '!F18,0)</f>
        <v>-1</v>
      </c>
      <c r="G80" s="247">
        <f>IFERROR('Forcasting data '!G18,0)</f>
        <v>1</v>
      </c>
      <c r="H80" s="247">
        <f>IFERROR('Forcasting data '!H18,0)</f>
        <v>0</v>
      </c>
      <c r="I80" s="247">
        <f>IFERROR('Forcasting data '!I18,0)</f>
        <v>0</v>
      </c>
      <c r="J80" s="247">
        <f>IFERROR('Forcasting data '!J18,0)</f>
        <v>0</v>
      </c>
      <c r="K80" s="247">
        <f>IFERROR('Forcasting data '!K18,0)</f>
        <v>0</v>
      </c>
      <c r="L80" s="247">
        <f>IFERROR('Forcasting data '!L18,0)</f>
        <v>0</v>
      </c>
      <c r="M80" s="187">
        <f>IFERROR('Forcasting data '!M18,0)</f>
        <v>0</v>
      </c>
      <c r="N80" s="127"/>
      <c r="O80" s="127"/>
      <c r="P80" s="127"/>
      <c r="Q80" s="127"/>
      <c r="R80" s="127"/>
      <c r="S80" s="127"/>
    </row>
    <row r="81" spans="2:19" x14ac:dyDescent="0.35">
      <c r="B81" s="247" t="s">
        <v>111</v>
      </c>
      <c r="C81" s="247">
        <f>IFERROR('Forcasting data '!C19,0)</f>
        <v>160</v>
      </c>
      <c r="D81" s="247">
        <f>IFERROR('Forcasting data '!D19,0)</f>
        <v>92</v>
      </c>
      <c r="E81" s="247">
        <f>IFERROR('Forcasting data '!E19,0)</f>
        <v>109</v>
      </c>
      <c r="F81" s="247">
        <f>IFERROR('Forcasting data '!F19,0)</f>
        <v>-262</v>
      </c>
      <c r="G81" s="247">
        <f>IFERROR('Forcasting data '!G19,0)</f>
        <v>259</v>
      </c>
      <c r="H81" s="247">
        <f>IFERROR('Forcasting data '!H19,0)</f>
        <v>115</v>
      </c>
      <c r="I81" s="247">
        <f>IFERROR('Forcasting data '!I19,0)</f>
        <v>-10</v>
      </c>
      <c r="J81" s="247">
        <f>IFERROR('Forcasting data '!J19,0)</f>
        <v>249</v>
      </c>
      <c r="K81" s="247">
        <f>IFERROR('Forcasting data '!K19,0)</f>
        <v>220</v>
      </c>
      <c r="L81" s="247">
        <f>IFERROR('Forcasting data '!L19,0)</f>
        <v>101</v>
      </c>
      <c r="M81" s="187">
        <f>IFERROR('Forcasting data '!M19,0)</f>
        <v>0</v>
      </c>
      <c r="N81" s="127"/>
      <c r="O81" s="127"/>
      <c r="P81" s="127"/>
      <c r="Q81" s="127"/>
      <c r="R81" s="127"/>
      <c r="S81" s="127"/>
    </row>
    <row r="82" spans="2:19" x14ac:dyDescent="0.35">
      <c r="B82" s="247" t="s">
        <v>112</v>
      </c>
      <c r="C82" s="247">
        <f>IFERROR('Forcasting data '!C20,0)</f>
        <v>263</v>
      </c>
      <c r="D82" s="247">
        <f>IFERROR('Forcasting data '!D20,0)</f>
        <v>163</v>
      </c>
      <c r="E82" s="247">
        <f>IFERROR('Forcasting data '!E20,0)</f>
        <v>438</v>
      </c>
      <c r="F82" s="247">
        <f>IFERROR('Forcasting data '!F20,0)</f>
        <v>-457</v>
      </c>
      <c r="G82" s="247">
        <f>IFERROR('Forcasting data '!G20,0)</f>
        <v>86</v>
      </c>
      <c r="H82" s="247">
        <f>IFERROR('Forcasting data '!H20,0)</f>
        <v>235</v>
      </c>
      <c r="I82" s="247">
        <f>IFERROR('Forcasting data '!I20,0)</f>
        <v>-131</v>
      </c>
      <c r="J82" s="247">
        <f>IFERROR('Forcasting data '!J20,0)</f>
        <v>66</v>
      </c>
      <c r="K82" s="247">
        <f>IFERROR('Forcasting data '!K20,0)</f>
        <v>388</v>
      </c>
      <c r="L82" s="247">
        <f>IFERROR('Forcasting data '!L20,0)</f>
        <v>211</v>
      </c>
      <c r="M82" s="187">
        <f>IFERROR('Forcasting data '!M20,0)</f>
        <v>0</v>
      </c>
      <c r="N82" s="127"/>
      <c r="O82" s="127"/>
      <c r="P82" s="127"/>
      <c r="Q82" s="127"/>
      <c r="R82" s="127"/>
      <c r="S82" s="127"/>
    </row>
    <row r="83" spans="2:19" x14ac:dyDescent="0.35">
      <c r="B83" s="247" t="s">
        <v>113</v>
      </c>
      <c r="C83" s="247">
        <f>IFERROR('Forcasting data '!C21,0)</f>
        <v>-519</v>
      </c>
      <c r="D83" s="247">
        <f>IFERROR('Forcasting data '!D21,0)</f>
        <v>-652</v>
      </c>
      <c r="E83" s="247">
        <f>IFERROR('Forcasting data '!E21,0)</f>
        <v>-807</v>
      </c>
      <c r="F83" s="247">
        <f>IFERROR('Forcasting data '!F21,0)</f>
        <v>-908</v>
      </c>
      <c r="G83" s="247">
        <f>IFERROR('Forcasting data '!G21,0)</f>
        <v>-628</v>
      </c>
      <c r="H83" s="247">
        <f>IFERROR('Forcasting data '!H21,0)</f>
        <v>-457</v>
      </c>
      <c r="I83" s="247">
        <f>IFERROR('Forcasting data '!I21,0)</f>
        <v>-514</v>
      </c>
      <c r="J83" s="247">
        <f>IFERROR('Forcasting data '!J21,0)</f>
        <v>-770</v>
      </c>
      <c r="K83" s="247">
        <f>IFERROR('Forcasting data '!K21,0)</f>
        <v>-1068</v>
      </c>
      <c r="L83" s="247">
        <f>IFERROR('Forcasting data '!L21,0)</f>
        <v>-1080</v>
      </c>
      <c r="M83" s="187">
        <f>IFERROR('Forcasting data '!M21,0)</f>
        <v>0</v>
      </c>
      <c r="N83" s="127"/>
      <c r="O83" s="127"/>
      <c r="P83" s="127"/>
      <c r="Q83" s="127"/>
      <c r="R83" s="127"/>
      <c r="S83" s="127"/>
    </row>
    <row r="84" spans="2:19" x14ac:dyDescent="0.35">
      <c r="B84" s="248" t="s">
        <v>125</v>
      </c>
      <c r="C84" s="248">
        <f t="shared" ref="C84:M84" si="23">IFERROR(SUM(C76:C83),0)</f>
        <v>1726</v>
      </c>
      <c r="D84" s="248">
        <f t="shared" si="23"/>
        <v>1870</v>
      </c>
      <c r="E84" s="248">
        <f t="shared" si="23"/>
        <v>2921</v>
      </c>
      <c r="F84" s="248">
        <f t="shared" si="23"/>
        <v>1118</v>
      </c>
      <c r="G84" s="248">
        <f t="shared" si="23"/>
        <v>1780</v>
      </c>
      <c r="H84" s="248">
        <f t="shared" si="23"/>
        <v>1925</v>
      </c>
      <c r="I84" s="248">
        <f t="shared" si="23"/>
        <v>1395</v>
      </c>
      <c r="J84" s="248">
        <f t="shared" si="23"/>
        <v>2889</v>
      </c>
      <c r="K84" s="248">
        <f t="shared" si="23"/>
        <v>4112</v>
      </c>
      <c r="L84" s="248">
        <f t="shared" si="23"/>
        <v>4191</v>
      </c>
      <c r="M84" s="267">
        <f t="shared" si="23"/>
        <v>0</v>
      </c>
      <c r="N84" s="127"/>
      <c r="O84" s="127"/>
      <c r="P84" s="127"/>
      <c r="Q84" s="127"/>
      <c r="R84" s="127"/>
      <c r="S84" s="127"/>
    </row>
    <row r="85" spans="2:19" x14ac:dyDescent="0.35">
      <c r="B85" s="249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187"/>
      <c r="N85" s="127"/>
      <c r="O85" s="127"/>
      <c r="P85" s="127"/>
      <c r="Q85" s="127"/>
      <c r="R85" s="127"/>
      <c r="S85" s="127"/>
    </row>
    <row r="86" spans="2:19" x14ac:dyDescent="0.35">
      <c r="B86" s="147" t="s">
        <v>127</v>
      </c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87"/>
      <c r="N86" s="127"/>
      <c r="O86" s="127"/>
      <c r="P86" s="127"/>
      <c r="Q86" s="127"/>
      <c r="R86" s="127"/>
      <c r="S86" s="127"/>
    </row>
    <row r="87" spans="2:19" x14ac:dyDescent="0.35">
      <c r="B87" s="247" t="s">
        <v>115</v>
      </c>
      <c r="C87" s="247">
        <f>IFERROR('Forcasting data '!C23,0)</f>
        <v>-510</v>
      </c>
      <c r="D87" s="247">
        <f>IFERROR('Forcasting data '!D23,0)</f>
        <v>-548</v>
      </c>
      <c r="E87" s="247">
        <f>IFERROR('Forcasting data '!E23,0)</f>
        <v>-748</v>
      </c>
      <c r="F87" s="247">
        <f>IFERROR('Forcasting data '!F23,0)</f>
        <v>-792</v>
      </c>
      <c r="G87" s="247">
        <f>IFERROR('Forcasting data '!G23,0)</f>
        <v>-546</v>
      </c>
      <c r="H87" s="247">
        <f>IFERROR('Forcasting data '!H23,0)</f>
        <v>-532</v>
      </c>
      <c r="I87" s="247">
        <f>IFERROR('Forcasting data '!I23,0)</f>
        <v>-641</v>
      </c>
      <c r="J87" s="247">
        <f>IFERROR('Forcasting data '!J23,0)</f>
        <v>-682</v>
      </c>
      <c r="K87" s="247">
        <f>IFERROR('Forcasting data '!K23,0)</f>
        <v>-819</v>
      </c>
      <c r="L87" s="247">
        <f>IFERROR('Forcasting data '!L23,0)</f>
        <v>-1039</v>
      </c>
      <c r="M87" s="187">
        <f>IFERROR('Forcasting data '!M23,0)</f>
        <v>0</v>
      </c>
      <c r="N87" s="127"/>
      <c r="O87" s="127"/>
      <c r="P87" s="127"/>
      <c r="Q87" s="127"/>
      <c r="R87" s="127"/>
      <c r="S87" s="127"/>
    </row>
    <row r="88" spans="2:19" x14ac:dyDescent="0.35">
      <c r="B88" s="247" t="s">
        <v>116</v>
      </c>
      <c r="C88" s="247">
        <f>IFERROR('Forcasting data '!C24,0)</f>
        <v>1</v>
      </c>
      <c r="D88" s="247">
        <f>IFERROR('Forcasting data '!D24,0)</f>
        <v>1</v>
      </c>
      <c r="E88" s="247">
        <f>IFERROR('Forcasting data '!E24,0)</f>
        <v>3</v>
      </c>
      <c r="F88" s="247">
        <f>IFERROR('Forcasting data '!F24,0)</f>
        <v>2</v>
      </c>
      <c r="G88" s="247">
        <f>IFERROR('Forcasting data '!G24,0)</f>
        <v>1</v>
      </c>
      <c r="H88" s="247">
        <f>IFERROR('Forcasting data '!H24,0)</f>
        <v>17</v>
      </c>
      <c r="I88" s="247">
        <f>IFERROR('Forcasting data '!I24,0)</f>
        <v>2</v>
      </c>
      <c r="J88" s="247">
        <f>IFERROR('Forcasting data '!J24,0)</f>
        <v>9</v>
      </c>
      <c r="K88" s="247">
        <f>IFERROR('Forcasting data '!K24,0)</f>
        <v>4</v>
      </c>
      <c r="L88" s="247">
        <f>IFERROR('Forcasting data '!L24,0)</f>
        <v>11</v>
      </c>
      <c r="M88" s="187">
        <f>IFERROR('Forcasting data '!M24,0)</f>
        <v>0</v>
      </c>
      <c r="N88" s="127"/>
      <c r="O88" s="127"/>
      <c r="P88" s="127"/>
      <c r="Q88" s="127"/>
      <c r="R88" s="127"/>
      <c r="S88" s="127"/>
    </row>
    <row r="89" spans="2:19" x14ac:dyDescent="0.35">
      <c r="B89" s="247" t="s">
        <v>117</v>
      </c>
      <c r="C89" s="247">
        <f>IFERROR('Forcasting data '!C25,0)</f>
        <v>-662</v>
      </c>
      <c r="D89" s="247">
        <f>IFERROR('Forcasting data '!D25,0)</f>
        <v>-4247</v>
      </c>
      <c r="E89" s="247">
        <f>IFERROR('Forcasting data '!E25,0)</f>
        <v>-6464</v>
      </c>
      <c r="F89" s="247">
        <f>IFERROR('Forcasting data '!F25,0)</f>
        <v>-7929</v>
      </c>
      <c r="G89" s="247">
        <f>IFERROR('Forcasting data '!G25,0)</f>
        <v>-8746</v>
      </c>
      <c r="H89" s="247">
        <f>IFERROR('Forcasting data '!H25,0)</f>
        <v>-3983</v>
      </c>
      <c r="I89" s="247">
        <f>IFERROR('Forcasting data '!I25,0)</f>
        <v>-7134</v>
      </c>
      <c r="J89" s="247">
        <f>IFERROR('Forcasting data '!J25,0)</f>
        <v>-9103</v>
      </c>
      <c r="K89" s="247">
        <f>IFERROR('Forcasting data '!K25,0)</f>
        <v>-6106</v>
      </c>
      <c r="L89" s="247">
        <f>IFERROR('Forcasting data '!L25,0)</f>
        <v>-6939</v>
      </c>
      <c r="M89" s="187">
        <f>IFERROR('Forcasting data '!M25,0)</f>
        <v>0</v>
      </c>
      <c r="N89" s="127"/>
      <c r="O89" s="127"/>
      <c r="P89" s="127"/>
      <c r="Q89" s="127"/>
      <c r="R89" s="127"/>
      <c r="S89" s="127"/>
    </row>
    <row r="90" spans="2:19" x14ac:dyDescent="0.35">
      <c r="B90" s="247" t="s">
        <v>118</v>
      </c>
      <c r="C90" s="247">
        <f>IFERROR('Forcasting data '!C26,0)</f>
        <v>158</v>
      </c>
      <c r="D90" s="247">
        <f>IFERROR('Forcasting data '!D26,0)</f>
        <v>3051</v>
      </c>
      <c r="E90" s="247">
        <f>IFERROR('Forcasting data '!E26,0)</f>
        <v>6124</v>
      </c>
      <c r="F90" s="247">
        <f>IFERROR('Forcasting data '!F26,0)</f>
        <v>9051</v>
      </c>
      <c r="G90" s="247">
        <f>IFERROR('Forcasting data '!G26,0)</f>
        <v>8176</v>
      </c>
      <c r="H90" s="247">
        <f>IFERROR('Forcasting data '!H26,0)</f>
        <v>5971</v>
      </c>
      <c r="I90" s="247">
        <f>IFERROR('Forcasting data '!I26,0)</f>
        <v>3500</v>
      </c>
      <c r="J90" s="247">
        <f>IFERROR('Forcasting data '!J26,0)</f>
        <v>5080</v>
      </c>
      <c r="K90" s="247">
        <f>IFERROR('Forcasting data '!K26,0)</f>
        <v>5968</v>
      </c>
      <c r="L90" s="247">
        <f>IFERROR('Forcasting data '!L26,0)</f>
        <v>6826</v>
      </c>
      <c r="M90" s="187">
        <f>IFERROR('Forcasting data '!M26,0)</f>
        <v>0</v>
      </c>
      <c r="N90" s="127"/>
      <c r="O90" s="127"/>
      <c r="P90" s="127"/>
      <c r="Q90" s="127"/>
      <c r="R90" s="127"/>
      <c r="S90" s="127"/>
    </row>
    <row r="91" spans="2:19" x14ac:dyDescent="0.35">
      <c r="B91" s="247" t="s">
        <v>119</v>
      </c>
      <c r="C91" s="247">
        <f>IFERROR('Forcasting data '!C27,0)</f>
        <v>4</v>
      </c>
      <c r="D91" s="247">
        <f>IFERROR('Forcasting data '!D27,0)</f>
        <v>3</v>
      </c>
      <c r="E91" s="247">
        <f>IFERROR('Forcasting data '!E27,0)</f>
        <v>12</v>
      </c>
      <c r="F91" s="247">
        <f>IFERROR('Forcasting data '!F27,0)</f>
        <v>90</v>
      </c>
      <c r="G91" s="247">
        <f>IFERROR('Forcasting data '!G27,0)</f>
        <v>204</v>
      </c>
      <c r="H91" s="247">
        <f>IFERROR('Forcasting data '!H27,0)</f>
        <v>192</v>
      </c>
      <c r="I91" s="247">
        <f>IFERROR('Forcasting data '!I27,0)</f>
        <v>398</v>
      </c>
      <c r="J91" s="247">
        <f>IFERROR('Forcasting data '!J27,0)</f>
        <v>204</v>
      </c>
      <c r="K91" s="247">
        <f>IFERROR('Forcasting data '!K27,0)</f>
        <v>112</v>
      </c>
      <c r="L91" s="247">
        <f>IFERROR('Forcasting data '!L27,0)</f>
        <v>188</v>
      </c>
      <c r="M91" s="187">
        <f>IFERROR('Forcasting data '!M27,0)</f>
        <v>0</v>
      </c>
      <c r="N91" s="127"/>
      <c r="O91" s="127"/>
      <c r="P91" s="127"/>
      <c r="Q91" s="127"/>
      <c r="R91" s="127"/>
      <c r="S91" s="127"/>
    </row>
    <row r="92" spans="2:19" x14ac:dyDescent="0.35">
      <c r="B92" s="247" t="s">
        <v>120</v>
      </c>
      <c r="C92" s="247">
        <f>IFERROR('Forcasting data '!C28,0)</f>
        <v>107</v>
      </c>
      <c r="D92" s="247">
        <f>IFERROR('Forcasting data '!D28,0)</f>
        <v>0</v>
      </c>
      <c r="E92" s="247">
        <f>IFERROR('Forcasting data '!E28,0)</f>
        <v>52</v>
      </c>
      <c r="F92" s="247">
        <f>IFERROR('Forcasting data '!F28,0)</f>
        <v>65</v>
      </c>
      <c r="G92" s="247">
        <f>IFERROR('Forcasting data '!G28,0)</f>
        <v>68</v>
      </c>
      <c r="H92" s="247">
        <f>IFERROR('Forcasting data '!H28,0)</f>
        <v>0</v>
      </c>
      <c r="I92" s="247">
        <f>IFERROR('Forcasting data '!I28,0)</f>
        <v>27</v>
      </c>
      <c r="J92" s="247">
        <f>IFERROR('Forcasting data '!J28,0)</f>
        <v>41</v>
      </c>
      <c r="K92" s="247">
        <f>IFERROR('Forcasting data '!K28,0)</f>
        <v>95</v>
      </c>
      <c r="L92" s="247">
        <f>IFERROR('Forcasting data '!L28,0)</f>
        <v>136</v>
      </c>
      <c r="M92" s="187">
        <f>IFERROR('Forcasting data '!M28,0)</f>
        <v>0</v>
      </c>
      <c r="N92" s="127"/>
      <c r="O92" s="127"/>
      <c r="P92" s="127"/>
      <c r="Q92" s="127"/>
      <c r="R92" s="127"/>
      <c r="S92" s="127"/>
    </row>
    <row r="93" spans="2:19" x14ac:dyDescent="0.35">
      <c r="B93" s="247" t="s">
        <v>121</v>
      </c>
      <c r="C93" s="247">
        <f>IFERROR('Forcasting data '!C29,0)</f>
        <v>-109</v>
      </c>
      <c r="D93" s="247">
        <f>IFERROR('Forcasting data '!D29,0)</f>
        <v>-39</v>
      </c>
      <c r="E93" s="247">
        <f>IFERROR('Forcasting data '!E29,0)</f>
        <v>-16</v>
      </c>
      <c r="F93" s="247">
        <f>IFERROR('Forcasting data '!F29,0)</f>
        <v>-30</v>
      </c>
      <c r="G93" s="247">
        <f>IFERROR('Forcasting data '!G29,0)</f>
        <v>-1</v>
      </c>
      <c r="H93" s="247">
        <f>IFERROR('Forcasting data '!H29,0)</f>
        <v>0</v>
      </c>
      <c r="I93" s="247">
        <f>IFERROR('Forcasting data '!I29,0)</f>
        <v>0</v>
      </c>
      <c r="J93" s="247">
        <f>IFERROR('Forcasting data '!J29,0)</f>
        <v>0</v>
      </c>
      <c r="K93" s="247">
        <f>IFERROR('Forcasting data '!K29,0)</f>
        <v>0</v>
      </c>
      <c r="L93" s="247">
        <f>IFERROR('Forcasting data '!L29,0)</f>
        <v>0</v>
      </c>
      <c r="M93" s="187">
        <f>IFERROR('Forcasting data '!M29,0)</f>
        <v>0</v>
      </c>
      <c r="N93" s="127"/>
      <c r="O93" s="127"/>
      <c r="P93" s="127"/>
      <c r="Q93" s="127"/>
      <c r="R93" s="127"/>
      <c r="S93" s="127"/>
    </row>
    <row r="94" spans="2:19" x14ac:dyDescent="0.35">
      <c r="B94" s="247" t="s">
        <v>122</v>
      </c>
      <c r="C94" s="247">
        <f>IFERROR('Forcasting data '!C30,0)</f>
        <v>9</v>
      </c>
      <c r="D94" s="247">
        <f>IFERROR('Forcasting data '!D30,0)</f>
        <v>36</v>
      </c>
      <c r="E94" s="247">
        <f>IFERROR('Forcasting data '!E30,0)</f>
        <v>-1106</v>
      </c>
      <c r="F94" s="247">
        <f>IFERROR('Forcasting data '!F30,0)</f>
        <v>-1117</v>
      </c>
      <c r="G94" s="247">
        <f>IFERROR('Forcasting data '!G30,0)</f>
        <v>-665</v>
      </c>
      <c r="H94" s="247">
        <f>IFERROR('Forcasting data '!H30,0)</f>
        <v>-3290</v>
      </c>
      <c r="I94" s="247">
        <f>IFERROR('Forcasting data '!I30,0)</f>
        <v>2864</v>
      </c>
      <c r="J94" s="247">
        <f>IFERROR('Forcasting data '!J30,0)</f>
        <v>2055</v>
      </c>
      <c r="K94" s="247">
        <f>IFERROR('Forcasting data '!K30,0)</f>
        <v>-2089</v>
      </c>
      <c r="L94" s="247">
        <f>IFERROR('Forcasting data '!L30,0)</f>
        <v>-1643</v>
      </c>
      <c r="M94" s="187">
        <f>IFERROR('Forcasting data '!M30,0)</f>
        <v>0</v>
      </c>
      <c r="N94" s="127"/>
      <c r="O94" s="127"/>
      <c r="P94" s="127"/>
      <c r="Q94" s="127"/>
      <c r="R94" s="127"/>
      <c r="S94" s="127"/>
    </row>
    <row r="95" spans="2:19" x14ac:dyDescent="0.35">
      <c r="B95" s="248" t="s">
        <v>126</v>
      </c>
      <c r="C95" s="248">
        <f>IFERROR(SUM(C87:C94),0)</f>
        <v>-1002</v>
      </c>
      <c r="D95" s="248">
        <f t="shared" ref="D95:M95" si="24">IFERROR(SUM(D87:D94),0)</f>
        <v>-1743</v>
      </c>
      <c r="E95" s="248">
        <f t="shared" si="24"/>
        <v>-2143</v>
      </c>
      <c r="F95" s="248">
        <f t="shared" si="24"/>
        <v>-660</v>
      </c>
      <c r="G95" s="248">
        <f t="shared" si="24"/>
        <v>-1509</v>
      </c>
      <c r="H95" s="248">
        <f t="shared" si="24"/>
        <v>-1625</v>
      </c>
      <c r="I95" s="248">
        <f t="shared" si="24"/>
        <v>-984</v>
      </c>
      <c r="J95" s="248">
        <f t="shared" si="24"/>
        <v>-2396</v>
      </c>
      <c r="K95" s="248">
        <f t="shared" si="24"/>
        <v>-2835</v>
      </c>
      <c r="L95" s="248">
        <f t="shared" si="24"/>
        <v>-2460</v>
      </c>
      <c r="M95" s="267">
        <f t="shared" si="24"/>
        <v>0</v>
      </c>
      <c r="N95" s="127"/>
      <c r="O95" s="127"/>
      <c r="P95" s="127"/>
      <c r="Q95" s="127"/>
      <c r="R95" s="127"/>
      <c r="S95" s="127"/>
    </row>
    <row r="96" spans="2:19" x14ac:dyDescent="0.35">
      <c r="B96" s="249"/>
      <c r="C96" s="249"/>
      <c r="D96" s="249"/>
      <c r="E96" s="249"/>
      <c r="F96" s="249"/>
      <c r="G96" s="249"/>
      <c r="H96" s="249"/>
      <c r="I96" s="249"/>
      <c r="J96" s="249"/>
      <c r="K96" s="249"/>
      <c r="L96" s="249"/>
      <c r="M96" s="187"/>
      <c r="N96" s="127"/>
      <c r="O96" s="127"/>
      <c r="P96" s="127"/>
      <c r="Q96" s="127"/>
      <c r="R96" s="127"/>
      <c r="S96" s="127"/>
    </row>
    <row r="97" spans="2:19" x14ac:dyDescent="0.35">
      <c r="B97" s="147" t="s">
        <v>128</v>
      </c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87"/>
      <c r="N97" s="127"/>
      <c r="O97" s="127"/>
      <c r="P97" s="127"/>
      <c r="Q97" s="127"/>
      <c r="R97" s="127"/>
      <c r="S97" s="127"/>
    </row>
    <row r="98" spans="2:19" x14ac:dyDescent="0.35">
      <c r="B98" s="247" t="s">
        <v>130</v>
      </c>
      <c r="C98" s="247">
        <f>IFERROR('Forcasting data '!C32,0)</f>
        <v>5</v>
      </c>
      <c r="D98" s="247">
        <f>IFERROR('Forcasting data '!D32,0)</f>
        <v>6</v>
      </c>
      <c r="E98" s="247">
        <f>IFERROR('Forcasting data '!E32,0)</f>
        <v>19</v>
      </c>
      <c r="F98" s="247">
        <f>IFERROR('Forcasting data '!F32,0)</f>
        <v>36</v>
      </c>
      <c r="G98" s="247">
        <f>IFERROR('Forcasting data '!G32,0)</f>
        <v>29</v>
      </c>
      <c r="H98" s="247">
        <f>IFERROR('Forcasting data '!H32,0)</f>
        <v>38</v>
      </c>
      <c r="I98" s="247">
        <f>IFERROR('Forcasting data '!I32,0)</f>
        <v>6</v>
      </c>
      <c r="J98" s="247">
        <f>IFERROR('Forcasting data '!J32,0)</f>
        <v>11</v>
      </c>
      <c r="K98" s="247">
        <f>IFERROR('Forcasting data '!K32,0)</f>
        <v>47</v>
      </c>
      <c r="L98" s="247">
        <f>IFERROR('Forcasting data '!L32,0)</f>
        <v>97</v>
      </c>
      <c r="M98" s="278">
        <f>IFERROR('Forcasting data '!M32,0)</f>
        <v>0</v>
      </c>
    </row>
    <row r="99" spans="2:19" x14ac:dyDescent="0.35">
      <c r="B99" s="247" t="s">
        <v>131</v>
      </c>
      <c r="C99" s="247">
        <f>IFERROR('Forcasting data '!C33,0)</f>
        <v>0</v>
      </c>
      <c r="D99" s="247">
        <f>IFERROR('Forcasting data '!D33,0)</f>
        <v>389</v>
      </c>
      <c r="E99" s="247">
        <f>IFERROR('Forcasting data '!E33,0)</f>
        <v>495</v>
      </c>
      <c r="F99" s="247">
        <f>IFERROR('Forcasting data '!F33,0)</f>
        <v>369</v>
      </c>
      <c r="G99" s="247">
        <f>IFERROR('Forcasting data '!G33,0)</f>
        <v>267</v>
      </c>
      <c r="H99" s="247">
        <f>IFERROR('Forcasting data '!H33,0)</f>
        <v>40</v>
      </c>
      <c r="I99" s="247">
        <f>IFERROR('Forcasting data '!I33,0)</f>
        <v>32</v>
      </c>
      <c r="J99" s="247">
        <f>IFERROR('Forcasting data '!J33,0)</f>
        <v>202</v>
      </c>
      <c r="K99" s="247">
        <f>IFERROR('Forcasting data '!K33,0)</f>
        <v>322</v>
      </c>
      <c r="L99" s="247">
        <f>IFERROR('Forcasting data '!L33,0)</f>
        <v>38</v>
      </c>
      <c r="M99" s="187">
        <f>IFERROR('Forcasting data '!M33,0)</f>
        <v>0</v>
      </c>
    </row>
    <row r="100" spans="2:19" x14ac:dyDescent="0.35">
      <c r="B100" s="247" t="s">
        <v>132</v>
      </c>
      <c r="C100" s="247">
        <f>IFERROR('Forcasting data '!C34,0)</f>
        <v>0</v>
      </c>
      <c r="D100" s="247">
        <f>IFERROR('Forcasting data '!D34,0)</f>
        <v>-345</v>
      </c>
      <c r="E100" s="247">
        <f>IFERROR('Forcasting data '!E34,0)</f>
        <v>-456</v>
      </c>
      <c r="F100" s="247">
        <f>IFERROR('Forcasting data '!F34,0)</f>
        <v>-344</v>
      </c>
      <c r="G100" s="247">
        <f>IFERROR('Forcasting data '!G34,0)</f>
        <v>-298</v>
      </c>
      <c r="H100" s="247">
        <f>IFERROR('Forcasting data '!H34,0)</f>
        <v>-27</v>
      </c>
      <c r="I100" s="247">
        <f>IFERROR('Forcasting data '!I34,0)</f>
        <v>-137</v>
      </c>
      <c r="J100" s="247">
        <f>IFERROR('Forcasting data '!J34,0)</f>
        <v>-20</v>
      </c>
      <c r="K100" s="247">
        <f>IFERROR('Forcasting data '!K34,0)</f>
        <v>-127</v>
      </c>
      <c r="L100" s="247">
        <f>IFERROR('Forcasting data '!L34,0)</f>
        <v>-43</v>
      </c>
      <c r="M100" s="187">
        <f>IFERROR('Forcasting data '!M34,0)</f>
        <v>0</v>
      </c>
    </row>
    <row r="101" spans="2:19" x14ac:dyDescent="0.35">
      <c r="B101" s="247" t="s">
        <v>133</v>
      </c>
      <c r="C101" s="247">
        <f>IFERROR('Forcasting data '!C35,0)</f>
        <v>-2</v>
      </c>
      <c r="D101" s="247">
        <f>IFERROR('Forcasting data '!D35,0)</f>
        <v>-2</v>
      </c>
      <c r="E101" s="247">
        <f>IFERROR('Forcasting data '!E35,0)</f>
        <v>-3</v>
      </c>
      <c r="F101" s="247">
        <f>IFERROR('Forcasting data '!F35,0)</f>
        <v>-5</v>
      </c>
      <c r="G101" s="247">
        <f>IFERROR('Forcasting data '!G35,0)</f>
        <v>-8</v>
      </c>
      <c r="H101" s="247">
        <f>IFERROR('Forcasting data '!H35,0)</f>
        <v>-16</v>
      </c>
      <c r="I101" s="247">
        <f>IFERROR('Forcasting data '!I35,0)</f>
        <v>-19</v>
      </c>
      <c r="J101" s="247">
        <f>IFERROR('Forcasting data '!J35,0)</f>
        <v>-18</v>
      </c>
      <c r="K101" s="247">
        <f>IFERROR('Forcasting data '!K35,0)</f>
        <v>-35</v>
      </c>
      <c r="L101" s="247">
        <f>IFERROR('Forcasting data '!L35,0)</f>
        <v>-37</v>
      </c>
      <c r="M101" s="187">
        <f>IFERROR('Forcasting data '!M35,0)</f>
        <v>0</v>
      </c>
    </row>
    <row r="102" spans="2:19" x14ac:dyDescent="0.35">
      <c r="B102" s="247" t="s">
        <v>134</v>
      </c>
      <c r="C102" s="247">
        <f>IFERROR('Forcasting data '!C36,0)</f>
        <v>-407</v>
      </c>
      <c r="D102" s="247">
        <f>IFERROR('Forcasting data '!D36,0)</f>
        <v>0</v>
      </c>
      <c r="E102" s="247">
        <f>IFERROR('Forcasting data '!E36,0)</f>
        <v>-272</v>
      </c>
      <c r="F102" s="247">
        <f>IFERROR('Forcasting data '!F36,0)</f>
        <v>-300</v>
      </c>
      <c r="G102" s="247">
        <f>IFERROR('Forcasting data '!G36,0)</f>
        <v>-682</v>
      </c>
      <c r="H102" s="247">
        <f>IFERROR('Forcasting data '!H36,0)</f>
        <v>0</v>
      </c>
      <c r="I102" s="247">
        <f>IFERROR('Forcasting data '!I36,0)</f>
        <v>-465</v>
      </c>
      <c r="J102" s="247">
        <f>IFERROR('Forcasting data '!J36,0)</f>
        <v>-574</v>
      </c>
      <c r="K102" s="247">
        <f>IFERROR('Forcasting data '!K36,0)</f>
        <v>-1013</v>
      </c>
      <c r="L102" s="247">
        <f>IFERROR('Forcasting data '!L36,0)</f>
        <v>-1397</v>
      </c>
      <c r="M102" s="187">
        <f>IFERROR('Forcasting data '!M36,0)</f>
        <v>0</v>
      </c>
    </row>
    <row r="103" spans="2:19" x14ac:dyDescent="0.35">
      <c r="B103" s="247" t="s">
        <v>135</v>
      </c>
      <c r="C103" s="247">
        <f>IFERROR('Forcasting data '!C37,0)</f>
        <v>0</v>
      </c>
      <c r="D103" s="247">
        <f>IFERROR('Forcasting data '!D37,0)</f>
        <v>0</v>
      </c>
      <c r="E103" s="247">
        <f>IFERROR('Forcasting data '!E37,0)</f>
        <v>0</v>
      </c>
      <c r="F103" s="247">
        <f>IFERROR('Forcasting data '!F37,0)</f>
        <v>0</v>
      </c>
      <c r="G103" s="247">
        <f>IFERROR('Forcasting data '!G37,0)</f>
        <v>-40</v>
      </c>
      <c r="H103" s="247">
        <f>IFERROR('Forcasting data '!H37,0)</f>
        <v>-39</v>
      </c>
      <c r="I103" s="247">
        <f>IFERROR('Forcasting data '!I37,0)</f>
        <v>-17</v>
      </c>
      <c r="J103" s="247">
        <f>IFERROR('Forcasting data '!J37,0)</f>
        <v>-19</v>
      </c>
      <c r="K103" s="247">
        <f>IFERROR('Forcasting data '!K37,0)</f>
        <v>-37</v>
      </c>
      <c r="L103" s="247">
        <f>IFERROR('Forcasting data '!L37,0)</f>
        <v>-56</v>
      </c>
      <c r="M103" s="187">
        <f>IFERROR('Forcasting data '!M37,0)</f>
        <v>0</v>
      </c>
    </row>
    <row r="104" spans="2:19" x14ac:dyDescent="0.35">
      <c r="B104" s="247" t="s">
        <v>136</v>
      </c>
      <c r="C104" s="247">
        <f>IFERROR('Forcasting data '!C38,0)</f>
        <v>-61</v>
      </c>
      <c r="D104" s="247">
        <f>IFERROR('Forcasting data '!D38,0)</f>
        <v>-23</v>
      </c>
      <c r="E104" s="247">
        <f>IFERROR('Forcasting data '!E38,0)</f>
        <v>-45</v>
      </c>
      <c r="F104" s="247">
        <f>IFERROR('Forcasting data '!F38,0)</f>
        <v>-48</v>
      </c>
      <c r="G104" s="247">
        <f>IFERROR('Forcasting data '!G38,0)</f>
        <v>-126</v>
      </c>
      <c r="H104" s="247">
        <f>IFERROR('Forcasting data '!H38,0)</f>
        <v>-11</v>
      </c>
      <c r="I104" s="247">
        <f>IFERROR('Forcasting data '!I38,0)</f>
        <v>5</v>
      </c>
      <c r="J104" s="247">
        <f>IFERROR('Forcasting data '!J38,0)</f>
        <v>0</v>
      </c>
      <c r="K104" s="247">
        <f>IFERROR('Forcasting data '!K38,0)</f>
        <v>0</v>
      </c>
      <c r="L104" s="247">
        <f>IFERROR('Forcasting data '!L38,0)</f>
        <v>0</v>
      </c>
      <c r="M104" s="187">
        <f>IFERROR('Forcasting data '!M38,0)</f>
        <v>0</v>
      </c>
    </row>
    <row r="105" spans="2:19" x14ac:dyDescent="0.35">
      <c r="B105" s="248" t="s">
        <v>137</v>
      </c>
      <c r="C105" s="248">
        <f>IFERROR(SUM(C98:C104),0)</f>
        <v>-465</v>
      </c>
      <c r="D105" s="248">
        <f t="shared" ref="D105:M105" si="25">IFERROR(SUM(D98:D104),0)</f>
        <v>25</v>
      </c>
      <c r="E105" s="248">
        <f t="shared" si="25"/>
        <v>-262</v>
      </c>
      <c r="F105" s="248">
        <f t="shared" si="25"/>
        <v>-292</v>
      </c>
      <c r="G105" s="248">
        <f t="shared" si="25"/>
        <v>-858</v>
      </c>
      <c r="H105" s="248">
        <f t="shared" si="25"/>
        <v>-15</v>
      </c>
      <c r="I105" s="248">
        <f t="shared" si="25"/>
        <v>-595</v>
      </c>
      <c r="J105" s="248">
        <f t="shared" si="25"/>
        <v>-418</v>
      </c>
      <c r="K105" s="248">
        <f t="shared" si="25"/>
        <v>-843</v>
      </c>
      <c r="L105" s="248">
        <f t="shared" si="25"/>
        <v>-1398</v>
      </c>
      <c r="M105" s="267">
        <f t="shared" si="25"/>
        <v>0</v>
      </c>
    </row>
    <row r="106" spans="2:19" x14ac:dyDescent="0.35">
      <c r="B106" s="324"/>
      <c r="C106" s="324"/>
      <c r="D106" s="324"/>
      <c r="E106" s="324"/>
      <c r="F106" s="324"/>
      <c r="G106" s="324"/>
      <c r="H106" s="324"/>
      <c r="I106" s="324"/>
      <c r="J106" s="324"/>
      <c r="K106" s="324"/>
      <c r="L106" s="324"/>
      <c r="M106" s="187"/>
    </row>
    <row r="107" spans="2:19" x14ac:dyDescent="0.35">
      <c r="B107" s="248" t="s">
        <v>30</v>
      </c>
      <c r="C107" s="248">
        <f>C105+C95+C84</f>
        <v>259</v>
      </c>
      <c r="D107" s="248">
        <f t="shared" ref="D107:M107" si="26">D105+D95+D84</f>
        <v>152</v>
      </c>
      <c r="E107" s="248">
        <f t="shared" si="26"/>
        <v>516</v>
      </c>
      <c r="F107" s="248">
        <f t="shared" si="26"/>
        <v>166</v>
      </c>
      <c r="G107" s="248">
        <f t="shared" si="26"/>
        <v>-587</v>
      </c>
      <c r="H107" s="248">
        <f t="shared" si="26"/>
        <v>285</v>
      </c>
      <c r="I107" s="248">
        <f t="shared" si="26"/>
        <v>-184</v>
      </c>
      <c r="J107" s="248">
        <f t="shared" si="26"/>
        <v>75</v>
      </c>
      <c r="K107" s="248">
        <f t="shared" si="26"/>
        <v>434</v>
      </c>
      <c r="L107" s="248">
        <f t="shared" si="26"/>
        <v>333</v>
      </c>
      <c r="M107" s="267">
        <f t="shared" si="26"/>
        <v>0</v>
      </c>
    </row>
    <row r="108" spans="2:19" x14ac:dyDescent="0.35">
      <c r="B108" s="160"/>
      <c r="C108" s="160"/>
      <c r="D108" s="160"/>
      <c r="E108" s="160"/>
      <c r="F108" s="160"/>
      <c r="G108" s="160"/>
      <c r="H108" s="160"/>
      <c r="I108" s="160"/>
      <c r="J108" s="160"/>
      <c r="K108" s="160"/>
      <c r="L108" s="160"/>
      <c r="M108" s="187"/>
    </row>
    <row r="109" spans="2:19" x14ac:dyDescent="0.35">
      <c r="F109" s="160"/>
      <c r="G109" s="160"/>
      <c r="H109" s="160"/>
      <c r="I109" s="160"/>
      <c r="J109" s="160"/>
    </row>
  </sheetData>
  <mergeCells count="2">
    <mergeCell ref="B9:L9"/>
    <mergeCell ref="D2:L7"/>
  </mergeCells>
  <pageMargins left="0.51181102362204722" right="0.31496062992125984" top="0.35433070866141736" bottom="0.35433070866141736" header="0.31496062992125984" footer="0.31496062992125984"/>
  <pageSetup paperSize="9" scale="50" orientation="portrait" r:id="rId1"/>
  <headerFooter>
    <oddHeader xml:space="preserve">&amp;R </oddHeader>
    <oddFooter>&amp;RBy Nikhil Kulkarni MBA</oddFooter>
  </headerFooter>
  <rowBreaks count="1" manualBreakCount="1">
    <brk id="107" max="11" man="1"/>
  </rowBreaks>
  <ignoredErrors>
    <ignoredError sqref="C21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6BA36-AA8E-4E21-8E7E-621BAE59B627}">
  <sheetPr>
    <tabColor rgb="FF002060"/>
  </sheetPr>
  <dimension ref="B1:Q109"/>
  <sheetViews>
    <sheetView showGridLines="0" tabSelected="1" view="pageBreakPreview" zoomScale="55" zoomScaleNormal="59" zoomScaleSheetLayoutView="55" workbookViewId="0">
      <selection activeCell="G72" sqref="G72"/>
    </sheetView>
  </sheetViews>
  <sheetFormatPr defaultRowHeight="14.5" x14ac:dyDescent="0.35"/>
  <cols>
    <col min="1" max="1" width="1.81640625" customWidth="1"/>
    <col min="2" max="2" width="18" customWidth="1"/>
    <col min="3" max="3" width="10.453125" bestFit="1" customWidth="1"/>
    <col min="4" max="5" width="12" bestFit="1" customWidth="1"/>
    <col min="6" max="10" width="12" style="123" bestFit="1" customWidth="1"/>
    <col min="11" max="12" width="12" bestFit="1" customWidth="1"/>
    <col min="13" max="13" width="18.54296875" customWidth="1"/>
    <col min="14" max="14" width="11.26953125" customWidth="1"/>
    <col min="15" max="15" width="11.08984375" customWidth="1"/>
  </cols>
  <sheetData>
    <row r="1" spans="2:17" x14ac:dyDescent="0.35">
      <c r="F1"/>
      <c r="G1"/>
      <c r="H1"/>
      <c r="I1"/>
      <c r="J1"/>
    </row>
    <row r="2" spans="2:17" x14ac:dyDescent="0.35">
      <c r="B2" s="217"/>
      <c r="C2" s="217"/>
      <c r="D2" s="218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</row>
    <row r="3" spans="2:17" x14ac:dyDescent="0.35">
      <c r="B3" s="217"/>
      <c r="C3" s="217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</row>
    <row r="4" spans="2:17" x14ac:dyDescent="0.35">
      <c r="B4" s="217"/>
      <c r="C4" s="217"/>
      <c r="D4" s="218"/>
      <c r="E4" s="218"/>
      <c r="F4" s="218"/>
      <c r="G4" s="218"/>
      <c r="H4" s="218"/>
      <c r="I4" s="218"/>
      <c r="J4" s="218"/>
      <c r="K4" s="218"/>
      <c r="L4" s="218"/>
      <c r="M4" s="218"/>
      <c r="N4" s="218"/>
      <c r="O4" s="218"/>
    </row>
    <row r="5" spans="2:17" x14ac:dyDescent="0.35">
      <c r="B5" s="217"/>
      <c r="C5" s="217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</row>
    <row r="6" spans="2:17" x14ac:dyDescent="0.35">
      <c r="B6" s="217"/>
      <c r="C6" s="217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123"/>
      <c r="Q6" s="123"/>
    </row>
    <row r="7" spans="2:17" x14ac:dyDescent="0.35">
      <c r="B7" s="217"/>
      <c r="C7" s="217"/>
      <c r="D7" s="218"/>
      <c r="E7" s="218"/>
      <c r="F7" s="218"/>
      <c r="G7" s="218"/>
      <c r="H7" s="218"/>
      <c r="I7" s="219"/>
      <c r="J7" s="219"/>
      <c r="K7" s="219"/>
      <c r="L7" s="219"/>
      <c r="M7" s="219"/>
      <c r="N7" s="219"/>
      <c r="O7" s="219"/>
      <c r="P7" s="123"/>
      <c r="Q7" s="123"/>
    </row>
    <row r="8" spans="2:17" ht="13.5" customHeight="1" x14ac:dyDescent="0.35">
      <c r="F8"/>
      <c r="G8"/>
      <c r="H8"/>
      <c r="K8" s="123"/>
      <c r="L8" s="123"/>
      <c r="M8" s="123"/>
      <c r="N8" s="123"/>
      <c r="O8" s="123"/>
      <c r="P8" s="123"/>
      <c r="Q8" s="123"/>
    </row>
    <row r="9" spans="2:17" ht="15.5" x14ac:dyDescent="0.35">
      <c r="B9" s="213" t="str">
        <f>"Ratio Annalysis - " &amp; 'Data Sheet'!B1</f>
        <v>Ratio Annalysis - EICHER MOTORS LTD</v>
      </c>
      <c r="C9" s="213"/>
      <c r="D9" s="213"/>
      <c r="E9" s="213"/>
      <c r="F9" s="213"/>
      <c r="G9" s="213"/>
      <c r="H9" s="213"/>
      <c r="I9" s="214"/>
      <c r="J9" s="214"/>
      <c r="K9" s="214"/>
      <c r="L9" s="214"/>
      <c r="M9" s="194"/>
      <c r="N9" s="190"/>
      <c r="O9" s="150"/>
      <c r="P9" s="123"/>
      <c r="Q9" s="123"/>
    </row>
    <row r="10" spans="2:17" ht="15.5" x14ac:dyDescent="0.35">
      <c r="B10" s="181" t="str">
        <f>'Historical IFS'!B10</f>
        <v>Years</v>
      </c>
      <c r="C10" s="146"/>
      <c r="D10" s="146">
        <f>'Historical IFS'!D10</f>
        <v>42825</v>
      </c>
      <c r="E10" s="146">
        <f>'Historical IFS'!E10</f>
        <v>43190</v>
      </c>
      <c r="F10" s="146">
        <f>'Historical IFS'!F10</f>
        <v>43555</v>
      </c>
      <c r="G10" s="146">
        <f>'Historical IFS'!G10</f>
        <v>43921</v>
      </c>
      <c r="H10" s="146">
        <f>'Historical IFS'!H10</f>
        <v>44286</v>
      </c>
      <c r="I10" s="146">
        <f>'Historical IFS'!I10</f>
        <v>44651</v>
      </c>
      <c r="J10" s="146">
        <f>'Historical IFS'!J10</f>
        <v>45016</v>
      </c>
      <c r="K10" s="146">
        <f>'Historical IFS'!K10</f>
        <v>45382</v>
      </c>
      <c r="L10" s="146">
        <f>'Historical IFS'!L10</f>
        <v>45747</v>
      </c>
      <c r="M10" s="369"/>
      <c r="N10" s="182" t="s">
        <v>403</v>
      </c>
      <c r="O10" s="186" t="s">
        <v>198</v>
      </c>
      <c r="P10" s="123"/>
      <c r="Q10" s="123"/>
    </row>
    <row r="11" spans="2:17" x14ac:dyDescent="0.35">
      <c r="B11" s="254"/>
      <c r="C11" s="320"/>
      <c r="D11" s="320"/>
      <c r="E11" s="320"/>
      <c r="F11" s="320"/>
      <c r="G11" s="320"/>
      <c r="H11" s="320"/>
      <c r="I11" s="320"/>
      <c r="J11" s="320"/>
      <c r="K11" s="320"/>
      <c r="L11" s="320"/>
      <c r="M11" s="276"/>
      <c r="N11" s="319"/>
      <c r="O11" s="394"/>
      <c r="P11" s="123"/>
      <c r="Q11" s="123"/>
    </row>
    <row r="12" spans="2:17" x14ac:dyDescent="0.35">
      <c r="B12" s="57" t="s">
        <v>17</v>
      </c>
      <c r="C12" s="56"/>
      <c r="D12" s="56">
        <f>IFERROR('Historical IFS'!D13,0)</f>
        <v>0.13928979858944568</v>
      </c>
      <c r="E12" s="56">
        <f>IFERROR('Historical IFS'!E13,0)</f>
        <v>0.27463402982358365</v>
      </c>
      <c r="F12" s="56">
        <f>IFERROR('Historical IFS'!F13,0)</f>
        <v>9.2816922774892507E-2</v>
      </c>
      <c r="G12" s="56">
        <f>IFERROR('Historical IFS'!G13,0)</f>
        <v>-6.568092876842635E-2</v>
      </c>
      <c r="H12" s="56">
        <f>IFERROR('Historical IFS'!H13,0)</f>
        <v>-4.732902318000165E-2</v>
      </c>
      <c r="I12" s="56">
        <f>IFERROR('Historical IFS'!I13,0)</f>
        <v>0.18089640897441028</v>
      </c>
      <c r="J12" s="56">
        <f>IFERROR('Historical IFS'!J13,0)</f>
        <v>0.40244886544058311</v>
      </c>
      <c r="K12" s="56">
        <f>IFERROR('Historical IFS'!K13,0)</f>
        <v>0.14496426439775711</v>
      </c>
      <c r="L12" s="56">
        <f>IFERROR('Historical IFS'!L13,0)</f>
        <v>0.14118293784750402</v>
      </c>
      <c r="M12" s="276"/>
      <c r="N12" s="75">
        <f>IFERROR(AVERAGE(D12:L12),0)</f>
        <v>0.14035814176663872</v>
      </c>
      <c r="O12" s="75">
        <f>IFERROR(MEDIAN(D12:L12),0)</f>
        <v>0.14118293784750402</v>
      </c>
      <c r="P12" s="123"/>
      <c r="Q12" s="123"/>
    </row>
    <row r="13" spans="2:17" x14ac:dyDescent="0.35">
      <c r="B13" s="57" t="s">
        <v>372</v>
      </c>
      <c r="C13" s="56"/>
      <c r="D13" s="56">
        <f>IFERROR('Historical IFS'!D24/'Historical IFS'!C24-1,0)</f>
        <v>0.32378600216258735</v>
      </c>
      <c r="E13" s="56">
        <f>IFERROR('Historical IFS'!E24/'Historical IFS'!D24-1,0)</f>
        <v>0.28777091938552912</v>
      </c>
      <c r="F13" s="56">
        <f>IFERROR('Historical IFS'!F24/'Historical IFS'!E24-1,0)</f>
        <v>-2.9076388588562763E-2</v>
      </c>
      <c r="G13" s="56">
        <f>IFERROR('Historical IFS'!G24/'Historical IFS'!F24-1,0)</f>
        <v>-0.15853278299085349</v>
      </c>
      <c r="H13" s="56">
        <f>IFERROR('Historical IFS'!H24/'Historical IFS'!G24-1,0)</f>
        <v>-0.30421529964975424</v>
      </c>
      <c r="I13" s="56">
        <f>IFERROR('Historical IFS'!I24/'Historical IFS'!H24-1,0)</f>
        <v>0.28633830587131381</v>
      </c>
      <c r="J13" s="56">
        <f>IFERROR('Historical IFS'!J24/'Historical IFS'!I24-1,0)</f>
        <v>0.66707902492878235</v>
      </c>
      <c r="K13" s="56">
        <f>IFERROR('Historical IFS'!K24/'Historical IFS'!J24-1,0)</f>
        <v>0.2216930231458063</v>
      </c>
      <c r="L13" s="56">
        <f>IFERROR('Historical IFS'!L24/'Historical IFS'!K24-1,0)</f>
        <v>0.10326352623453094</v>
      </c>
      <c r="M13" s="276"/>
      <c r="N13" s="75">
        <f t="shared" ref="N13:N49" si="0">IFERROR(AVERAGE(D13:L13),0)</f>
        <v>0.15534514783326439</v>
      </c>
      <c r="O13" s="75">
        <f t="shared" ref="O13:O49" si="1">IFERROR(MEDIAN(D13:L13),0)</f>
        <v>0.2216930231458063</v>
      </c>
      <c r="P13" s="123"/>
      <c r="Q13" s="123"/>
    </row>
    <row r="14" spans="2:17" x14ac:dyDescent="0.35">
      <c r="B14" s="59" t="s">
        <v>399</v>
      </c>
      <c r="C14" s="60"/>
      <c r="D14" s="60">
        <f>IFERROR('Historical IFS'!D33/'Historical IFS'!C33-1,0)</f>
        <v>0.34143144723793362</v>
      </c>
      <c r="E14" s="60">
        <f>IFERROR('Historical IFS'!E33/'Historical IFS'!D33-1,0)</f>
        <v>0.27476331844565882</v>
      </c>
      <c r="F14" s="60">
        <f>IFERROR('Historical IFS'!F33/'Historical IFS'!E33-1,0)</f>
        <v>-6.2706193619453621E-2</v>
      </c>
      <c r="G14" s="60">
        <f>IFERROR('Historical IFS'!G33/'Historical IFS'!F33-1,0)</f>
        <v>-0.21786537732209987</v>
      </c>
      <c r="H14" s="60">
        <f>IFERROR('Historical IFS'!H33/'Historical IFS'!G33-1,0)</f>
        <v>-0.40525756297572813</v>
      </c>
      <c r="I14" s="60">
        <f>IFERROR('Historical IFS'!I33/'Historical IFS'!H33-1,0)</f>
        <v>0.40368372803055297</v>
      </c>
      <c r="J14" s="60">
        <f>IFERROR('Historical IFS'!J33/'Historical IFS'!I33-1,0)</f>
        <v>0.8150157468943251</v>
      </c>
      <c r="K14" s="60">
        <f>IFERROR('Historical IFS'!K33/'Historical IFS'!J33-1,0)</f>
        <v>0.23181485838734561</v>
      </c>
      <c r="L14" s="60">
        <f>IFERROR('Historical IFS'!L33/'Historical IFS'!K33-1,0)</f>
        <v>8.3680449066063867E-2</v>
      </c>
      <c r="M14" s="276"/>
      <c r="N14" s="75">
        <f t="shared" si="0"/>
        <v>0.16272893490495538</v>
      </c>
      <c r="O14" s="75">
        <f t="shared" si="1"/>
        <v>0.23181485838734561</v>
      </c>
      <c r="P14" s="123"/>
      <c r="Q14" s="123"/>
    </row>
    <row r="15" spans="2:17" x14ac:dyDescent="0.35">
      <c r="B15" s="59" t="s">
        <v>373</v>
      </c>
      <c r="C15" s="60"/>
      <c r="D15" s="60">
        <f>IFERROR('Historical IFS'!D39/'Historical IFS'!C39-1,0)</f>
        <v>0.34413715526869826</v>
      </c>
      <c r="E15" s="60">
        <f>IFERROR('Historical IFS'!E39/'Historical IFS'!D39-1,0)</f>
        <v>0.26088870926251384</v>
      </c>
      <c r="F15" s="60">
        <f>IFERROR('Historical IFS'!F39/'Historical IFS'!E39-1,0)</f>
        <v>-0.18679202973011966</v>
      </c>
      <c r="G15" s="60">
        <f>IFERROR('Historical IFS'!G39/'Historical IFS'!F39-1,0)</f>
        <v>2.2657465435525159E-2</v>
      </c>
      <c r="H15" s="60">
        <f>IFERROR('Historical IFS'!H39/'Historical IFS'!G39-1,0)</f>
        <v>-0.50816740857840537</v>
      </c>
      <c r="I15" s="60">
        <f>IFERROR('Historical IFS'!I39/'Historical IFS'!H39-1,0)</f>
        <v>0.56744593333911508</v>
      </c>
      <c r="J15" s="60">
        <f>IFERROR('Historical IFS'!J39/'Historical IFS'!I39-1,0)</f>
        <v>0.88170564171746535</v>
      </c>
      <c r="K15" s="60">
        <f>IFERROR('Historical IFS'!K39/'Historical IFS'!J39-1,0)</f>
        <v>0.17518513390917789</v>
      </c>
      <c r="L15" s="60">
        <f>IFERROR('Historical IFS'!L39/'Historical IFS'!K39-1,0)</f>
        <v>0.12874815984128163</v>
      </c>
      <c r="M15" s="276"/>
      <c r="N15" s="75">
        <f t="shared" si="0"/>
        <v>0.18731208449613912</v>
      </c>
      <c r="O15" s="75">
        <f t="shared" si="1"/>
        <v>0.17518513390917789</v>
      </c>
      <c r="P15" s="123"/>
      <c r="Q15" s="123"/>
    </row>
    <row r="16" spans="2:17" x14ac:dyDescent="0.35">
      <c r="B16" s="59" t="s">
        <v>374</v>
      </c>
      <c r="C16" s="60"/>
      <c r="D16" s="60">
        <f>IFERROR('Historical IFS'!D47/'Historical IFS'!C47-1,0)</f>
        <v>0</v>
      </c>
      <c r="E16" s="60">
        <f>IFERROR('Historical IFS'!E47/'Historical IFS'!D47-1,0)</f>
        <v>0.10000000000000009</v>
      </c>
      <c r="F16" s="60">
        <f>IFERROR('Historical IFS'!F47/'Historical IFS'!E47-1,0)</f>
        <v>0.13636363636363646</v>
      </c>
      <c r="G16" s="60">
        <f>IFERROR('Historical IFS'!G47/'Historical IFS'!F47-1,0)</f>
        <v>-3.6616623947272053E-4</v>
      </c>
      <c r="H16" s="60">
        <f>IFERROR('Historical IFS'!H47/'Historical IFS'!G47-1,0)</f>
        <v>0.36049816849816851</v>
      </c>
      <c r="I16" s="60">
        <f>IFERROR('Historical IFS'!I47/'Historical IFS'!H47-1,0)</f>
        <v>0.23529411764705888</v>
      </c>
      <c r="J16" s="60">
        <f>IFERROR('Historical IFS'!J47/'Historical IFS'!I47-1,0)</f>
        <v>0.76190476190476186</v>
      </c>
      <c r="K16" s="60">
        <f>IFERROR('Historical IFS'!K47/'Historical IFS'!J47-1,0)</f>
        <v>0.37837837837837851</v>
      </c>
      <c r="L16" s="60">
        <f>IFERROR('Historical IFS'!L47/'Historical IFS'!K47-1,0)</f>
        <v>0.37254901960784292</v>
      </c>
      <c r="M16" s="276"/>
      <c r="N16" s="75">
        <f t="shared" si="0"/>
        <v>0.26051354624004158</v>
      </c>
      <c r="O16" s="75">
        <f t="shared" si="1"/>
        <v>0.23529411764705888</v>
      </c>
      <c r="P16" s="123"/>
      <c r="Q16" s="123"/>
    </row>
    <row r="17" spans="2:17" x14ac:dyDescent="0.35"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76"/>
      <c r="N17" s="75"/>
      <c r="O17" s="75"/>
      <c r="P17" s="123"/>
      <c r="Q17" s="123"/>
    </row>
    <row r="18" spans="2:17" x14ac:dyDescent="0.35">
      <c r="B18" s="57" t="s">
        <v>371</v>
      </c>
      <c r="C18" s="57"/>
      <c r="D18" s="367">
        <f>IFERROR('Historical IFS'!C19,0)</f>
        <v>0.341069675676201</v>
      </c>
      <c r="E18" s="367">
        <f>IFERROR('Historical IFS'!D19,0)</f>
        <v>0.37851752220844664</v>
      </c>
      <c r="F18" s="367">
        <f>IFERROR('Historical IFS'!E19,0)</f>
        <v>0.38472452749370878</v>
      </c>
      <c r="G18" s="367">
        <f>IFERROR('Historical IFS'!F19,0)</f>
        <v>0.3566917013879673</v>
      </c>
      <c r="H18" s="367">
        <f>IFERROR('Historical IFS'!G19,0)</f>
        <v>0.34126319975353914</v>
      </c>
      <c r="I18" s="367">
        <f>IFERROR('Historical IFS'!H19,0)</f>
        <v>0.25841164632153529</v>
      </c>
      <c r="J18" s="367">
        <f>IFERROR('Historical IFS'!I19,0)</f>
        <v>0.28951147960298435</v>
      </c>
      <c r="K18" s="367">
        <f>IFERROR('Historical IFS'!J19,0)</f>
        <v>0.32467605306124148</v>
      </c>
      <c r="L18" s="367">
        <f>IFERROR('Historical IFS'!K19,0)</f>
        <v>0.34094369905743771</v>
      </c>
      <c r="M18" s="276"/>
      <c r="N18" s="75">
        <f t="shared" si="0"/>
        <v>0.33508994495145128</v>
      </c>
      <c r="O18" s="75">
        <f t="shared" si="1"/>
        <v>0.341069675676201</v>
      </c>
      <c r="P18" s="123"/>
      <c r="Q18" s="123"/>
    </row>
    <row r="19" spans="2:17" x14ac:dyDescent="0.35">
      <c r="B19" s="59" t="s">
        <v>377</v>
      </c>
      <c r="C19" s="59"/>
      <c r="D19" s="111">
        <f>IFERROR('Historical IFS'!D25,0)</f>
        <v>0.30635428870411863</v>
      </c>
      <c r="E19" s="111">
        <f>IFERROR('Historical IFS'!E25,0)</f>
        <v>0.30951169888097657</v>
      </c>
      <c r="F19" s="111">
        <f>IFERROR('Historical IFS'!F25,0)</f>
        <v>0.27498861903468991</v>
      </c>
      <c r="G19" s="111">
        <f>IFERROR('Historical IFS'!G25,0)</f>
        <v>0.24766047819541648</v>
      </c>
      <c r="H19" s="111">
        <f>IFERROR('Historical IFS'!H25,0)</f>
        <v>0.180879207829961</v>
      </c>
      <c r="I19" s="111">
        <f>IFERROR('Historical IFS'!I25,0)</f>
        <v>0.19702985968888592</v>
      </c>
      <c r="J19" s="111">
        <f>IFERROR('Historical IFS'!J25,0)</f>
        <v>0.23420771656356593</v>
      </c>
      <c r="K19" s="111">
        <f>IFERROR('Historical IFS'!K25,0)</f>
        <v>0.24990293775074396</v>
      </c>
      <c r="L19" s="111">
        <f>IFERROR('Historical IFS'!L25,0)</f>
        <v>0.24159912243281115</v>
      </c>
      <c r="M19" s="276"/>
      <c r="N19" s="75">
        <f t="shared" si="0"/>
        <v>0.24912599212012998</v>
      </c>
      <c r="O19" s="75">
        <f t="shared" si="1"/>
        <v>0.24766047819541648</v>
      </c>
      <c r="P19" s="123"/>
      <c r="Q19" s="123"/>
    </row>
    <row r="20" spans="2:17" x14ac:dyDescent="0.35">
      <c r="B20" s="59" t="s">
        <v>375</v>
      </c>
      <c r="C20" s="59"/>
      <c r="D20" s="111">
        <f>IFERROR(('Historical IFS'!D24-'Historical IFS'!D30)/'Historical IFS'!D12,0)</f>
        <v>0.28448565123923703</v>
      </c>
      <c r="E20" s="111">
        <f>IFERROR(('Historical IFS'!E24-'Historical IFS'!E30)/'Historical IFS'!E12,0)</f>
        <v>0.28460361228605585</v>
      </c>
      <c r="F20" s="111">
        <f>IFERROR(('Historical IFS'!F24-'Historical IFS'!F30)/'Historical IFS'!F12,0)</f>
        <v>0.24433860770476035</v>
      </c>
      <c r="G20" s="111">
        <f>IFERROR(('Historical IFS'!G24-'Historical IFS'!G30)/'Historical IFS'!G12,0)</f>
        <v>0.20597842592734214</v>
      </c>
      <c r="H20" s="111">
        <f>IFERROR(('Historical IFS'!H24-'Historical IFS'!H30)/'Historical IFS'!H12,0)</f>
        <v>0.12919206224520807</v>
      </c>
      <c r="I20" s="111">
        <f>IFERROR(('Historical IFS'!I24-'Historical IFS'!I30)/'Historical IFS'!I12,0)</f>
        <v>0.15314391478593062</v>
      </c>
      <c r="J20" s="111">
        <f>IFERROR(('Historical IFS'!J24-'Historical IFS'!J30)/'Historical IFS'!J12,0)</f>
        <v>0.19777208150016137</v>
      </c>
      <c r="K20" s="111">
        <f>IFERROR(('Historical IFS'!K24-'Historical IFS'!K30)/'Historical IFS'!K12,0)</f>
        <v>0.21376312456987193</v>
      </c>
      <c r="L20" s="111">
        <f>IFERROR(('Historical IFS'!L24-'Historical IFS'!L30)/'Historical IFS'!L12,0)</f>
        <v>0.20294960082881336</v>
      </c>
      <c r="M20" s="276"/>
      <c r="N20" s="75">
        <f t="shared" si="0"/>
        <v>0.21291412012082009</v>
      </c>
      <c r="O20" s="75">
        <f t="shared" si="1"/>
        <v>0.20597842592734214</v>
      </c>
      <c r="P20" s="123"/>
      <c r="Q20" s="123"/>
    </row>
    <row r="21" spans="2:17" x14ac:dyDescent="0.35">
      <c r="B21" s="59" t="s">
        <v>376</v>
      </c>
      <c r="C21" s="59"/>
      <c r="D21" s="111">
        <f>IFERROR('Historical IFS'!D34,0)</f>
        <v>0.28397631078223162</v>
      </c>
      <c r="E21" s="111">
        <f>IFERROR('Historical IFS'!E34,0)</f>
        <v>0.28400511505472398</v>
      </c>
      <c r="F21" s="111">
        <f>IFERROR('Historical IFS'!F34,0)</f>
        <v>0.24358721920709178</v>
      </c>
      <c r="G21" s="111">
        <f>IFERROR('Historical IFS'!G34,0)</f>
        <v>0.20391106598366465</v>
      </c>
      <c r="H21" s="111">
        <f>IFERROR('Historical IFS'!H34,0)</f>
        <v>0.12729952656283761</v>
      </c>
      <c r="I21" s="111">
        <f>IFERROR('Historical IFS'!I34,0)</f>
        <v>0.15131579083844976</v>
      </c>
      <c r="J21" s="111">
        <f>IFERROR('Historical IFS'!J34,0)</f>
        <v>0.1958292739887349</v>
      </c>
      <c r="K21" s="111">
        <f>IFERROR('Historical IFS'!K34,0)</f>
        <v>0.21068378892455039</v>
      </c>
      <c r="L21" s="111">
        <f>IFERROR('Historical IFS'!L34,0)</f>
        <v>0.2000677502446204</v>
      </c>
      <c r="M21" s="276"/>
      <c r="N21" s="75">
        <f t="shared" si="0"/>
        <v>0.2111862046207672</v>
      </c>
      <c r="O21" s="75">
        <f t="shared" si="1"/>
        <v>0.20391106598366465</v>
      </c>
      <c r="P21" s="123"/>
      <c r="Q21" s="123"/>
    </row>
    <row r="22" spans="2:17" x14ac:dyDescent="0.35">
      <c r="B22" s="59" t="s">
        <v>378</v>
      </c>
      <c r="C22" s="59"/>
      <c r="D22" s="111">
        <f>IFERROR('Historical IFS'!D40,0)</f>
        <v>0.18156437679904294</v>
      </c>
      <c r="E22" s="111">
        <f>IFERROR('Historical IFS'!E40,0)</f>
        <v>0.1796064339674687</v>
      </c>
      <c r="F22" s="111">
        <f>IFERROR('Historical IFS'!F40,0)</f>
        <v>0.13365219788436844</v>
      </c>
      <c r="G22" s="111">
        <f>IFERROR('Historical IFS'!G40,0)</f>
        <v>0.14628880234473868</v>
      </c>
      <c r="H22" s="111">
        <f>IFERROR('Historical IFS'!H40,0)</f>
        <v>7.5524081769910725E-2</v>
      </c>
      <c r="I22" s="111">
        <f>IFERROR('Historical IFS'!I40,0)</f>
        <v>0.10024580813335558</v>
      </c>
      <c r="J22" s="111">
        <f>IFERROR('Historical IFS'!J40,0)</f>
        <v>0.13450265986261264</v>
      </c>
      <c r="K22" s="111">
        <f>IFERROR('Historical IFS'!K40,0)</f>
        <v>0.1380528032679923</v>
      </c>
      <c r="L22" s="111">
        <f>IFERROR('Historical IFS'!L40,0)</f>
        <v>0.13654852564094319</v>
      </c>
      <c r="M22" s="276"/>
      <c r="N22" s="75">
        <f t="shared" si="0"/>
        <v>0.13622063218560371</v>
      </c>
      <c r="O22" s="75">
        <f t="shared" si="1"/>
        <v>0.13654852564094319</v>
      </c>
      <c r="P22" s="123"/>
      <c r="Q22" s="123"/>
    </row>
    <row r="23" spans="2:17" x14ac:dyDescent="0.35"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76"/>
      <c r="N23" s="373"/>
      <c r="O23" s="373"/>
      <c r="P23" s="123"/>
      <c r="Q23" s="123"/>
    </row>
    <row r="24" spans="2:17" x14ac:dyDescent="0.35">
      <c r="B24" s="57" t="s">
        <v>379</v>
      </c>
      <c r="C24" s="57"/>
      <c r="D24" s="367">
        <f>IFERROR('Historical IFS'!D22,0)</f>
        <v>7.2163233504327948E-2</v>
      </c>
      <c r="E24" s="367">
        <f>IFERROR('Historical IFS'!E22,0)</f>
        <v>7.5212828612732235E-2</v>
      </c>
      <c r="F24" s="367">
        <f>IFERROR('Historical IFS'!F22,0)</f>
        <v>8.1703082353277418E-2</v>
      </c>
      <c r="G24" s="367">
        <f>IFERROR('Historical IFS'!G22,0)</f>
        <v>9.3602721558122604E-2</v>
      </c>
      <c r="H24" s="367">
        <f>IFERROR('Historical IFS'!H22,0)</f>
        <v>7.7532438491574304E-2</v>
      </c>
      <c r="I24" s="367">
        <f>IFERROR('Historical IFS'!I22,0)</f>
        <v>9.2481619914098409E-2</v>
      </c>
      <c r="J24" s="367">
        <f>IFERROR('Historical IFS'!J22,0)</f>
        <v>9.046833649767555E-2</v>
      </c>
      <c r="K24" s="367">
        <f>IFERROR('Historical IFS'!K22,0)</f>
        <v>9.1040761306693738E-2</v>
      </c>
      <c r="L24" s="367">
        <f>IFERROR('Historical IFS'!L22,0)</f>
        <v>0.10104052124099448</v>
      </c>
      <c r="M24" s="276"/>
      <c r="N24" s="368">
        <f t="shared" si="0"/>
        <v>8.613839371994407E-2</v>
      </c>
      <c r="O24" s="368">
        <f t="shared" si="1"/>
        <v>9.046833649767555E-2</v>
      </c>
      <c r="P24" s="123"/>
      <c r="Q24" s="123"/>
    </row>
    <row r="25" spans="2:17" x14ac:dyDescent="0.35">
      <c r="B25" s="59" t="s">
        <v>380</v>
      </c>
      <c r="C25" s="59"/>
      <c r="D25" s="111">
        <f>IFERROR('Historical IFS'!D31,0)</f>
        <v>2.186863746488165E-2</v>
      </c>
      <c r="E25" s="111">
        <f>IFERROR('Historical IFS'!E31,0)</f>
        <v>2.4908086594920671E-2</v>
      </c>
      <c r="F25" s="111">
        <f>IFERROR('Historical IFS'!F31,0)</f>
        <v>3.0650011329929588E-2</v>
      </c>
      <c r="G25" s="111">
        <f>IFERROR('Historical IFS'!G31,0)</f>
        <v>4.1682052268074352E-2</v>
      </c>
      <c r="H25" s="111">
        <f>IFERROR('Historical IFS'!H31,0)</f>
        <v>5.1687145584752903E-2</v>
      </c>
      <c r="I25" s="111">
        <f>IFERROR('Historical IFS'!I31,0)</f>
        <v>4.3885944902955283E-2</v>
      </c>
      <c r="J25" s="111">
        <f>IFERROR('Historical IFS'!J31,0)</f>
        <v>3.643563506340456E-2</v>
      </c>
      <c r="K25" s="111">
        <f>IFERROR('Historical IFS'!K31,0)</f>
        <v>3.6139813180872025E-2</v>
      </c>
      <c r="L25" s="111">
        <f>IFERROR('Historical IFS'!L31,0)</f>
        <v>3.8649521603997809E-2</v>
      </c>
      <c r="M25" s="276"/>
      <c r="N25" s="75">
        <f t="shared" si="0"/>
        <v>3.6211871999309871E-2</v>
      </c>
      <c r="O25" s="75">
        <f t="shared" si="1"/>
        <v>3.643563506340456E-2</v>
      </c>
      <c r="P25" s="123"/>
      <c r="Q25" s="123"/>
    </row>
    <row r="26" spans="2:17" x14ac:dyDescent="0.35">
      <c r="B26" s="59" t="s">
        <v>381</v>
      </c>
      <c r="C26" s="59"/>
      <c r="D26" s="111">
        <f>D20</f>
        <v>0.28448565123923703</v>
      </c>
      <c r="E26" s="111">
        <f t="shared" ref="E26:L26" si="2">E20</f>
        <v>0.28460361228605585</v>
      </c>
      <c r="F26" s="111">
        <f t="shared" si="2"/>
        <v>0.24433860770476035</v>
      </c>
      <c r="G26" s="111">
        <f t="shared" si="2"/>
        <v>0.20597842592734214</v>
      </c>
      <c r="H26" s="111">
        <f t="shared" si="2"/>
        <v>0.12919206224520807</v>
      </c>
      <c r="I26" s="111">
        <f t="shared" si="2"/>
        <v>0.15314391478593062</v>
      </c>
      <c r="J26" s="111">
        <f t="shared" si="2"/>
        <v>0.19777208150016137</v>
      </c>
      <c r="K26" s="111">
        <f t="shared" si="2"/>
        <v>0.21376312456987193</v>
      </c>
      <c r="L26" s="111">
        <f t="shared" si="2"/>
        <v>0.20294960082881336</v>
      </c>
      <c r="M26" s="276"/>
      <c r="N26" s="75">
        <f t="shared" si="0"/>
        <v>0.21291412012082009</v>
      </c>
      <c r="O26" s="75">
        <f t="shared" si="1"/>
        <v>0.20597842592734214</v>
      </c>
      <c r="P26" s="123"/>
      <c r="Q26" s="123"/>
    </row>
    <row r="27" spans="2:17" x14ac:dyDescent="0.35"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76"/>
      <c r="N27" s="75">
        <f t="shared" si="0"/>
        <v>0</v>
      </c>
      <c r="O27" s="75">
        <f t="shared" si="1"/>
        <v>0</v>
      </c>
      <c r="P27" s="123"/>
      <c r="Q27" s="123"/>
    </row>
    <row r="28" spans="2:17" x14ac:dyDescent="0.35">
      <c r="B28" s="57" t="s">
        <v>382</v>
      </c>
      <c r="C28" s="57"/>
      <c r="D28" s="367">
        <f>IFERROR(('Historical IFS'!D24-'Historical IFS'!D30)/SUM('Historical IFS'!D53:D54),0)</f>
        <v>0.37434308624583029</v>
      </c>
      <c r="E28" s="367">
        <f>IFERROR(('Historical IFS'!E24-'Historical IFS'!E30)/SUM('Historical IFS'!E53:E54),0)</f>
        <v>0.36293521970620474</v>
      </c>
      <c r="F28" s="367">
        <f>IFERROR(('Historical IFS'!F24-'Historical IFS'!F30)/SUM('Historical IFS'!F53:F54),0)</f>
        <v>0.26840174374798165</v>
      </c>
      <c r="G28" s="367">
        <f>IFERROR(('Historical IFS'!G24-'Historical IFS'!G30)/SUM('Historical IFS'!G53:G54),0)</f>
        <v>0.18890424038641698</v>
      </c>
      <c r="H28" s="367">
        <f>IFERROR(('Historical IFS'!H24-'Historical IFS'!H30)/SUM('Historical IFS'!H53:H54),0)</f>
        <v>9.8495551700984812E-2</v>
      </c>
      <c r="I28" s="367">
        <f>IFERROR(('Historical IFS'!I24-'Historical IFS'!I30)/SUM('Historical IFS'!I53:I54),0)</f>
        <v>0.1250832804568528</v>
      </c>
      <c r="J28" s="367">
        <f>IFERROR(('Historical IFS'!J24-'Historical IFS'!J30)/SUM('Historical IFS'!J53:J54),0)</f>
        <v>0.19054080377417904</v>
      </c>
      <c r="K28" s="367">
        <f>IFERROR(('Historical IFS'!K24-'Historical IFS'!K30)/SUM('Historical IFS'!K53:K54),0)</f>
        <v>0.19587897944809579</v>
      </c>
      <c r="L28" s="367">
        <f>IFERROR(('Historical IFS'!L24-'Historical IFS'!L30)/SUM('Historical IFS'!L53:L54),0)</f>
        <v>0.17982916433647039</v>
      </c>
      <c r="M28" s="276"/>
      <c r="N28" s="75">
        <f t="shared" si="0"/>
        <v>0.22049022997811296</v>
      </c>
      <c r="O28" s="75">
        <f t="shared" si="1"/>
        <v>0.19054080377417904</v>
      </c>
      <c r="P28" s="123"/>
      <c r="Q28" s="123"/>
    </row>
    <row r="29" spans="2:17" x14ac:dyDescent="0.35">
      <c r="B29" s="59" t="s">
        <v>383</v>
      </c>
      <c r="C29" s="59"/>
      <c r="D29" s="111">
        <f>IFERROR('Historical IFS'!D50,0)</f>
        <v>0.78692374686746436</v>
      </c>
      <c r="E29" s="111">
        <f>IFERROR('Historical IFS'!E50,0)</f>
        <v>0.81377058015108883</v>
      </c>
      <c r="F29" s="111">
        <f>IFERROR('Historical IFS'!F50,0)</f>
        <v>0.73957509995052306</v>
      </c>
      <c r="G29" s="111">
        <f>IFERROR('Historical IFS'!G50,0)</f>
        <v>0.74515824095161287</v>
      </c>
      <c r="H29" s="111">
        <f>IFERROR('Historical IFS'!H50,0)</f>
        <v>0.29454521565546754</v>
      </c>
      <c r="I29" s="111">
        <f>IFERROR('Historical IFS'!I50,0)</f>
        <v>0.44383216879205822</v>
      </c>
      <c r="J29" s="111">
        <f>IFERROR('Historical IFS'!J50,0)</f>
        <v>0.47905073648702645</v>
      </c>
      <c r="K29" s="111">
        <f>IFERROR('Historical IFS'!K50,0)</f>
        <v>0.38830672683759004</v>
      </c>
      <c r="L29" s="111">
        <f>IFERROR('Historical IFS'!L50,0)</f>
        <v>0.25509906428279849</v>
      </c>
      <c r="M29" s="276"/>
      <c r="N29" s="75">
        <f t="shared" si="0"/>
        <v>0.54958461999729225</v>
      </c>
      <c r="O29" s="75">
        <f t="shared" si="1"/>
        <v>0.47905073648702645</v>
      </c>
      <c r="P29" s="123"/>
      <c r="Q29" s="123"/>
    </row>
    <row r="30" spans="2:17" x14ac:dyDescent="0.35">
      <c r="B30" s="59" t="s">
        <v>401</v>
      </c>
      <c r="C30" s="59"/>
      <c r="D30" s="111">
        <f>IFERROR('Historical IFS'!D39/SUM('Historical IFS'!D53:D54),0)</f>
        <v>0.23891317142774868</v>
      </c>
      <c r="E30" s="111">
        <f>IFERROR('Historical IFS'!E39/SUM('Historical IFS'!E53:E54),0)</f>
        <v>0.2290396107380151</v>
      </c>
      <c r="F30" s="111">
        <f>IFERROR('Historical IFS'!F39/SUM('Historical IFS'!F53:F54),0)</f>
        <v>0.14681463279540452</v>
      </c>
      <c r="G30" s="111">
        <f>IFERROR('Historical IFS'!G39/SUM('Historical IFS'!G53:G54),0)</f>
        <v>0.1341624733733984</v>
      </c>
      <c r="H30" s="111">
        <f>IFERROR('Historical IFS'!H39/SUM('Historical IFS'!H53:H54),0)</f>
        <v>5.7579281353360087E-2</v>
      </c>
      <c r="I30" s="111">
        <f>IFERROR('Historical IFS'!I39/SUM('Historical IFS'!I53:I54),0)</f>
        <v>8.1877719731116211E-2</v>
      </c>
      <c r="J30" s="111">
        <f>IFERROR('Historical IFS'!J39/SUM('Historical IFS'!J53:J54),0)</f>
        <v>0.12958474586296101</v>
      </c>
      <c r="K30" s="111">
        <f>IFERROR('Historical IFS'!K39/SUM('Historical IFS'!K53:K54),0)</f>
        <v>0.1265028393858646</v>
      </c>
      <c r="L30" s="111">
        <f>IFERROR('Historical IFS'!L39/SUM('Historical IFS'!L53:L54),0)</f>
        <v>0.12099263638414463</v>
      </c>
      <c r="M30" s="276"/>
      <c r="N30" s="75">
        <f t="shared" si="0"/>
        <v>0.14060745678355704</v>
      </c>
      <c r="O30" s="75">
        <f t="shared" si="1"/>
        <v>0.12958474586296101</v>
      </c>
      <c r="P30" s="123"/>
      <c r="Q30" s="123"/>
    </row>
    <row r="31" spans="2:17" x14ac:dyDescent="0.35">
      <c r="B31" s="59" t="s">
        <v>384</v>
      </c>
      <c r="C31" s="59"/>
      <c r="D31" s="111">
        <f>IFERROR(D29*D30,0)</f>
        <v>0.18800644803591282</v>
      </c>
      <c r="E31" s="111">
        <f t="shared" ref="E31:L31" si="3">IFERROR(E29*E30,0)</f>
        <v>0.18638569690785411</v>
      </c>
      <c r="F31" s="111">
        <f t="shared" si="3"/>
        <v>0.10858044672386064</v>
      </c>
      <c r="G31" s="111">
        <f t="shared" si="3"/>
        <v>9.9972272660639155E-2</v>
      </c>
      <c r="H31" s="111">
        <f t="shared" si="3"/>
        <v>1.6959701843512288E-2</v>
      </c>
      <c r="I31" s="111">
        <f t="shared" si="3"/>
        <v>3.6339965924009607E-2</v>
      </c>
      <c r="J31" s="111">
        <f t="shared" si="3"/>
        <v>6.2077667943135628E-2</v>
      </c>
      <c r="K31" s="111">
        <f t="shared" si="3"/>
        <v>4.9121903497586453E-2</v>
      </c>
      <c r="L31" s="111">
        <f t="shared" si="3"/>
        <v>3.0865108326704176E-2</v>
      </c>
      <c r="M31" s="276"/>
      <c r="N31" s="75">
        <f t="shared" si="0"/>
        <v>8.6478801318134985E-2</v>
      </c>
      <c r="O31" s="75">
        <f t="shared" si="1"/>
        <v>6.2077667943135628E-2</v>
      </c>
      <c r="P31" s="123"/>
      <c r="Q31" s="123"/>
    </row>
    <row r="32" spans="2:17" x14ac:dyDescent="0.35">
      <c r="B32" s="59" t="s">
        <v>385</v>
      </c>
      <c r="C32" s="59"/>
      <c r="D32" s="72">
        <f>IFERROR(('Historical IFS'!D24-'Historical IFS'!D30)/'Historical IFS'!D27,0)</f>
        <v>562.04775280898878</v>
      </c>
      <c r="E32" s="72">
        <f>IFERROR(('Historical IFS'!E24-'Historical IFS'!E30)/'Historical IFS'!E27,0)</f>
        <v>477.80149812734066</v>
      </c>
      <c r="F32" s="72">
        <f>IFERROR(('Historical IFS'!F24-'Historical IFS'!F30)/'Historical IFS'!F27,0)</f>
        <v>326.57571623465202</v>
      </c>
      <c r="G32" s="72">
        <f>IFERROR(('Historical IFS'!G24-'Historical IFS'!G30)/'Historical IFS'!G27,0)</f>
        <v>99.864406779661053</v>
      </c>
      <c r="H32" s="72">
        <f>IFERROR(('Historical IFS'!H24-'Historical IFS'!H30)/'Historical IFS'!H27,0)</f>
        <v>68.486322188449876</v>
      </c>
      <c r="I32" s="72">
        <f>IFERROR(('Historical IFS'!I24-'Historical IFS'!I30)/'Historical IFS'!I27,0)</f>
        <v>83.974973375931839</v>
      </c>
      <c r="J32" s="72">
        <f>IFERROR(('Historical IFS'!J24-'Historical IFS'!J30)/'Historical IFS'!J27,0)</f>
        <v>101.93647394718062</v>
      </c>
      <c r="K32" s="72">
        <f>IFERROR(('Historical IFS'!K24-'Historical IFS'!K30)/'Historical IFS'!K27,0)</f>
        <v>69.472091194968485</v>
      </c>
      <c r="L32" s="72">
        <f>IFERROR(('Historical IFS'!L24-'Historical IFS'!L30)/'Historical IFS'!L27,0)</f>
        <v>70.477180714022779</v>
      </c>
      <c r="M32" s="276"/>
      <c r="N32" s="167">
        <f t="shared" si="0"/>
        <v>206.73737948568845</v>
      </c>
      <c r="O32" s="167">
        <f t="shared" si="1"/>
        <v>99.864406779661053</v>
      </c>
      <c r="P32" s="123"/>
      <c r="Q32" s="123"/>
    </row>
    <row r="33" spans="2:17" x14ac:dyDescent="0.35">
      <c r="B33" s="254"/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76"/>
      <c r="N33" s="373"/>
      <c r="O33" s="373"/>
      <c r="P33" s="123"/>
      <c r="Q33" s="123"/>
    </row>
    <row r="34" spans="2:17" x14ac:dyDescent="0.35">
      <c r="B34" s="57" t="s">
        <v>386</v>
      </c>
      <c r="C34" s="57"/>
      <c r="D34" s="374">
        <f>IFERROR('Historical IFS'!D12/'Historical IFS'!D77,0)</f>
        <v>-413.72705882352938</v>
      </c>
      <c r="E34" s="374">
        <f>IFERROR('Historical IFS'!E12/'Historical IFS'!E77,0)</f>
        <v>-498.05333333333328</v>
      </c>
      <c r="F34" s="374">
        <f>IFERROR('Historical IFS'!F12/'Historical IFS'!F77,0)</f>
        <v>-544.28111111111104</v>
      </c>
      <c r="G34" s="374">
        <f>IFERROR('Historical IFS'!G12/'Historical IFS'!G77,0)</f>
        <v>0</v>
      </c>
      <c r="H34" s="374">
        <f>IFERROR('Historical IFS'!H12/'Historical IFS'!H77,0)</f>
        <v>-119.4568493150685</v>
      </c>
      <c r="I34" s="374">
        <f>IFERROR('Historical IFS'!I12/'Historical IFS'!I77,0)</f>
        <v>-70.053265306122455</v>
      </c>
      <c r="J34" s="374">
        <f>IFERROR('Historical IFS'!J12/'Historical IFS'!J77,0)</f>
        <v>-244.78271186440679</v>
      </c>
      <c r="K34" s="374">
        <f>IFERROR('Historical IFS'!K12/'Historical IFS'!K77,0)</f>
        <v>-3307.1559999999999</v>
      </c>
      <c r="L34" s="374">
        <f>IFERROR('Historical IFS'!L12/'Historical IFS'!L77,0)</f>
        <v>-107.21789772727271</v>
      </c>
      <c r="M34" s="276"/>
      <c r="N34" s="375">
        <f t="shared" si="0"/>
        <v>-589.41424749787154</v>
      </c>
      <c r="O34" s="375">
        <f t="shared" si="1"/>
        <v>-244.78271186440679</v>
      </c>
      <c r="P34" s="123"/>
      <c r="Q34" s="123"/>
    </row>
    <row r="35" spans="2:17" x14ac:dyDescent="0.35">
      <c r="B35" s="57" t="s">
        <v>387</v>
      </c>
      <c r="C35" s="57"/>
      <c r="D35" s="374">
        <f>'Historical IFS'!D12/'Historical IFS'!D56</f>
        <v>4.5313369755695287</v>
      </c>
      <c r="E35" s="374">
        <f>'Historical IFS'!E12/'Historical IFS'!E56</f>
        <v>3.8290195274460554</v>
      </c>
      <c r="F35" s="374">
        <f>'Historical IFS'!F12/'Historical IFS'!F56</f>
        <v>4.2944133955771804</v>
      </c>
      <c r="G35" s="374">
        <f>'Historical IFS'!G12/'Historical IFS'!G56</f>
        <v>4.123624306803797</v>
      </c>
      <c r="H35" s="374">
        <f>'Historical IFS'!H12/'Historical IFS'!H56</f>
        <v>3.0056905917388188</v>
      </c>
      <c r="I35" s="374">
        <f>'Historical IFS'!I12/'Historical IFS'!I56</f>
        <v>3.0074384075324465</v>
      </c>
      <c r="J35" s="374">
        <f>'Historical IFS'!J12/'Historical IFS'!J56</f>
        <v>3.6852167034537313</v>
      </c>
      <c r="K35" s="374">
        <f>'Historical IFS'!K12/'Historical IFS'!K56</f>
        <v>3.5559593648390591</v>
      </c>
      <c r="L35" s="374">
        <f>'Historical IFS'!L12/'Historical IFS'!L56</f>
        <v>3.4817492928692806</v>
      </c>
      <c r="M35" s="276"/>
      <c r="N35" s="375">
        <f t="shared" si="0"/>
        <v>3.7238276184255437</v>
      </c>
      <c r="O35" s="375">
        <f t="shared" si="1"/>
        <v>3.6852167034537313</v>
      </c>
      <c r="P35" s="123"/>
      <c r="Q35" s="123"/>
    </row>
    <row r="36" spans="2:17" x14ac:dyDescent="0.35">
      <c r="B36" s="59" t="s">
        <v>388</v>
      </c>
      <c r="C36" s="59"/>
      <c r="D36" s="72">
        <f>'Historical IFS'!D12/'Historical IFS'!D66</f>
        <v>20.938850848466807</v>
      </c>
      <c r="E36" s="72">
        <f>'Historical IFS'!E12/'Historical IFS'!E66</f>
        <v>22.716805189539834</v>
      </c>
      <c r="F36" s="72">
        <f>'Historical IFS'!F12/'Historical IFS'!F66</f>
        <v>15.467902365088888</v>
      </c>
      <c r="G36" s="72">
        <f>'Historical IFS'!G12/'Historical IFS'!G66</f>
        <v>15.992976325674849</v>
      </c>
      <c r="H36" s="72">
        <f>'Historical IFS'!H12/'Historical IFS'!H66</f>
        <v>9.9706723073404984</v>
      </c>
      <c r="I36" s="72">
        <f>'Historical IFS'!I12/'Historical IFS'!I66</f>
        <v>9.093809607912398</v>
      </c>
      <c r="J36" s="72">
        <f>'Historical IFS'!J12/'Historical IFS'!J66</f>
        <v>11.296721003723288</v>
      </c>
      <c r="K36" s="72">
        <f>'Historical IFS'!K12/'Historical IFS'!K66</f>
        <v>11.730498567010015</v>
      </c>
      <c r="L36" s="72">
        <f>'Historical IFS'!L12/'Historical IFS'!L66</f>
        <v>12.067370103916865</v>
      </c>
      <c r="M36" s="276"/>
      <c r="N36" s="167">
        <f t="shared" si="0"/>
        <v>14.363956257630381</v>
      </c>
      <c r="O36" s="167">
        <f t="shared" si="1"/>
        <v>12.067370103916865</v>
      </c>
      <c r="P36" s="123"/>
      <c r="Q36" s="123"/>
    </row>
    <row r="37" spans="2:17" x14ac:dyDescent="0.35">
      <c r="B37" s="59" t="s">
        <v>389</v>
      </c>
      <c r="C37" s="59"/>
      <c r="D37" s="72">
        <f>'Historical IFS'!D12/'Historical IFS'!D59</f>
        <v>8.0585714613075456</v>
      </c>
      <c r="E37" s="72">
        <f>'Historical IFS'!E12/'Historical IFS'!E59</f>
        <v>5.969913897009369</v>
      </c>
      <c r="F37" s="72">
        <f>'Historical IFS'!F12/'Historical IFS'!F59</f>
        <v>5.2262693510012905</v>
      </c>
      <c r="G37" s="72">
        <f>'Historical IFS'!G12/'Historical IFS'!G59</f>
        <v>3.8500538376123017</v>
      </c>
      <c r="H37" s="72">
        <f>'Historical IFS'!H12/'Historical IFS'!H59</f>
        <v>3.583754571980438</v>
      </c>
      <c r="I37" s="72">
        <f>'Historical IFS'!I12/'Historical IFS'!I59</f>
        <v>4.2477890342699682</v>
      </c>
      <c r="J37" s="72">
        <f>'Historical IFS'!J12/'Historical IFS'!J59</f>
        <v>5.3688601072866451</v>
      </c>
      <c r="K37" s="72">
        <f>'Historical IFS'!K12/'Historical IFS'!K59</f>
        <v>5.6738585908495107</v>
      </c>
      <c r="L37" s="72">
        <f>'Historical IFS'!L12/'Historical IFS'!L59</f>
        <v>5.4327085018727672</v>
      </c>
      <c r="M37" s="276"/>
      <c r="N37" s="167">
        <f t="shared" si="0"/>
        <v>5.2679754836877599</v>
      </c>
      <c r="O37" s="203">
        <f t="shared" si="1"/>
        <v>5.3688601072866451</v>
      </c>
      <c r="P37" s="123"/>
      <c r="Q37" s="123"/>
    </row>
    <row r="38" spans="2:17" x14ac:dyDescent="0.35">
      <c r="B38" s="59" t="s">
        <v>390</v>
      </c>
      <c r="C38" s="59"/>
      <c r="D38" s="72">
        <f>IFERROR('Historical IFS'!D12/SUM('Historical IFS'!D53:D54),0)</f>
        <v>1.3158592871562018</v>
      </c>
      <c r="E38" s="72">
        <f>IFERROR('Historical IFS'!E12/SUM('Historical IFS'!E53:E54),0)</f>
        <v>1.2752305453573005</v>
      </c>
      <c r="F38" s="72">
        <f>IFERROR('Historical IFS'!F12/SUM('Historical IFS'!F53:F54),0)</f>
        <v>1.0984827419181227</v>
      </c>
      <c r="G38" s="72">
        <f>IFERROR('Historical IFS'!G12/SUM('Historical IFS'!G53:G54),0)</f>
        <v>0.91710692290197415</v>
      </c>
      <c r="H38" s="72">
        <f>IFERROR('Historical IFS'!H12/SUM('Historical IFS'!H53:H54),0)</f>
        <v>0.76239631126902419</v>
      </c>
      <c r="I38" s="72">
        <f>IFERROR('Historical IFS'!I12/SUM('Historical IFS'!I53:I54),0)</f>
        <v>0.81676951142131982</v>
      </c>
      <c r="J38" s="72">
        <f>IFERROR('Historical IFS'!J12/SUM('Historical IFS'!J53:J54),0)</f>
        <v>0.96343630672675895</v>
      </c>
      <c r="K38" s="72">
        <f>IFERROR('Historical IFS'!K12/SUM('Historical IFS'!K53:K54),0)</f>
        <v>0.91633662186702169</v>
      </c>
      <c r="L38" s="72">
        <f>IFERROR('Historical IFS'!L12/SUM('Historical IFS'!L53:L54),0)</f>
        <v>0.88607794054325384</v>
      </c>
      <c r="M38" s="276"/>
      <c r="N38" s="370">
        <f t="shared" si="0"/>
        <v>0.99463290990677544</v>
      </c>
      <c r="O38" s="371">
        <f t="shared" si="1"/>
        <v>0.91710692290197415</v>
      </c>
      <c r="P38" s="123"/>
      <c r="Q38" s="123"/>
    </row>
    <row r="39" spans="2:17" x14ac:dyDescent="0.35">
      <c r="B39" s="254"/>
      <c r="C39" s="254"/>
      <c r="D39" s="365"/>
      <c r="E39" s="365"/>
      <c r="F39" s="365"/>
      <c r="G39" s="365"/>
      <c r="H39" s="365"/>
      <c r="I39" s="365"/>
      <c r="J39" s="365"/>
      <c r="K39" s="365"/>
      <c r="L39" s="365"/>
      <c r="M39" s="276"/>
      <c r="N39" s="41"/>
      <c r="O39" s="41"/>
      <c r="P39" s="123"/>
      <c r="Q39" s="123"/>
    </row>
    <row r="40" spans="2:17" x14ac:dyDescent="0.35">
      <c r="B40" s="276"/>
      <c r="C40" s="276"/>
      <c r="D40" s="366"/>
      <c r="E40" s="366"/>
      <c r="F40" s="366"/>
      <c r="G40" s="366"/>
      <c r="H40" s="366"/>
      <c r="I40" s="366"/>
      <c r="J40" s="366"/>
      <c r="K40" s="366"/>
      <c r="L40" s="366"/>
      <c r="M40" s="276"/>
      <c r="N40" s="41"/>
      <c r="O40" s="41"/>
      <c r="P40" s="123"/>
      <c r="Q40" s="123"/>
    </row>
    <row r="41" spans="2:17" x14ac:dyDescent="0.35">
      <c r="B41" s="57" t="s">
        <v>402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276"/>
      <c r="N41" s="368"/>
      <c r="O41" s="368"/>
      <c r="P41" s="123"/>
      <c r="Q41" s="123"/>
    </row>
    <row r="42" spans="2:17" x14ac:dyDescent="0.35">
      <c r="B42" s="59" t="s">
        <v>391</v>
      </c>
      <c r="C42" s="59"/>
      <c r="D42" s="85">
        <f>IFERROR(365/D34,0)</f>
        <v>-0.88222414322599729</v>
      </c>
      <c r="E42" s="85">
        <f t="shared" ref="E42:L42" si="4">IFERROR(365/E34,0)</f>
        <v>-0.73285324195534618</v>
      </c>
      <c r="F42" s="85">
        <f t="shared" si="4"/>
        <v>-0.67060934606912692</v>
      </c>
      <c r="G42" s="85">
        <f t="shared" si="4"/>
        <v>0</v>
      </c>
      <c r="H42" s="85">
        <f t="shared" si="4"/>
        <v>-3.0554966257088303</v>
      </c>
      <c r="I42" s="85">
        <f t="shared" si="4"/>
        <v>-5.2103210093777035</v>
      </c>
      <c r="J42" s="85">
        <f t="shared" si="4"/>
        <v>-1.4911183768655423</v>
      </c>
      <c r="K42" s="85">
        <f t="shared" si="4"/>
        <v>-0.11036673201989868</v>
      </c>
      <c r="L42" s="85">
        <f t="shared" si="4"/>
        <v>-3.4042823795001156</v>
      </c>
      <c r="M42" s="276"/>
      <c r="N42" s="75">
        <f t="shared" si="0"/>
        <v>-1.7285857616358398</v>
      </c>
      <c r="O42" s="75">
        <f t="shared" si="1"/>
        <v>-0.88222414322599729</v>
      </c>
      <c r="P42" s="123"/>
      <c r="Q42" s="123"/>
    </row>
    <row r="43" spans="2:17" x14ac:dyDescent="0.35">
      <c r="B43" s="59" t="s">
        <v>392</v>
      </c>
      <c r="C43" s="59"/>
      <c r="D43" s="85">
        <f>IFERROR(365/D35,0)</f>
        <v>80.550178008803755</v>
      </c>
      <c r="E43" s="85">
        <f t="shared" ref="E43:L43" si="5">IFERROR(365/E35,0)</f>
        <v>95.324664025271744</v>
      </c>
      <c r="F43" s="85">
        <f t="shared" si="5"/>
        <v>84.994146203044579</v>
      </c>
      <c r="G43" s="85">
        <f t="shared" si="5"/>
        <v>88.514368148855411</v>
      </c>
      <c r="H43" s="85">
        <f t="shared" si="5"/>
        <v>121.43631849639063</v>
      </c>
      <c r="I43" s="85">
        <f t="shared" si="5"/>
        <v>121.36574404510463</v>
      </c>
      <c r="J43" s="85">
        <f t="shared" si="5"/>
        <v>99.044379034190129</v>
      </c>
      <c r="K43" s="85">
        <f t="shared" si="5"/>
        <v>102.64459251393041</v>
      </c>
      <c r="L43" s="85">
        <f t="shared" si="5"/>
        <v>104.83236134994847</v>
      </c>
      <c r="M43" s="276"/>
      <c r="N43" s="75">
        <f t="shared" si="0"/>
        <v>99.856305758393304</v>
      </c>
      <c r="O43" s="75">
        <f t="shared" si="1"/>
        <v>99.044379034190129</v>
      </c>
      <c r="P43" s="123"/>
      <c r="Q43" s="123"/>
    </row>
    <row r="44" spans="2:17" x14ac:dyDescent="0.35">
      <c r="B44" s="59" t="s">
        <v>393</v>
      </c>
      <c r="C44" s="59"/>
      <c r="D44" s="85">
        <f>IFERROR(365/D36,0)</f>
        <v>17.431711159388968</v>
      </c>
      <c r="E44" s="85">
        <f t="shared" ref="E44:L44" si="6">IFERROR(365/E36,0)</f>
        <v>16.06740018918099</v>
      </c>
      <c r="F44" s="85">
        <f t="shared" si="6"/>
        <v>23.59725264518131</v>
      </c>
      <c r="G44" s="85">
        <f t="shared" si="6"/>
        <v>22.822518621129657</v>
      </c>
      <c r="H44" s="85">
        <f t="shared" si="6"/>
        <v>36.60736094308141</v>
      </c>
      <c r="I44" s="85">
        <f t="shared" si="6"/>
        <v>40.137193952512327</v>
      </c>
      <c r="J44" s="85">
        <f t="shared" si="6"/>
        <v>32.310260639321761</v>
      </c>
      <c r="K44" s="85">
        <f t="shared" si="6"/>
        <v>31.115472024905998</v>
      </c>
      <c r="L44" s="85">
        <f t="shared" si="6"/>
        <v>30.246855516723329</v>
      </c>
      <c r="M44" s="276"/>
      <c r="N44" s="75">
        <f t="shared" si="0"/>
        <v>27.815113965713969</v>
      </c>
      <c r="O44" s="75">
        <f t="shared" si="1"/>
        <v>30.246855516723329</v>
      </c>
      <c r="P44" s="123"/>
      <c r="Q44" s="123"/>
    </row>
    <row r="45" spans="2:17" x14ac:dyDescent="0.35">
      <c r="B45" s="254" t="s">
        <v>394</v>
      </c>
      <c r="C45" s="254"/>
      <c r="D45" s="372">
        <f>SUM(D42,D44)-D43</f>
        <v>-64.000690992640784</v>
      </c>
      <c r="E45" s="372">
        <f t="shared" ref="E45:L45" si="7">SUM(E42,E44)-E43</f>
        <v>-79.990117078046097</v>
      </c>
      <c r="F45" s="372">
        <f t="shared" si="7"/>
        <v>-62.067502903932393</v>
      </c>
      <c r="G45" s="372">
        <f t="shared" si="7"/>
        <v>-65.691849527725751</v>
      </c>
      <c r="H45" s="372">
        <f t="shared" si="7"/>
        <v>-87.88445417901805</v>
      </c>
      <c r="I45" s="372">
        <f t="shared" si="7"/>
        <v>-86.438871101970008</v>
      </c>
      <c r="J45" s="372">
        <f t="shared" si="7"/>
        <v>-68.225236771733904</v>
      </c>
      <c r="K45" s="372">
        <f t="shared" si="7"/>
        <v>-71.639487221044305</v>
      </c>
      <c r="L45" s="372">
        <f t="shared" si="7"/>
        <v>-77.989788212725259</v>
      </c>
      <c r="M45" s="276"/>
      <c r="N45" s="373">
        <f t="shared" si="0"/>
        <v>-73.769777554315169</v>
      </c>
      <c r="O45" s="161">
        <f t="shared" si="1"/>
        <v>-71.639487221044305</v>
      </c>
      <c r="P45" s="123"/>
      <c r="Q45" s="123"/>
    </row>
    <row r="46" spans="2:17" x14ac:dyDescent="0.35">
      <c r="B46" s="276"/>
      <c r="C46" s="276"/>
      <c r="D46" s="276"/>
      <c r="E46" s="276"/>
      <c r="F46" s="276"/>
      <c r="G46" s="276"/>
      <c r="H46" s="276"/>
      <c r="I46" s="276"/>
      <c r="J46" s="276"/>
      <c r="K46" s="276"/>
      <c r="L46" s="276"/>
      <c r="M46" s="276"/>
      <c r="N46" s="41"/>
      <c r="O46" s="171"/>
      <c r="P46" s="123"/>
      <c r="Q46" s="123"/>
    </row>
    <row r="47" spans="2:17" x14ac:dyDescent="0.35">
      <c r="B47" s="57" t="s">
        <v>395</v>
      </c>
      <c r="C47" s="57"/>
      <c r="D47" s="367">
        <f>IFERROR('Historical IFS'!D84/'Historical IFS'!D12,0)</f>
        <v>0.26587576919139644</v>
      </c>
      <c r="E47" s="367">
        <f>IFERROR('Historical IFS'!E84/'Historical IFS'!E12,0)</f>
        <v>0.32582409737466761</v>
      </c>
      <c r="F47" s="367">
        <f>IFERROR('Historical IFS'!F84/'Historical IFS'!F12,0)</f>
        <v>0.11411586741328522</v>
      </c>
      <c r="G47" s="367">
        <f>IFERROR('Historical IFS'!G84/'Historical IFS'!G12,0)</f>
        <v>0.19445943554325193</v>
      </c>
      <c r="H47" s="367">
        <f>IFERROR('Historical IFS'!H84/'Historical IFS'!H12,0)</f>
        <v>0.22074802043495959</v>
      </c>
      <c r="I47" s="367">
        <f>IFERROR('Historical IFS'!I84/'Historical IFS'!I12,0)</f>
        <v>0.13546543300870184</v>
      </c>
      <c r="J47" s="367">
        <f>IFERROR('Historical IFS'!J84/'Historical IFS'!J12,0)</f>
        <v>0.20003905227604143</v>
      </c>
      <c r="K47" s="367">
        <f>IFERROR('Historical IFS'!K84/'Historical IFS'!K12,0)</f>
        <v>0.24867287784428677</v>
      </c>
      <c r="L47" s="367">
        <f>IFERROR('Historical IFS'!L84/'Historical IFS'!L12,0)</f>
        <v>0.22209444975848355</v>
      </c>
      <c r="M47" s="276"/>
      <c r="N47" s="75">
        <f t="shared" si="0"/>
        <v>0.21414388920500826</v>
      </c>
      <c r="O47" s="75">
        <f t="shared" si="1"/>
        <v>0.22074802043495959</v>
      </c>
      <c r="P47" s="123"/>
      <c r="Q47" s="123"/>
    </row>
    <row r="48" spans="2:17" x14ac:dyDescent="0.35">
      <c r="B48" s="57" t="s">
        <v>397</v>
      </c>
      <c r="C48" s="57"/>
      <c r="D48" s="367">
        <f>IFERROR('Historical IFS'!D84/'Historical IFS'!D70,0)</f>
        <v>0.2667967836007008</v>
      </c>
      <c r="E48" s="367">
        <f>IFERROR('Historical IFS'!E84/'Historical IFS'!E70,0)</f>
        <v>0.30675587546194538</v>
      </c>
      <c r="F48" s="367">
        <f>IFERROR('Historical IFS'!F84/'Historical IFS'!F70,0)</f>
        <v>9.8183603338242512E-2</v>
      </c>
      <c r="G48" s="367">
        <f>IFERROR('Historical IFS'!G84/'Historical IFS'!G70,0)</f>
        <v>0.14297510305452651</v>
      </c>
      <c r="H48" s="367">
        <f>IFERROR('Historical IFS'!H84/'Historical IFS'!H70,0)</f>
        <v>0.13222416150992436</v>
      </c>
      <c r="I48" s="367">
        <f>IFERROR('Historical IFS'!I84/'Historical IFS'!I70,0)</f>
        <v>8.6432137141469287E-2</v>
      </c>
      <c r="J48" s="367">
        <f>IFERROR('Historical IFS'!J84/'Historical IFS'!J70,0)</f>
        <v>0.15048724739082514</v>
      </c>
      <c r="K48" s="367">
        <f>IFERROR('Historical IFS'!K84/'Historical IFS'!K70,0)</f>
        <v>0.17789214250579602</v>
      </c>
      <c r="L48" s="367">
        <f>IFERROR('Historical IFS'!L84/'Historical IFS'!L70,0)</f>
        <v>0.1542259795152866</v>
      </c>
      <c r="M48" s="276"/>
      <c r="N48" s="75">
        <f t="shared" si="0"/>
        <v>0.16844144816874629</v>
      </c>
      <c r="O48" s="75">
        <f t="shared" si="1"/>
        <v>0.15048724739082514</v>
      </c>
      <c r="P48" s="123"/>
      <c r="Q48" s="123"/>
    </row>
    <row r="49" spans="2:17" x14ac:dyDescent="0.35">
      <c r="B49" s="59" t="s">
        <v>396</v>
      </c>
      <c r="C49" s="59"/>
      <c r="D49" s="111">
        <f>'Historical IFS'!D95/'Historical IFS'!D55</f>
        <v>-15.583370585605723</v>
      </c>
      <c r="E49" s="111">
        <f>'Historical IFS'!E95/'Historical IFS'!E55</f>
        <v>-14.20710686820472</v>
      </c>
      <c r="F49" s="111">
        <f>'Historical IFS'!F95/'Historical IFS'!F55</f>
        <v>-3.533947312058257</v>
      </c>
      <c r="G49" s="111">
        <f>'Historical IFS'!G95/'Historical IFS'!G55</f>
        <v>-6.0602409638554215</v>
      </c>
      <c r="H49" s="111">
        <f>'Historical IFS'!H95/'Historical IFS'!H55</f>
        <v>-7.4116305587229192</v>
      </c>
      <c r="I49" s="111">
        <f>'Historical IFS'!I95/'Historical IFS'!I55</f>
        <v>-9.1356420016711546</v>
      </c>
      <c r="J49" s="111">
        <f>'Historical IFS'!J95/'Historical IFS'!J55</f>
        <v>-8.3076176276828111</v>
      </c>
      <c r="K49" s="111">
        <f>'Historical IFS'!K95/'Historical IFS'!K55</f>
        <v>-6.7590120160213623</v>
      </c>
      <c r="L49" s="111">
        <f>'Historical IFS'!L95/'Historical IFS'!L55</f>
        <v>-5.3696549014471877</v>
      </c>
      <c r="M49" s="276"/>
      <c r="N49" s="75">
        <f t="shared" si="0"/>
        <v>-8.4853580928077292</v>
      </c>
      <c r="O49" s="75">
        <f t="shared" si="1"/>
        <v>-7.4116305587229192</v>
      </c>
      <c r="P49" s="123"/>
      <c r="Q49" s="123"/>
    </row>
    <row r="50" spans="2:17" x14ac:dyDescent="0.35"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  <c r="M50" s="57"/>
      <c r="P50" s="123"/>
      <c r="Q50" s="123"/>
    </row>
    <row r="51" spans="2:17" x14ac:dyDescent="0.35">
      <c r="B51" s="123"/>
      <c r="C51" s="123"/>
      <c r="D51" s="123"/>
      <c r="E51" s="123"/>
      <c r="K51" s="123"/>
      <c r="L51" s="123"/>
      <c r="M51" s="43"/>
      <c r="P51" s="123"/>
      <c r="Q51" s="123"/>
    </row>
    <row r="52" spans="2:17" x14ac:dyDescent="0.35">
      <c r="B52" s="123"/>
      <c r="C52" s="123"/>
      <c r="D52" s="123"/>
      <c r="E52" s="123"/>
      <c r="K52" s="123"/>
      <c r="L52" s="123"/>
      <c r="M52" s="123"/>
      <c r="P52" s="123"/>
      <c r="Q52" s="123"/>
    </row>
    <row r="53" spans="2:17" x14ac:dyDescent="0.35">
      <c r="B53" s="123"/>
      <c r="C53" s="123"/>
      <c r="D53" s="123"/>
      <c r="E53" s="123"/>
      <c r="K53" s="123"/>
      <c r="L53" s="123"/>
      <c r="M53" s="123"/>
      <c r="P53" s="123"/>
      <c r="Q53" s="123"/>
    </row>
    <row r="54" spans="2:17" x14ac:dyDescent="0.35">
      <c r="B54" s="123"/>
      <c r="C54" s="123"/>
      <c r="D54" s="123"/>
      <c r="E54" s="123"/>
      <c r="K54" s="123"/>
      <c r="L54" s="123"/>
      <c r="M54" s="123"/>
      <c r="P54" s="123"/>
      <c r="Q54" s="123"/>
    </row>
    <row r="55" spans="2:17" x14ac:dyDescent="0.35">
      <c r="B55" s="123"/>
      <c r="C55" s="123"/>
      <c r="D55" s="123"/>
      <c r="E55" s="123"/>
      <c r="K55" s="123"/>
      <c r="L55" s="123"/>
      <c r="M55" s="123"/>
      <c r="P55" s="123"/>
      <c r="Q55" s="123"/>
    </row>
    <row r="56" spans="2:17" x14ac:dyDescent="0.35">
      <c r="B56" s="123"/>
      <c r="C56" s="123"/>
      <c r="D56" s="123"/>
      <c r="E56" s="123"/>
      <c r="K56" s="123"/>
      <c r="L56" s="123"/>
      <c r="M56" s="123"/>
      <c r="P56" s="123"/>
      <c r="Q56" s="123"/>
    </row>
    <row r="57" spans="2:17" x14ac:dyDescent="0.35">
      <c r="B57" s="123"/>
      <c r="C57" s="123"/>
      <c r="D57" s="123"/>
      <c r="E57" s="123"/>
      <c r="K57" s="123"/>
      <c r="L57" s="123"/>
      <c r="M57" s="123"/>
      <c r="P57" s="123"/>
      <c r="Q57" s="123"/>
    </row>
    <row r="58" spans="2:17" x14ac:dyDescent="0.35">
      <c r="B58" s="123"/>
      <c r="C58" s="123"/>
      <c r="D58" s="123"/>
      <c r="E58" s="123"/>
      <c r="K58" s="123"/>
      <c r="L58" s="123"/>
      <c r="M58" s="123"/>
      <c r="P58" s="123"/>
      <c r="Q58" s="123"/>
    </row>
    <row r="59" spans="2:17" x14ac:dyDescent="0.35">
      <c r="B59" s="123"/>
      <c r="C59" s="123"/>
      <c r="D59" s="123"/>
      <c r="E59" s="123"/>
      <c r="K59" s="123"/>
      <c r="L59" s="123"/>
      <c r="M59" s="123"/>
      <c r="P59" s="123"/>
      <c r="Q59" s="123"/>
    </row>
    <row r="60" spans="2:17" x14ac:dyDescent="0.35">
      <c r="B60" s="123"/>
      <c r="C60" s="123"/>
      <c r="D60" s="123"/>
      <c r="E60" s="123"/>
      <c r="K60" s="123"/>
      <c r="L60" s="123"/>
      <c r="M60" s="123"/>
      <c r="P60" s="123"/>
      <c r="Q60" s="123"/>
    </row>
    <row r="61" spans="2:17" x14ac:dyDescent="0.35">
      <c r="B61" s="123"/>
      <c r="C61" s="123"/>
      <c r="D61" s="123"/>
      <c r="E61" s="123"/>
      <c r="K61" s="123"/>
      <c r="L61" s="123"/>
      <c r="M61" s="123"/>
      <c r="P61" s="123"/>
      <c r="Q61" s="123"/>
    </row>
    <row r="62" spans="2:17" x14ac:dyDescent="0.35">
      <c r="B62" s="123"/>
      <c r="C62" s="123"/>
      <c r="D62" s="123"/>
      <c r="E62" s="123"/>
      <c r="K62" s="123"/>
      <c r="L62" s="123"/>
      <c r="M62" s="123"/>
      <c r="P62" s="123"/>
      <c r="Q62" s="123"/>
    </row>
    <row r="63" spans="2:17" x14ac:dyDescent="0.35">
      <c r="B63" s="123"/>
      <c r="C63" s="123"/>
      <c r="D63" s="123"/>
      <c r="E63" s="123"/>
      <c r="K63" s="123"/>
      <c r="L63" s="123"/>
      <c r="M63" s="123"/>
      <c r="P63" s="123"/>
      <c r="Q63" s="123"/>
    </row>
    <row r="64" spans="2:17" x14ac:dyDescent="0.35">
      <c r="B64" s="123"/>
      <c r="C64" s="123"/>
      <c r="D64" s="123"/>
      <c r="E64" s="123"/>
      <c r="K64" s="123"/>
      <c r="L64" s="123"/>
      <c r="M64" s="123"/>
      <c r="P64" s="123"/>
      <c r="Q64" s="123"/>
    </row>
    <row r="65" spans="2:17" x14ac:dyDescent="0.35"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123"/>
      <c r="P65" s="123"/>
      <c r="Q65" s="123"/>
    </row>
    <row r="66" spans="2:17" x14ac:dyDescent="0.35"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123"/>
      <c r="P66" s="123"/>
      <c r="Q66" s="123"/>
    </row>
    <row r="67" spans="2:17" x14ac:dyDescent="0.35"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123"/>
      <c r="P67" s="123"/>
      <c r="Q67" s="123"/>
    </row>
    <row r="68" spans="2:17" x14ac:dyDescent="0.35"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123"/>
      <c r="P68" s="123"/>
      <c r="Q68" s="123"/>
    </row>
    <row r="69" spans="2:17" x14ac:dyDescent="0.35"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123"/>
      <c r="P69" s="123"/>
      <c r="Q69" s="123"/>
    </row>
    <row r="70" spans="2:17" x14ac:dyDescent="0.35"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123"/>
      <c r="P70" s="123"/>
      <c r="Q70" s="123"/>
    </row>
    <row r="71" spans="2:17" x14ac:dyDescent="0.35"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123"/>
      <c r="P71" s="123"/>
      <c r="Q71" s="123"/>
    </row>
    <row r="72" spans="2:17" x14ac:dyDescent="0.35"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123"/>
      <c r="P72" s="123"/>
      <c r="Q72" s="123"/>
    </row>
    <row r="73" spans="2:17" x14ac:dyDescent="0.35"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123"/>
      <c r="P73" s="123"/>
      <c r="Q73" s="123"/>
    </row>
    <row r="74" spans="2:17" x14ac:dyDescent="0.35"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123"/>
      <c r="P74" s="123"/>
      <c r="Q74" s="123"/>
    </row>
    <row r="75" spans="2:17" x14ac:dyDescent="0.35"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123"/>
      <c r="P75" s="123"/>
      <c r="Q75" s="123"/>
    </row>
    <row r="76" spans="2:17" x14ac:dyDescent="0.35"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23"/>
      <c r="P76" s="123"/>
      <c r="Q76" s="123"/>
    </row>
    <row r="77" spans="2:17" x14ac:dyDescent="0.35"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123"/>
      <c r="P77" s="123"/>
      <c r="Q77" s="123"/>
    </row>
    <row r="78" spans="2:17" x14ac:dyDescent="0.35"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123"/>
      <c r="P78" s="123"/>
      <c r="Q78" s="123"/>
    </row>
    <row r="79" spans="2:17" x14ac:dyDescent="0.35"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123"/>
      <c r="P79" s="123"/>
      <c r="Q79" s="123"/>
    </row>
    <row r="80" spans="2:17" x14ac:dyDescent="0.35"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123"/>
      <c r="P80" s="123"/>
      <c r="Q80" s="123"/>
    </row>
    <row r="81" spans="2:17" x14ac:dyDescent="0.35"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123"/>
      <c r="P81" s="123"/>
      <c r="Q81" s="123"/>
    </row>
    <row r="82" spans="2:17" x14ac:dyDescent="0.35"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123"/>
      <c r="P82" s="123"/>
      <c r="Q82" s="123"/>
    </row>
    <row r="83" spans="2:17" x14ac:dyDescent="0.35"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123"/>
      <c r="P83" s="123"/>
      <c r="Q83" s="123"/>
    </row>
    <row r="84" spans="2:17" x14ac:dyDescent="0.35"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123"/>
      <c r="P84" s="123"/>
      <c r="Q84" s="123"/>
    </row>
    <row r="85" spans="2:17" x14ac:dyDescent="0.35"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123"/>
      <c r="P85" s="123"/>
      <c r="Q85" s="123"/>
    </row>
    <row r="86" spans="2:17" x14ac:dyDescent="0.35"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123"/>
      <c r="P86" s="123"/>
      <c r="Q86" s="123"/>
    </row>
    <row r="87" spans="2:17" x14ac:dyDescent="0.35"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123"/>
      <c r="P87" s="123"/>
      <c r="Q87" s="123"/>
    </row>
    <row r="88" spans="2:17" x14ac:dyDescent="0.35"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123"/>
      <c r="P88" s="123"/>
      <c r="Q88" s="123"/>
    </row>
    <row r="89" spans="2:17" x14ac:dyDescent="0.35"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123"/>
      <c r="P89" s="123"/>
      <c r="Q89" s="123"/>
    </row>
    <row r="90" spans="2:17" x14ac:dyDescent="0.35"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123"/>
      <c r="P90" s="123"/>
      <c r="Q90" s="123"/>
    </row>
    <row r="91" spans="2:17" x14ac:dyDescent="0.35"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123"/>
      <c r="P91" s="123"/>
      <c r="Q91" s="123"/>
    </row>
    <row r="92" spans="2:17" x14ac:dyDescent="0.35"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123"/>
      <c r="P92" s="123"/>
      <c r="Q92" s="123"/>
    </row>
    <row r="93" spans="2:17" x14ac:dyDescent="0.35"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123"/>
      <c r="P93" s="123"/>
      <c r="Q93" s="123"/>
    </row>
    <row r="94" spans="2:17" x14ac:dyDescent="0.35"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123"/>
      <c r="P94" s="123"/>
      <c r="Q94" s="123"/>
    </row>
    <row r="95" spans="2:17" x14ac:dyDescent="0.35"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123"/>
      <c r="P95" s="123"/>
      <c r="Q95" s="123"/>
    </row>
    <row r="96" spans="2:17" x14ac:dyDescent="0.35"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123"/>
      <c r="P96" s="123"/>
      <c r="Q96" s="123"/>
    </row>
    <row r="97" spans="2:13" x14ac:dyDescent="0.35"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123"/>
    </row>
    <row r="98" spans="2:13" x14ac:dyDescent="0.35"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123"/>
    </row>
    <row r="99" spans="2:13" x14ac:dyDescent="0.35"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123"/>
    </row>
    <row r="100" spans="2:13" x14ac:dyDescent="0.35"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123"/>
    </row>
    <row r="101" spans="2:13" x14ac:dyDescent="0.35"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123"/>
    </row>
    <row r="102" spans="2:13" x14ac:dyDescent="0.35"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123"/>
    </row>
    <row r="103" spans="2:13" x14ac:dyDescent="0.35"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123"/>
    </row>
    <row r="104" spans="2:13" x14ac:dyDescent="0.35"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123"/>
    </row>
    <row r="105" spans="2:13" x14ac:dyDescent="0.35"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123"/>
    </row>
    <row r="106" spans="2:13" x14ac:dyDescent="0.35"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123"/>
    </row>
    <row r="107" spans="2:13" x14ac:dyDescent="0.35"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123"/>
    </row>
    <row r="108" spans="2:13" x14ac:dyDescent="0.35">
      <c r="B108" s="123"/>
      <c r="C108" s="123"/>
      <c r="D108" s="123"/>
      <c r="E108" s="123"/>
      <c r="K108" s="123"/>
      <c r="L108" s="123"/>
      <c r="M108" s="123"/>
    </row>
    <row r="109" spans="2:13" x14ac:dyDescent="0.35">
      <c r="F109" s="43"/>
      <c r="G109" s="43"/>
      <c r="H109" s="43"/>
      <c r="I109" s="43"/>
      <c r="J109" s="43"/>
    </row>
  </sheetData>
  <mergeCells count="3">
    <mergeCell ref="B9:L9"/>
    <mergeCell ref="B2:C7"/>
    <mergeCell ref="D2:O7"/>
  </mergeCells>
  <pageMargins left="0.31496062992125984" right="0.31496062992125984" top="0.55118110236220474" bottom="0.35433070866141736" header="0.31496062992125984" footer="0.31496062992125984"/>
  <pageSetup paperSize="9" scale="70" orientation="landscape" r:id="rId1"/>
  <headerFooter>
    <oddHeader xml:space="preserve">&amp;R </oddHeader>
    <oddFooter>&amp;RBy Nikhil Kulkarni MBA</oddFooter>
  </headerFooter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76F88E5-0C47-44F0-87D7-B3F3E9CABE2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Annalysis'!D47:L47</xm:f>
              <xm:sqref>M47</xm:sqref>
            </x14:sparkline>
            <x14:sparkline>
              <xm:f>'Ratio Annalysis'!D48:L48</xm:f>
              <xm:sqref>M48</xm:sqref>
            </x14:sparkline>
            <x14:sparkline>
              <xm:f>'Ratio Annalysis'!D49:L49</xm:f>
              <xm:sqref>M49</xm:sqref>
            </x14:sparkline>
          </x14:sparklines>
        </x14:sparklineGroup>
        <x14:sparklineGroup displayEmptyCellsAs="gap" xr2:uid="{085E8300-03BC-416C-944F-85048CFB6EC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Annalysis'!D42:L42</xm:f>
              <xm:sqref>M42</xm:sqref>
            </x14:sparkline>
            <x14:sparkline>
              <xm:f>'Ratio Annalysis'!D43:L43</xm:f>
              <xm:sqref>M43</xm:sqref>
            </x14:sparkline>
            <x14:sparkline>
              <xm:f>'Ratio Annalysis'!D44:L44</xm:f>
              <xm:sqref>M44</xm:sqref>
            </x14:sparkline>
            <x14:sparkline>
              <xm:f>'Ratio Annalysis'!D45:L45</xm:f>
              <xm:sqref>M45</xm:sqref>
            </x14:sparkline>
          </x14:sparklines>
        </x14:sparklineGroup>
        <x14:sparklineGroup displayEmptyCellsAs="gap" xr2:uid="{1BBCC077-8408-43B7-A465-05A3919DA2C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Annalysis'!D34:L34</xm:f>
              <xm:sqref>M34</xm:sqref>
            </x14:sparkline>
            <x14:sparkline>
              <xm:f>'Ratio Annalysis'!D35:L35</xm:f>
              <xm:sqref>M35</xm:sqref>
            </x14:sparkline>
            <x14:sparkline>
              <xm:f>'Ratio Annalysis'!D36:L36</xm:f>
              <xm:sqref>M36</xm:sqref>
            </x14:sparkline>
            <x14:sparkline>
              <xm:f>'Ratio Annalysis'!D37:L37</xm:f>
              <xm:sqref>M37</xm:sqref>
            </x14:sparkline>
            <x14:sparkline>
              <xm:f>'Ratio Annalysis'!D38:L38</xm:f>
              <xm:sqref>M38</xm:sqref>
            </x14:sparkline>
          </x14:sparklines>
        </x14:sparklineGroup>
        <x14:sparklineGroup displayEmptyCellsAs="gap" xr2:uid="{FCE1FCC6-03D8-47B4-9A59-774AE08AF0F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Annalysis'!D28:L28</xm:f>
              <xm:sqref>M28</xm:sqref>
            </x14:sparkline>
            <x14:sparkline>
              <xm:f>'Ratio Annalysis'!D29:L29</xm:f>
              <xm:sqref>M29</xm:sqref>
            </x14:sparkline>
            <x14:sparkline>
              <xm:f>'Ratio Annalysis'!D30:L30</xm:f>
              <xm:sqref>M30</xm:sqref>
            </x14:sparkline>
            <x14:sparkline>
              <xm:f>'Ratio Annalysis'!D31:L31</xm:f>
              <xm:sqref>M31</xm:sqref>
            </x14:sparkline>
            <x14:sparkline>
              <xm:f>'Ratio Annalysis'!D32:L32</xm:f>
              <xm:sqref>M32</xm:sqref>
            </x14:sparkline>
          </x14:sparklines>
        </x14:sparklineGroup>
        <x14:sparklineGroup displayEmptyCellsAs="gap" xr2:uid="{7F971FDD-0AD8-4DB0-811B-32168F85F5A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Annalysis'!D24:L24</xm:f>
              <xm:sqref>M24</xm:sqref>
            </x14:sparkline>
            <x14:sparkline>
              <xm:f>'Ratio Annalysis'!D25:L25</xm:f>
              <xm:sqref>M25</xm:sqref>
            </x14:sparkline>
            <x14:sparkline>
              <xm:f>'Ratio Annalysis'!D26:L26</xm:f>
              <xm:sqref>M26</xm:sqref>
            </x14:sparkline>
          </x14:sparklines>
        </x14:sparklineGroup>
        <x14:sparklineGroup displayEmptyCellsAs="gap" xr2:uid="{60693EE1-DB4B-4367-8CA8-25C108A02B6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Annalysis'!D18:L18</xm:f>
              <xm:sqref>M18</xm:sqref>
            </x14:sparkline>
            <x14:sparkline>
              <xm:f>'Ratio Annalysis'!D19:L19</xm:f>
              <xm:sqref>M19</xm:sqref>
            </x14:sparkline>
            <x14:sparkline>
              <xm:f>'Ratio Annalysis'!D20:L20</xm:f>
              <xm:sqref>M20</xm:sqref>
            </x14:sparkline>
            <x14:sparkline>
              <xm:f>'Ratio Annalysis'!D21:L21</xm:f>
              <xm:sqref>M21</xm:sqref>
            </x14:sparkline>
            <x14:sparkline>
              <xm:f>'Ratio Annalysis'!D22:L22</xm:f>
              <xm:sqref>M22</xm:sqref>
            </x14:sparkline>
          </x14:sparklines>
        </x14:sparklineGroup>
        <x14:sparklineGroup displayEmptyCellsAs="gap" xr2:uid="{2E1F8CCB-3A84-4122-990F-33F704C9D2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Annalysis'!D13:L13</xm:f>
              <xm:sqref>M13</xm:sqref>
            </x14:sparkline>
            <x14:sparkline>
              <xm:f>'Ratio Annalysis'!D14:L14</xm:f>
              <xm:sqref>M14</xm:sqref>
            </x14:sparkline>
            <x14:sparkline>
              <xm:f>'Ratio Annalysis'!D15:L15</xm:f>
              <xm:sqref>M15</xm:sqref>
            </x14:sparkline>
            <x14:sparkline>
              <xm:f>'Ratio Annalysis'!D16:L16</xm:f>
              <xm:sqref>M16</xm:sqref>
            </x14:sparkline>
          </x14:sparklines>
        </x14:sparklineGroup>
        <x14:sparklineGroup displayEmptyCellsAs="gap" xr2:uid="{6B3D8F78-ABD9-4496-A411-1AD234379F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Annalysis'!D12:L12</xm:f>
              <xm:sqref>M12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A7C-219D-4F35-A60E-26E3B9FDE9EF}">
  <sheetPr>
    <tabColor theme="7" tint="-0.249977111117893"/>
  </sheetPr>
  <dimension ref="A1:Q109"/>
  <sheetViews>
    <sheetView showGridLines="0" tabSelected="1" view="pageBreakPreview" topLeftCell="A40" zoomScale="55" zoomScaleNormal="55" zoomScaleSheetLayoutView="55" workbookViewId="0">
      <selection activeCell="G72" sqref="G72"/>
    </sheetView>
  </sheetViews>
  <sheetFormatPr defaultRowHeight="14.5" x14ac:dyDescent="0.35"/>
  <cols>
    <col min="1" max="1" width="1.81640625" style="17" customWidth="1"/>
    <col min="2" max="2" width="18.1796875" customWidth="1"/>
    <col min="3" max="3" width="9.7265625" bestFit="1" customWidth="1"/>
    <col min="5" max="5" width="11.6328125" customWidth="1"/>
    <col min="6" max="9" width="8.7265625" style="123"/>
    <col min="10" max="10" width="11.26953125" style="123" customWidth="1"/>
    <col min="14" max="14" width="12.6328125" customWidth="1"/>
    <col min="15" max="15" width="8.984375E-2" customWidth="1"/>
  </cols>
  <sheetData>
    <row r="1" spans="2:17" x14ac:dyDescent="0.35">
      <c r="F1"/>
      <c r="G1"/>
      <c r="H1"/>
      <c r="I1"/>
      <c r="J1"/>
    </row>
    <row r="2" spans="2:17" x14ac:dyDescent="0.35">
      <c r="B2" s="217"/>
      <c r="C2" s="217"/>
      <c r="D2" s="210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</row>
    <row r="3" spans="2:17" x14ac:dyDescent="0.35">
      <c r="B3" s="217"/>
      <c r="C3" s="217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</row>
    <row r="4" spans="2:17" x14ac:dyDescent="0.35">
      <c r="B4" s="217"/>
      <c r="C4" s="217"/>
      <c r="D4" s="210"/>
      <c r="E4" s="210"/>
      <c r="F4" s="210"/>
      <c r="G4" s="210"/>
      <c r="H4" s="210"/>
      <c r="I4" s="210"/>
      <c r="J4" s="210"/>
      <c r="K4" s="210"/>
      <c r="L4" s="210"/>
      <c r="M4" s="210"/>
      <c r="N4" s="210"/>
      <c r="O4" s="210"/>
    </row>
    <row r="5" spans="2:17" x14ac:dyDescent="0.35">
      <c r="B5" s="217"/>
      <c r="C5" s="217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</row>
    <row r="6" spans="2:17" x14ac:dyDescent="0.35">
      <c r="B6" s="217"/>
      <c r="C6" s="217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123"/>
      <c r="Q6" s="123"/>
    </row>
    <row r="7" spans="2:17" x14ac:dyDescent="0.35">
      <c r="B7" s="217"/>
      <c r="C7" s="217"/>
      <c r="D7" s="210"/>
      <c r="E7" s="210"/>
      <c r="F7" s="210"/>
      <c r="G7" s="210"/>
      <c r="H7" s="210"/>
      <c r="I7" s="221"/>
      <c r="J7" s="221"/>
      <c r="K7" s="221"/>
      <c r="L7" s="221"/>
      <c r="M7" s="221"/>
      <c r="N7" s="221"/>
      <c r="O7" s="221"/>
      <c r="P7" s="123"/>
      <c r="Q7" s="123"/>
    </row>
    <row r="8" spans="2:17" x14ac:dyDescent="0.35">
      <c r="D8" s="210"/>
      <c r="E8" s="210"/>
      <c r="F8" s="210"/>
      <c r="G8" s="210"/>
      <c r="H8" s="210"/>
      <c r="I8" s="221"/>
      <c r="J8" s="221"/>
      <c r="K8" s="221"/>
      <c r="L8" s="221"/>
      <c r="M8" s="221"/>
      <c r="N8" s="221"/>
      <c r="O8" s="221"/>
      <c r="P8" s="123"/>
      <c r="Q8" s="123"/>
    </row>
    <row r="9" spans="2:17" x14ac:dyDescent="0.35">
      <c r="B9" s="220" t="str">
        <f>"Revenue Forcasting Sales - " &amp;'Data Sheet'!B1</f>
        <v>Revenue Forcasting Sales - EICHER MOTORS LTD</v>
      </c>
      <c r="C9" s="220"/>
      <c r="D9" s="220"/>
      <c r="E9" s="220"/>
      <c r="F9"/>
      <c r="G9"/>
      <c r="H9"/>
      <c r="I9" s="151"/>
      <c r="J9" s="151"/>
      <c r="K9" s="193"/>
      <c r="L9" s="151"/>
      <c r="M9" s="151"/>
      <c r="N9" s="151"/>
      <c r="O9" s="151"/>
      <c r="P9" s="123"/>
      <c r="Q9" s="123"/>
    </row>
    <row r="10" spans="2:17" ht="12.5" customHeight="1" x14ac:dyDescent="0.35">
      <c r="B10" s="139"/>
      <c r="C10" s="139"/>
      <c r="D10" s="139"/>
      <c r="E10" s="139"/>
      <c r="K10" s="282"/>
      <c r="L10" s="123"/>
      <c r="M10" s="123"/>
      <c r="N10" s="123"/>
      <c r="O10" s="123"/>
      <c r="P10" s="123"/>
      <c r="Q10" s="123"/>
    </row>
    <row r="11" spans="2:17" ht="15.5" x14ac:dyDescent="0.35">
      <c r="B11" s="140" t="s">
        <v>139</v>
      </c>
      <c r="C11" s="140" t="s">
        <v>75</v>
      </c>
      <c r="D11" s="141" t="s">
        <v>3</v>
      </c>
      <c r="E11" s="141" t="s">
        <v>140</v>
      </c>
      <c r="K11" s="123"/>
      <c r="L11" s="123"/>
      <c r="M11" s="123"/>
      <c r="N11" s="123"/>
      <c r="O11" s="123"/>
      <c r="P11" s="123"/>
      <c r="Q11" s="123"/>
    </row>
    <row r="12" spans="2:17" x14ac:dyDescent="0.35">
      <c r="B12" s="16">
        <v>1</v>
      </c>
      <c r="C12" s="164">
        <f>IFERROR('Data Sheet'!B16,0)</f>
        <v>42460</v>
      </c>
      <c r="D12" s="174">
        <f t="array" ref="D12:D21">TRANSPOSE('Data Sheet'!B17:K17)</f>
        <v>6173.46</v>
      </c>
      <c r="E12" s="22"/>
      <c r="K12" s="283"/>
      <c r="L12" s="123"/>
      <c r="M12" s="123"/>
      <c r="N12" s="123"/>
      <c r="O12" s="123"/>
      <c r="P12" s="123"/>
      <c r="Q12" s="123"/>
    </row>
    <row r="13" spans="2:17" x14ac:dyDescent="0.35">
      <c r="B13" s="63">
        <v>2</v>
      </c>
      <c r="C13" s="69">
        <f>C12+365</f>
        <v>42825</v>
      </c>
      <c r="D13" s="70">
        <v>7033.36</v>
      </c>
      <c r="E13" s="71">
        <f>D13/D12-1</f>
        <v>0.13928979858944568</v>
      </c>
      <c r="K13" s="283"/>
      <c r="L13" s="123"/>
      <c r="M13" s="123"/>
      <c r="N13" s="123"/>
      <c r="O13" s="123"/>
      <c r="P13" s="123"/>
      <c r="Q13" s="123"/>
    </row>
    <row r="14" spans="2:17" x14ac:dyDescent="0.35">
      <c r="B14" s="63">
        <v>3</v>
      </c>
      <c r="C14" s="69">
        <f t="shared" ref="C14:C27" si="0">C13+365</f>
        <v>43190</v>
      </c>
      <c r="D14" s="70">
        <v>8964.9599999999991</v>
      </c>
      <c r="E14" s="71">
        <f t="shared" ref="E14:E27" si="1">D14/D13-1</f>
        <v>0.27463402982358365</v>
      </c>
      <c r="K14" s="283"/>
      <c r="L14" s="123"/>
      <c r="M14" s="123"/>
      <c r="N14" s="123"/>
      <c r="O14" s="123"/>
      <c r="P14" s="123"/>
      <c r="Q14" s="123"/>
    </row>
    <row r="15" spans="2:17" x14ac:dyDescent="0.35">
      <c r="B15" s="63">
        <v>4</v>
      </c>
      <c r="C15" s="69">
        <f t="shared" si="0"/>
        <v>43555</v>
      </c>
      <c r="D15" s="70">
        <v>9797.06</v>
      </c>
      <c r="E15" s="71">
        <f t="shared" si="1"/>
        <v>9.2816922774892507E-2</v>
      </c>
      <c r="K15" s="283"/>
      <c r="L15" s="123"/>
      <c r="M15" s="123"/>
      <c r="N15" s="123"/>
      <c r="O15" s="123"/>
      <c r="P15" s="123"/>
      <c r="Q15" s="123"/>
    </row>
    <row r="16" spans="2:17" x14ac:dyDescent="0.35">
      <c r="B16" s="63">
        <v>5</v>
      </c>
      <c r="C16" s="69">
        <f t="shared" si="0"/>
        <v>43920</v>
      </c>
      <c r="D16" s="70">
        <v>9153.58</v>
      </c>
      <c r="E16" s="71">
        <f t="shared" si="1"/>
        <v>-6.568092876842635E-2</v>
      </c>
      <c r="K16" s="283"/>
      <c r="L16" s="123"/>
      <c r="M16" s="123"/>
      <c r="N16" s="123"/>
      <c r="O16" s="123"/>
      <c r="P16" s="123"/>
      <c r="Q16" s="123"/>
    </row>
    <row r="17" spans="2:17" x14ac:dyDescent="0.35">
      <c r="B17" s="63">
        <v>6</v>
      </c>
      <c r="C17" s="69">
        <f t="shared" si="0"/>
        <v>44285</v>
      </c>
      <c r="D17" s="70">
        <v>8720.35</v>
      </c>
      <c r="E17" s="71">
        <f t="shared" si="1"/>
        <v>-4.732902318000165E-2</v>
      </c>
      <c r="K17" s="283"/>
      <c r="L17" s="123"/>
      <c r="M17" s="123"/>
      <c r="N17" s="123"/>
      <c r="O17" s="123"/>
      <c r="P17" s="123"/>
      <c r="Q17" s="123"/>
    </row>
    <row r="18" spans="2:17" x14ac:dyDescent="0.35">
      <c r="B18" s="63">
        <v>7</v>
      </c>
      <c r="C18" s="69">
        <f t="shared" si="0"/>
        <v>44650</v>
      </c>
      <c r="D18" s="70">
        <v>10297.83</v>
      </c>
      <c r="E18" s="71">
        <f t="shared" si="1"/>
        <v>0.18089640897441028</v>
      </c>
      <c r="K18" s="283"/>
      <c r="L18" s="123"/>
      <c r="M18" s="123"/>
      <c r="N18" s="123"/>
      <c r="O18" s="123"/>
      <c r="P18" s="123"/>
      <c r="Q18" s="123"/>
    </row>
    <row r="19" spans="2:17" x14ac:dyDescent="0.35">
      <c r="B19" s="63">
        <v>8</v>
      </c>
      <c r="C19" s="69">
        <f t="shared" si="0"/>
        <v>45015</v>
      </c>
      <c r="D19" s="70">
        <v>14442.18</v>
      </c>
      <c r="E19" s="71">
        <f t="shared" si="1"/>
        <v>0.40244886544058311</v>
      </c>
      <c r="K19" s="283"/>
      <c r="L19" s="123"/>
      <c r="M19" s="123"/>
      <c r="N19" s="123"/>
      <c r="O19" s="123"/>
      <c r="P19" s="123"/>
      <c r="Q19" s="123"/>
    </row>
    <row r="20" spans="2:17" x14ac:dyDescent="0.35">
      <c r="B20" s="63">
        <v>9</v>
      </c>
      <c r="C20" s="69">
        <f t="shared" si="0"/>
        <v>45380</v>
      </c>
      <c r="D20" s="70">
        <v>16535.78</v>
      </c>
      <c r="E20" s="71">
        <f t="shared" si="1"/>
        <v>0.14496426439775711</v>
      </c>
      <c r="K20" s="283"/>
      <c r="L20" s="123"/>
      <c r="M20" s="123"/>
      <c r="N20" s="123"/>
      <c r="O20" s="123"/>
      <c r="P20" s="123"/>
      <c r="Q20" s="123"/>
    </row>
    <row r="21" spans="2:17" x14ac:dyDescent="0.35">
      <c r="B21" s="63">
        <v>10</v>
      </c>
      <c r="C21" s="69">
        <f t="shared" si="0"/>
        <v>45745</v>
      </c>
      <c r="D21" s="70">
        <v>18870.349999999999</v>
      </c>
      <c r="E21" s="71">
        <f t="shared" si="1"/>
        <v>0.14118293784750402</v>
      </c>
      <c r="K21" s="283"/>
      <c r="L21" s="123"/>
      <c r="M21" s="123"/>
      <c r="N21" s="123"/>
      <c r="O21" s="123"/>
      <c r="P21" s="123"/>
      <c r="Q21" s="123"/>
    </row>
    <row r="22" spans="2:17" x14ac:dyDescent="0.35">
      <c r="B22" s="98">
        <v>11</v>
      </c>
      <c r="C22" s="86">
        <f t="shared" si="0"/>
        <v>46110</v>
      </c>
      <c r="D22" s="87">
        <f>FORECAST(B22,$D$12:$D$21,$B$12:$B$21)</f>
        <v>17973.695333333333</v>
      </c>
      <c r="E22" s="88">
        <f t="shared" si="1"/>
        <v>-4.751658907580758E-2</v>
      </c>
      <c r="K22" s="283"/>
      <c r="L22" s="123"/>
      <c r="M22" s="123"/>
      <c r="N22" s="123"/>
      <c r="O22" s="123"/>
      <c r="P22" s="123"/>
      <c r="Q22" s="123"/>
    </row>
    <row r="23" spans="2:17" x14ac:dyDescent="0.35">
      <c r="B23" s="98">
        <v>12</v>
      </c>
      <c r="C23" s="86">
        <f t="shared" si="0"/>
        <v>46475</v>
      </c>
      <c r="D23" s="87">
        <f t="shared" ref="D23:D27" si="2">FORECAST(B23,$D$12:$D$21,$B$12:$B$21)</f>
        <v>19241.841575757575</v>
      </c>
      <c r="E23" s="88">
        <f t="shared" si="1"/>
        <v>7.0555676999397354E-2</v>
      </c>
      <c r="K23" s="283"/>
      <c r="L23" s="123"/>
      <c r="M23" s="123"/>
      <c r="N23" s="123"/>
      <c r="O23" s="123"/>
      <c r="P23" s="123"/>
      <c r="Q23" s="123"/>
    </row>
    <row r="24" spans="2:17" x14ac:dyDescent="0.35">
      <c r="B24" s="98">
        <v>13</v>
      </c>
      <c r="C24" s="86">
        <f t="shared" si="0"/>
        <v>46840</v>
      </c>
      <c r="D24" s="87">
        <f t="shared" si="2"/>
        <v>20509.987818181817</v>
      </c>
      <c r="E24" s="88">
        <f t="shared" si="1"/>
        <v>6.5905658636227216E-2</v>
      </c>
      <c r="K24" s="283"/>
      <c r="L24" s="123"/>
      <c r="M24" s="123"/>
      <c r="N24" s="123"/>
      <c r="O24" s="123"/>
      <c r="P24" s="123"/>
      <c r="Q24" s="123"/>
    </row>
    <row r="25" spans="2:17" x14ac:dyDescent="0.35">
      <c r="B25" s="98">
        <v>14</v>
      </c>
      <c r="C25" s="86">
        <f t="shared" si="0"/>
        <v>47205</v>
      </c>
      <c r="D25" s="87">
        <f t="shared" si="2"/>
        <v>21778.134060606062</v>
      </c>
      <c r="E25" s="88">
        <f t="shared" si="1"/>
        <v>6.1830667753983271E-2</v>
      </c>
      <c r="K25" s="283"/>
      <c r="L25" s="123"/>
      <c r="M25" s="123"/>
      <c r="N25" s="123"/>
      <c r="O25" s="123"/>
      <c r="P25" s="123"/>
      <c r="Q25" s="123"/>
    </row>
    <row r="26" spans="2:17" x14ac:dyDescent="0.35">
      <c r="B26" s="98">
        <v>15</v>
      </c>
      <c r="C26" s="86">
        <f t="shared" si="0"/>
        <v>47570</v>
      </c>
      <c r="D26" s="87">
        <f t="shared" si="2"/>
        <v>23046.280303030304</v>
      </c>
      <c r="E26" s="88">
        <f t="shared" si="1"/>
        <v>5.8230252366669122E-2</v>
      </c>
      <c r="K26" s="283"/>
      <c r="L26" s="123"/>
      <c r="M26" s="123"/>
      <c r="N26" s="123"/>
      <c r="O26" s="123"/>
      <c r="P26" s="123"/>
      <c r="Q26" s="123"/>
    </row>
    <row r="27" spans="2:17" x14ac:dyDescent="0.35">
      <c r="B27" s="259">
        <v>16</v>
      </c>
      <c r="C27" s="260">
        <f t="shared" si="0"/>
        <v>47935</v>
      </c>
      <c r="D27" s="261">
        <f t="shared" si="2"/>
        <v>24314.426545454546</v>
      </c>
      <c r="E27" s="262">
        <f t="shared" si="1"/>
        <v>5.502607040050167E-2</v>
      </c>
      <c r="K27" s="123"/>
      <c r="L27" s="123"/>
      <c r="M27" s="123"/>
      <c r="N27" s="123"/>
      <c r="O27" s="123"/>
      <c r="P27" s="123"/>
      <c r="Q27" s="123"/>
    </row>
    <row r="28" spans="2:17" x14ac:dyDescent="0.35">
      <c r="B28" s="276"/>
      <c r="C28" s="276"/>
      <c r="D28" s="276"/>
      <c r="E28" s="276"/>
      <c r="K28" s="123"/>
      <c r="L28" s="123"/>
      <c r="M28" s="123"/>
      <c r="N28" s="284"/>
      <c r="O28" s="123"/>
      <c r="P28" s="123"/>
      <c r="Q28" s="123"/>
    </row>
    <row r="29" spans="2:17" x14ac:dyDescent="0.35">
      <c r="B29" s="398" t="str">
        <f>"EBITA - "&amp;'Data Sheet'!B1</f>
        <v>EBITA - EICHER MOTORS LTD</v>
      </c>
      <c r="C29" s="398"/>
      <c r="D29" s="398"/>
      <c r="E29" s="398"/>
      <c r="K29" s="123"/>
      <c r="L29" s="123"/>
      <c r="M29" s="123"/>
      <c r="N29" s="123"/>
      <c r="O29" s="123"/>
      <c r="P29" s="123"/>
      <c r="Q29" s="123"/>
    </row>
    <row r="30" spans="2:17" x14ac:dyDescent="0.35">
      <c r="B30" s="397"/>
      <c r="C30" s="397"/>
      <c r="D30" s="397"/>
      <c r="E30" s="397"/>
      <c r="K30" s="123"/>
      <c r="L30" s="123"/>
      <c r="M30" s="123"/>
      <c r="N30" s="123"/>
      <c r="O30" s="123"/>
      <c r="P30" s="123"/>
      <c r="Q30" s="123"/>
    </row>
    <row r="31" spans="2:17" ht="15.5" x14ac:dyDescent="0.35">
      <c r="B31" s="395" t="s">
        <v>139</v>
      </c>
      <c r="C31" s="395" t="s">
        <v>75</v>
      </c>
      <c r="D31" s="396" t="s">
        <v>3</v>
      </c>
      <c r="E31" s="396" t="s">
        <v>140</v>
      </c>
      <c r="K31" s="123"/>
      <c r="L31" s="123"/>
      <c r="M31" s="123"/>
      <c r="N31" s="123"/>
      <c r="O31" s="123"/>
      <c r="P31" s="123"/>
      <c r="Q31" s="123"/>
    </row>
    <row r="32" spans="2:17" x14ac:dyDescent="0.35">
      <c r="B32" s="63">
        <v>1</v>
      </c>
      <c r="C32" s="69">
        <f>IFERROR('Data Sheet'!B16,0)</f>
        <v>42460</v>
      </c>
      <c r="D32" s="70">
        <f t="array" ref="D32:D41">TRANSPOSE('Historical IFS'!C24:M24)</f>
        <v>1627.6799999999998</v>
      </c>
      <c r="E32" s="61"/>
      <c r="K32" s="123"/>
      <c r="L32" s="123"/>
      <c r="M32" s="123"/>
      <c r="N32" s="123"/>
      <c r="O32" s="123"/>
      <c r="P32" s="123"/>
      <c r="Q32" s="123"/>
    </row>
    <row r="33" spans="2:17" x14ac:dyDescent="0.35">
      <c r="B33" s="63">
        <v>2</v>
      </c>
      <c r="C33" s="69">
        <f>C32+365</f>
        <v>42825</v>
      </c>
      <c r="D33" s="70">
        <v>2154.6999999999998</v>
      </c>
      <c r="E33" s="71">
        <f>D33/D32-1</f>
        <v>0.32378600216258735</v>
      </c>
      <c r="K33" s="123"/>
      <c r="L33" s="123"/>
      <c r="M33" s="123"/>
      <c r="N33" s="123"/>
      <c r="O33" s="123"/>
      <c r="P33" s="123"/>
      <c r="Q33" s="123"/>
    </row>
    <row r="34" spans="2:17" x14ac:dyDescent="0.35">
      <c r="B34" s="63">
        <v>3</v>
      </c>
      <c r="C34" s="69">
        <f t="shared" ref="C34:C47" si="3">C33+365</f>
        <v>43190</v>
      </c>
      <c r="D34" s="70">
        <v>2774.7599999999993</v>
      </c>
      <c r="E34" s="71">
        <f t="shared" ref="E34:E47" si="4">D34/D33-1</f>
        <v>0.28777091938552912</v>
      </c>
      <c r="K34" s="123"/>
      <c r="L34" s="123"/>
      <c r="M34" s="123"/>
      <c r="N34" s="123"/>
      <c r="O34" s="123"/>
      <c r="P34" s="123"/>
      <c r="Q34" s="123"/>
    </row>
    <row r="35" spans="2:17" x14ac:dyDescent="0.35">
      <c r="B35" s="63">
        <v>4</v>
      </c>
      <c r="C35" s="69">
        <f t="shared" si="3"/>
        <v>43555</v>
      </c>
      <c r="D35" s="70">
        <v>2694.079999999999</v>
      </c>
      <c r="E35" s="71">
        <f t="shared" si="4"/>
        <v>-2.9076388588562763E-2</v>
      </c>
      <c r="K35" s="123"/>
      <c r="L35" s="123"/>
      <c r="M35" s="123"/>
      <c r="N35" s="123"/>
      <c r="O35" s="123"/>
      <c r="P35" s="123"/>
      <c r="Q35" s="123"/>
    </row>
    <row r="36" spans="2:17" x14ac:dyDescent="0.35">
      <c r="B36" s="63">
        <v>5</v>
      </c>
      <c r="C36" s="69">
        <f t="shared" si="3"/>
        <v>43920</v>
      </c>
      <c r="D36" s="70">
        <v>2266.9800000000005</v>
      </c>
      <c r="E36" s="71">
        <f t="shared" si="4"/>
        <v>-0.15853278299085349</v>
      </c>
      <c r="K36" s="123"/>
      <c r="L36" s="123"/>
      <c r="M36" s="123"/>
      <c r="N36" s="123"/>
      <c r="O36" s="123"/>
      <c r="P36" s="123"/>
      <c r="Q36" s="123"/>
    </row>
    <row r="37" spans="2:17" x14ac:dyDescent="0.35">
      <c r="B37" s="63">
        <v>6</v>
      </c>
      <c r="C37" s="69">
        <f t="shared" si="3"/>
        <v>44285</v>
      </c>
      <c r="D37" s="70">
        <v>1577.3300000000004</v>
      </c>
      <c r="E37" s="71">
        <f t="shared" si="4"/>
        <v>-0.30421529964975424</v>
      </c>
      <c r="K37" s="123"/>
      <c r="L37" s="123"/>
      <c r="M37" s="123"/>
      <c r="N37" s="123"/>
      <c r="O37" s="123"/>
      <c r="P37" s="123"/>
      <c r="Q37" s="123"/>
    </row>
    <row r="38" spans="2:17" x14ac:dyDescent="0.35">
      <c r="B38" s="63">
        <v>7</v>
      </c>
      <c r="C38" s="69">
        <f t="shared" si="3"/>
        <v>44650</v>
      </c>
      <c r="D38" s="70">
        <v>2028.98</v>
      </c>
      <c r="E38" s="71">
        <f t="shared" si="4"/>
        <v>0.28633830587131381</v>
      </c>
      <c r="K38" s="123"/>
      <c r="L38" s="123"/>
      <c r="M38" s="123"/>
      <c r="N38" s="123"/>
      <c r="O38" s="123"/>
      <c r="P38" s="123"/>
      <c r="Q38" s="123"/>
    </row>
    <row r="39" spans="2:17" x14ac:dyDescent="0.35">
      <c r="B39" s="63">
        <v>8</v>
      </c>
      <c r="C39" s="69">
        <f t="shared" si="3"/>
        <v>45015</v>
      </c>
      <c r="D39" s="70">
        <v>3382.4700000000007</v>
      </c>
      <c r="E39" s="71">
        <f t="shared" si="4"/>
        <v>0.66707902492878235</v>
      </c>
      <c r="K39" s="123"/>
      <c r="L39" s="123"/>
      <c r="M39" s="123"/>
      <c r="N39" s="123"/>
      <c r="O39" s="123"/>
      <c r="P39" s="123"/>
      <c r="Q39" s="123"/>
    </row>
    <row r="40" spans="2:17" x14ac:dyDescent="0.35">
      <c r="B40" s="63">
        <v>9</v>
      </c>
      <c r="C40" s="69">
        <f t="shared" si="3"/>
        <v>45380</v>
      </c>
      <c r="D40" s="70">
        <v>4132.3399999999965</v>
      </c>
      <c r="E40" s="71">
        <f t="shared" si="4"/>
        <v>0.2216930231458063</v>
      </c>
      <c r="K40" s="123"/>
      <c r="L40" s="123"/>
      <c r="M40" s="123"/>
      <c r="N40" s="123"/>
      <c r="O40" s="123"/>
      <c r="P40" s="123"/>
      <c r="Q40" s="123"/>
    </row>
    <row r="41" spans="2:17" x14ac:dyDescent="0.35">
      <c r="B41" s="63">
        <v>10</v>
      </c>
      <c r="C41" s="69">
        <f t="shared" si="3"/>
        <v>45745</v>
      </c>
      <c r="D41" s="70">
        <v>4559.0599999999977</v>
      </c>
      <c r="E41" s="71">
        <f t="shared" si="4"/>
        <v>0.10326352623453094</v>
      </c>
      <c r="K41" s="123"/>
      <c r="L41" s="123"/>
      <c r="M41" s="123"/>
      <c r="N41" s="123"/>
      <c r="O41" s="123"/>
      <c r="P41" s="123"/>
      <c r="Q41" s="123"/>
    </row>
    <row r="42" spans="2:17" x14ac:dyDescent="0.35">
      <c r="B42" s="98">
        <v>11</v>
      </c>
      <c r="C42" s="86">
        <f t="shared" si="3"/>
        <v>46110</v>
      </c>
      <c r="D42" s="87">
        <f>FORECAST(B42,D32:D41,B32:B41)</f>
        <v>4072.487999999998</v>
      </c>
      <c r="E42" s="88">
        <f t="shared" si="4"/>
        <v>-0.10672638657968969</v>
      </c>
      <c r="K42" s="123"/>
      <c r="L42" s="123"/>
      <c r="M42" s="123"/>
      <c r="N42" s="123"/>
      <c r="O42" s="123"/>
      <c r="P42" s="123"/>
      <c r="Q42" s="123"/>
    </row>
    <row r="43" spans="2:17" x14ac:dyDescent="0.35">
      <c r="B43" s="98">
        <v>12</v>
      </c>
      <c r="C43" s="86">
        <f t="shared" si="3"/>
        <v>46475</v>
      </c>
      <c r="D43" s="87">
        <f t="shared" ref="D43:D47" si="5">FORECAST(B43,D33:D42,B33:B42)</f>
        <v>4322.3058666666639</v>
      </c>
      <c r="E43" s="88">
        <f t="shared" si="4"/>
        <v>6.1342812223551313E-2</v>
      </c>
      <c r="K43" s="123"/>
      <c r="L43" s="123"/>
      <c r="M43" s="123"/>
      <c r="N43" s="123"/>
      <c r="O43" s="123"/>
      <c r="P43" s="123"/>
      <c r="Q43" s="123"/>
    </row>
    <row r="44" spans="2:17" x14ac:dyDescent="0.35">
      <c r="B44" s="98">
        <v>13</v>
      </c>
      <c r="C44" s="86">
        <f t="shared" si="3"/>
        <v>46840</v>
      </c>
      <c r="D44" s="87">
        <f t="shared" si="5"/>
        <v>4649.6023466666638</v>
      </c>
      <c r="E44" s="88">
        <f t="shared" si="4"/>
        <v>7.5722655937907835E-2</v>
      </c>
      <c r="K44" s="123"/>
      <c r="L44" s="123"/>
      <c r="M44" s="123"/>
      <c r="N44" s="123"/>
      <c r="O44" s="123"/>
      <c r="P44" s="123"/>
      <c r="Q44" s="123"/>
    </row>
    <row r="45" spans="2:17" x14ac:dyDescent="0.35">
      <c r="B45" s="98">
        <v>14</v>
      </c>
      <c r="C45" s="86">
        <f t="shared" si="3"/>
        <v>47205</v>
      </c>
      <c r="D45" s="87">
        <f t="shared" si="5"/>
        <v>5128.6596942222195</v>
      </c>
      <c r="E45" s="88">
        <f t="shared" si="4"/>
        <v>0.10303189645862854</v>
      </c>
      <c r="K45" s="123"/>
      <c r="L45" s="123"/>
      <c r="M45" s="123"/>
      <c r="N45" s="123"/>
      <c r="O45" s="123"/>
      <c r="P45" s="123"/>
      <c r="Q45" s="123"/>
    </row>
    <row r="46" spans="2:17" x14ac:dyDescent="0.35">
      <c r="B46" s="98">
        <v>15</v>
      </c>
      <c r="C46" s="86">
        <f t="shared" si="3"/>
        <v>47570</v>
      </c>
      <c r="D46" s="87">
        <f t="shared" si="5"/>
        <v>5652.8358243555513</v>
      </c>
      <c r="E46" s="88">
        <f t="shared" si="4"/>
        <v>0.10220528586130428</v>
      </c>
      <c r="K46" s="123"/>
      <c r="L46" s="123"/>
      <c r="M46" s="123"/>
      <c r="N46" s="123"/>
      <c r="O46" s="123"/>
      <c r="P46" s="123"/>
      <c r="Q46" s="123"/>
    </row>
    <row r="47" spans="2:17" x14ac:dyDescent="0.35">
      <c r="B47" s="259">
        <v>16</v>
      </c>
      <c r="C47" s="260">
        <f t="shared" si="3"/>
        <v>47935</v>
      </c>
      <c r="D47" s="261">
        <f t="shared" si="5"/>
        <v>6110.4837602607367</v>
      </c>
      <c r="E47" s="262">
        <f t="shared" si="4"/>
        <v>8.0959000070970566E-2</v>
      </c>
      <c r="K47" s="123"/>
      <c r="L47" s="123"/>
      <c r="M47" s="123"/>
      <c r="N47" s="123"/>
      <c r="O47" s="123"/>
      <c r="P47" s="123"/>
      <c r="Q47" s="123"/>
    </row>
    <row r="48" spans="2:17" x14ac:dyDescent="0.35">
      <c r="B48" s="276"/>
      <c r="C48" s="276"/>
      <c r="D48" s="276"/>
      <c r="E48" s="276"/>
      <c r="K48" s="123"/>
      <c r="L48" s="123"/>
      <c r="M48" s="123"/>
      <c r="N48" s="123"/>
      <c r="O48" s="123"/>
      <c r="P48" s="123"/>
      <c r="Q48" s="123"/>
    </row>
    <row r="49" spans="2:17" x14ac:dyDescent="0.35">
      <c r="B49" s="276"/>
      <c r="C49" s="276"/>
      <c r="D49" s="276"/>
      <c r="E49" s="276"/>
      <c r="K49" s="123"/>
      <c r="L49" s="123"/>
      <c r="M49" s="123"/>
      <c r="N49" s="123"/>
      <c r="O49" s="123"/>
      <c r="P49" s="123"/>
      <c r="Q49" s="123"/>
    </row>
    <row r="50" spans="2:17" x14ac:dyDescent="0.35">
      <c r="B50" s="398" t="str">
        <f>"EPS - "&amp;'Data Sheet'!B1</f>
        <v>EPS - EICHER MOTORS LTD</v>
      </c>
      <c r="C50" s="398"/>
      <c r="D50" s="398"/>
      <c r="E50" s="398"/>
      <c r="K50" s="123"/>
      <c r="L50" s="123"/>
      <c r="M50" s="123"/>
      <c r="N50" s="123"/>
      <c r="O50" s="123"/>
      <c r="P50" s="123"/>
      <c r="Q50" s="123"/>
    </row>
    <row r="51" spans="2:17" x14ac:dyDescent="0.35">
      <c r="B51" s="159"/>
      <c r="C51" s="159"/>
      <c r="D51" s="159"/>
      <c r="E51" s="159"/>
      <c r="K51" s="123"/>
      <c r="L51" s="123"/>
      <c r="M51" s="123"/>
      <c r="N51" s="123"/>
      <c r="O51" s="123"/>
      <c r="P51" s="123"/>
      <c r="Q51" s="123"/>
    </row>
    <row r="52" spans="2:17" ht="15.5" x14ac:dyDescent="0.35">
      <c r="B52" s="140" t="s">
        <v>139</v>
      </c>
      <c r="C52" s="140" t="s">
        <v>75</v>
      </c>
      <c r="D52" s="141" t="s">
        <v>3</v>
      </c>
      <c r="E52" s="141" t="s">
        <v>140</v>
      </c>
      <c r="K52" s="123"/>
      <c r="L52" s="123"/>
      <c r="M52" s="123"/>
      <c r="N52" s="123"/>
      <c r="O52" s="123"/>
      <c r="P52" s="123"/>
      <c r="Q52" s="123"/>
    </row>
    <row r="53" spans="2:17" x14ac:dyDescent="0.35">
      <c r="B53" s="16">
        <v>1</v>
      </c>
      <c r="C53" s="164">
        <f>IFERROR('Data Sheet'!B16,0)</f>
        <v>42460</v>
      </c>
      <c r="D53" s="174">
        <f t="array" ref="D53:D62">TRANSPOSE('Historical IFS'!C44:M44)</f>
        <v>34.980026863723211</v>
      </c>
      <c r="E53" s="22"/>
      <c r="K53" s="123"/>
      <c r="L53" s="123"/>
      <c r="M53" s="123"/>
      <c r="N53" s="123"/>
      <c r="O53" s="123"/>
      <c r="P53" s="123"/>
      <c r="Q53" s="123"/>
    </row>
    <row r="54" spans="2:17" x14ac:dyDescent="0.35">
      <c r="B54" s="63">
        <v>2</v>
      </c>
      <c r="C54" s="69">
        <f>C53+365</f>
        <v>42825</v>
      </c>
      <c r="D54" s="70">
        <v>46.931555501775691</v>
      </c>
      <c r="E54" s="71">
        <f>D54/D53-1</f>
        <v>0.34166722297309238</v>
      </c>
      <c r="K54" s="123"/>
      <c r="L54" s="123"/>
      <c r="M54" s="123"/>
      <c r="N54" s="123"/>
      <c r="O54" s="123"/>
      <c r="P54" s="123"/>
      <c r="Q54" s="123"/>
    </row>
    <row r="55" spans="2:17" x14ac:dyDescent="0.35">
      <c r="B55" s="63">
        <v>3</v>
      </c>
      <c r="C55" s="69">
        <f t="shared" ref="C55:C68" si="6">C54+365</f>
        <v>43190</v>
      </c>
      <c r="D55" s="70">
        <v>59.066929429970578</v>
      </c>
      <c r="E55" s="71">
        <f t="shared" ref="E55:E68" si="7">D55/D54-1</f>
        <v>0.25857600069820275</v>
      </c>
      <c r="K55" s="123"/>
      <c r="L55" s="123"/>
      <c r="M55" s="123"/>
      <c r="N55" s="123"/>
      <c r="O55" s="123"/>
      <c r="P55" s="123"/>
      <c r="Q55" s="123"/>
    </row>
    <row r="56" spans="2:17" x14ac:dyDescent="0.35">
      <c r="B56" s="63">
        <v>4</v>
      </c>
      <c r="C56" s="69">
        <f t="shared" si="6"/>
        <v>43555</v>
      </c>
      <c r="D56" s="70">
        <v>47.998482470858889</v>
      </c>
      <c r="E56" s="71">
        <f t="shared" si="7"/>
        <v>-0.18738822325671045</v>
      </c>
      <c r="K56" s="123"/>
      <c r="L56" s="123"/>
      <c r="M56" s="123"/>
      <c r="N56" s="123"/>
      <c r="O56" s="123"/>
      <c r="P56" s="123"/>
      <c r="Q56" s="123"/>
    </row>
    <row r="57" spans="2:17" x14ac:dyDescent="0.35">
      <c r="B57" s="63">
        <v>5</v>
      </c>
      <c r="C57" s="69">
        <f t="shared" si="6"/>
        <v>43920</v>
      </c>
      <c r="D57" s="70">
        <v>49.032085513246173</v>
      </c>
      <c r="E57" s="71">
        <f t="shared" si="7"/>
        <v>2.1534077520363404E-2</v>
      </c>
      <c r="K57" s="123"/>
      <c r="L57" s="123"/>
      <c r="M57" s="123"/>
      <c r="N57" s="123"/>
      <c r="O57" s="123"/>
      <c r="P57" s="123"/>
      <c r="Q57" s="123"/>
    </row>
    <row r="58" spans="2:17" x14ac:dyDescent="0.35">
      <c r="B58" s="63">
        <v>6</v>
      </c>
      <c r="C58" s="69">
        <f t="shared" si="6"/>
        <v>44285</v>
      </c>
      <c r="D58" s="70">
        <v>24.097929983982475</v>
      </c>
      <c r="E58" s="71">
        <f t="shared" si="7"/>
        <v>-0.50852732997717709</v>
      </c>
      <c r="K58" s="123"/>
      <c r="L58" s="123"/>
      <c r="M58" s="123"/>
      <c r="N58" s="123"/>
      <c r="O58" s="123"/>
      <c r="P58" s="123"/>
      <c r="Q58" s="123"/>
    </row>
    <row r="59" spans="2:17" x14ac:dyDescent="0.35">
      <c r="B59" s="63">
        <v>7</v>
      </c>
      <c r="C59" s="69">
        <f t="shared" si="6"/>
        <v>44650</v>
      </c>
      <c r="D59" s="70">
        <v>37.758386626551321</v>
      </c>
      <c r="E59" s="71">
        <f t="shared" si="7"/>
        <v>0.56687261734301431</v>
      </c>
      <c r="K59" s="123"/>
      <c r="L59" s="123"/>
      <c r="M59" s="123"/>
      <c r="N59" s="123"/>
      <c r="O59" s="123"/>
      <c r="P59" s="123"/>
      <c r="Q59" s="123"/>
    </row>
    <row r="60" spans="2:17" x14ac:dyDescent="0.35">
      <c r="B60" s="63">
        <v>8</v>
      </c>
      <c r="C60" s="69">
        <f t="shared" si="6"/>
        <v>45015</v>
      </c>
      <c r="D60" s="70">
        <v>71.024191013331887</v>
      </c>
      <c r="E60" s="71">
        <f t="shared" si="7"/>
        <v>0.88101763234206576</v>
      </c>
      <c r="K60" s="123"/>
      <c r="L60" s="123"/>
      <c r="M60" s="123"/>
      <c r="N60" s="123"/>
      <c r="O60" s="123"/>
      <c r="P60" s="123"/>
      <c r="Q60" s="123"/>
    </row>
    <row r="61" spans="2:17" x14ac:dyDescent="0.35">
      <c r="B61" s="63">
        <v>9</v>
      </c>
      <c r="C61" s="69">
        <f t="shared" si="6"/>
        <v>45380</v>
      </c>
      <c r="D61" s="70">
        <v>83.375119913177556</v>
      </c>
      <c r="E61" s="71">
        <f t="shared" si="7"/>
        <v>0.17389749497501894</v>
      </c>
      <c r="K61" s="123"/>
      <c r="L61" s="123"/>
      <c r="M61" s="123"/>
      <c r="N61" s="123"/>
      <c r="O61" s="123"/>
      <c r="P61" s="123"/>
      <c r="Q61" s="123"/>
    </row>
    <row r="62" spans="2:17" x14ac:dyDescent="0.35">
      <c r="B62" s="63">
        <v>10</v>
      </c>
      <c r="C62" s="69">
        <f t="shared" si="6"/>
        <v>45745</v>
      </c>
      <c r="D62" s="70">
        <v>93.972227236636471</v>
      </c>
      <c r="E62" s="71">
        <f t="shared" si="7"/>
        <v>0.12710155421058689</v>
      </c>
      <c r="K62" s="123"/>
      <c r="L62" s="123"/>
      <c r="M62" s="123"/>
      <c r="N62" s="123"/>
      <c r="O62" s="123"/>
      <c r="P62" s="123"/>
      <c r="Q62" s="123"/>
    </row>
    <row r="63" spans="2:17" x14ac:dyDescent="0.35">
      <c r="B63" s="98">
        <v>11</v>
      </c>
      <c r="C63" s="86">
        <f t="shared" si="6"/>
        <v>46110</v>
      </c>
      <c r="D63" s="87">
        <f>FORECAST(B63,D53:D62,B53:B62)</f>
        <v>81.162580758347161</v>
      </c>
      <c r="E63" s="88">
        <f t="shared" si="7"/>
        <v>-0.13631310925548945</v>
      </c>
      <c r="K63" s="123"/>
      <c r="L63" s="123"/>
      <c r="M63" s="123"/>
      <c r="N63" s="123"/>
      <c r="O63" s="123"/>
      <c r="P63" s="123"/>
      <c r="Q63" s="123"/>
    </row>
    <row r="64" spans="2:17" x14ac:dyDescent="0.35">
      <c r="B64" s="98">
        <v>12</v>
      </c>
      <c r="C64" s="86">
        <f t="shared" si="6"/>
        <v>46475</v>
      </c>
      <c r="D64" s="87">
        <f t="shared" ref="D64:D68" si="8">FORECAST(B64,D54:D63,B54:B63)</f>
        <v>86.406491255128614</v>
      </c>
      <c r="E64" s="88">
        <f t="shared" si="7"/>
        <v>6.4609952613441823E-2</v>
      </c>
      <c r="K64" s="123"/>
      <c r="L64" s="123"/>
      <c r="M64" s="123"/>
      <c r="N64" s="123"/>
      <c r="O64" s="123"/>
      <c r="P64" s="123"/>
      <c r="Q64" s="123"/>
    </row>
    <row r="65" spans="2:17" x14ac:dyDescent="0.35">
      <c r="B65" s="98">
        <v>13</v>
      </c>
      <c r="C65" s="86">
        <f t="shared" si="6"/>
        <v>46840</v>
      </c>
      <c r="D65" s="87">
        <f t="shared" si="8"/>
        <v>93.856203327795043</v>
      </c>
      <c r="E65" s="88">
        <f t="shared" si="7"/>
        <v>8.6217041850131348E-2</v>
      </c>
      <c r="F65" s="239"/>
      <c r="G65" s="239"/>
      <c r="H65" s="239"/>
      <c r="I65" s="239"/>
      <c r="J65" s="239"/>
      <c r="K65" s="239"/>
      <c r="L65" s="239"/>
      <c r="M65" s="123"/>
      <c r="N65" s="123"/>
      <c r="O65" s="123"/>
      <c r="P65" s="123"/>
      <c r="Q65" s="123"/>
    </row>
    <row r="66" spans="2:17" x14ac:dyDescent="0.35">
      <c r="B66" s="98">
        <v>14</v>
      </c>
      <c r="C66" s="86">
        <f t="shared" si="6"/>
        <v>47205</v>
      </c>
      <c r="D66" s="87">
        <f t="shared" si="8"/>
        <v>104.89023756015644</v>
      </c>
      <c r="E66" s="88">
        <f t="shared" si="7"/>
        <v>0.11756318539569266</v>
      </c>
      <c r="F66" s="239"/>
      <c r="G66" s="239"/>
      <c r="H66" s="239"/>
      <c r="I66" s="239"/>
      <c r="J66" s="239"/>
      <c r="K66" s="239"/>
      <c r="L66" s="239"/>
      <c r="M66" s="123"/>
      <c r="N66" s="123"/>
      <c r="O66" s="123"/>
      <c r="P66" s="123"/>
      <c r="Q66" s="123"/>
    </row>
    <row r="67" spans="2:17" x14ac:dyDescent="0.35">
      <c r="B67" s="98">
        <v>15</v>
      </c>
      <c r="C67" s="86">
        <f t="shared" si="6"/>
        <v>47570</v>
      </c>
      <c r="D67" s="87">
        <f t="shared" si="8"/>
        <v>115.06701470317769</v>
      </c>
      <c r="E67" s="88">
        <f t="shared" si="7"/>
        <v>9.7023110822727299E-2</v>
      </c>
      <c r="F67" s="239"/>
      <c r="G67" s="239"/>
      <c r="H67" s="239"/>
      <c r="I67" s="239"/>
      <c r="J67" s="239"/>
      <c r="K67" s="239"/>
      <c r="L67" s="239"/>
      <c r="M67" s="123"/>
      <c r="N67" s="123"/>
      <c r="O67" s="123"/>
      <c r="P67" s="123"/>
      <c r="Q67" s="123"/>
    </row>
    <row r="68" spans="2:17" x14ac:dyDescent="0.35">
      <c r="B68" s="98">
        <v>16</v>
      </c>
      <c r="C68" s="86">
        <f t="shared" si="6"/>
        <v>47935</v>
      </c>
      <c r="D68" s="87">
        <f t="shared" si="8"/>
        <v>125.79734650875756</v>
      </c>
      <c r="E68" s="88">
        <f t="shared" si="7"/>
        <v>9.3252891223948087E-2</v>
      </c>
      <c r="F68" s="239"/>
      <c r="G68" s="239"/>
      <c r="H68" s="239"/>
      <c r="I68" s="239"/>
      <c r="J68" s="239"/>
      <c r="K68" s="239"/>
      <c r="L68" s="239"/>
      <c r="M68" s="123"/>
      <c r="N68" s="123"/>
      <c r="O68" s="123"/>
      <c r="P68" s="123"/>
      <c r="Q68" s="123"/>
    </row>
    <row r="69" spans="2:17" x14ac:dyDescent="0.35">
      <c r="B69" s="238"/>
      <c r="C69" s="238"/>
      <c r="D69" s="238"/>
      <c r="E69" s="238"/>
      <c r="F69" s="239"/>
      <c r="G69" s="239"/>
      <c r="H69" s="239"/>
      <c r="I69" s="239"/>
      <c r="J69" s="239"/>
      <c r="K69" s="239"/>
      <c r="L69" s="239"/>
      <c r="M69" s="123"/>
      <c r="N69" s="123"/>
      <c r="O69" s="123"/>
      <c r="P69" s="123"/>
      <c r="Q69" s="123"/>
    </row>
    <row r="70" spans="2:17" x14ac:dyDescent="0.35"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123"/>
      <c r="N70" s="123"/>
      <c r="O70" s="123"/>
      <c r="P70" s="123"/>
      <c r="Q70" s="123"/>
    </row>
    <row r="71" spans="2:17" x14ac:dyDescent="0.35">
      <c r="B71" s="239"/>
      <c r="C71" s="239"/>
      <c r="D71" s="239"/>
      <c r="E71" s="239"/>
      <c r="F71" s="238"/>
      <c r="G71" s="238"/>
      <c r="H71" s="238"/>
      <c r="I71" s="238"/>
      <c r="J71" s="238"/>
      <c r="K71" s="238"/>
      <c r="L71" s="238"/>
      <c r="M71" s="43"/>
      <c r="P71" s="123"/>
      <c r="Q71" s="123"/>
    </row>
    <row r="72" spans="2:17" x14ac:dyDescent="0.35"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123"/>
      <c r="P72" s="123"/>
      <c r="Q72" s="123"/>
    </row>
    <row r="73" spans="2:17" x14ac:dyDescent="0.35"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123"/>
      <c r="P73" s="123"/>
      <c r="Q73" s="123"/>
    </row>
    <row r="74" spans="2:17" x14ac:dyDescent="0.35"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123"/>
      <c r="P74" s="123"/>
      <c r="Q74" s="123"/>
    </row>
    <row r="75" spans="2:17" x14ac:dyDescent="0.35"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123"/>
      <c r="P75" s="123"/>
      <c r="Q75" s="123"/>
    </row>
    <row r="76" spans="2:17" x14ac:dyDescent="0.35"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23"/>
      <c r="P76" s="123"/>
      <c r="Q76" s="123"/>
    </row>
    <row r="77" spans="2:17" x14ac:dyDescent="0.35"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123"/>
      <c r="P77" s="123"/>
      <c r="Q77" s="123"/>
    </row>
    <row r="78" spans="2:17" x14ac:dyDescent="0.35"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123"/>
      <c r="P78" s="123"/>
      <c r="Q78" s="123"/>
    </row>
    <row r="79" spans="2:17" x14ac:dyDescent="0.35"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123"/>
      <c r="P79" s="123"/>
      <c r="Q79" s="123"/>
    </row>
    <row r="80" spans="2:17" x14ac:dyDescent="0.35"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123"/>
      <c r="P80" s="123"/>
      <c r="Q80" s="123"/>
    </row>
    <row r="81" spans="2:17" x14ac:dyDescent="0.35"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123"/>
      <c r="P81" s="123"/>
      <c r="Q81" s="123"/>
    </row>
    <row r="82" spans="2:17" x14ac:dyDescent="0.35"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123"/>
      <c r="P82" s="123"/>
      <c r="Q82" s="123"/>
    </row>
    <row r="83" spans="2:17" x14ac:dyDescent="0.35"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123"/>
      <c r="P83" s="123"/>
      <c r="Q83" s="123"/>
    </row>
    <row r="84" spans="2:17" x14ac:dyDescent="0.35"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123"/>
      <c r="P84" s="123"/>
      <c r="Q84" s="123"/>
    </row>
    <row r="85" spans="2:17" x14ac:dyDescent="0.35"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123"/>
      <c r="P85" s="123"/>
      <c r="Q85" s="123"/>
    </row>
    <row r="86" spans="2:17" x14ac:dyDescent="0.35"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123"/>
      <c r="P86" s="123"/>
      <c r="Q86" s="123"/>
    </row>
    <row r="87" spans="2:17" x14ac:dyDescent="0.35"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123"/>
      <c r="P87" s="123"/>
      <c r="Q87" s="123"/>
    </row>
    <row r="88" spans="2:17" x14ac:dyDescent="0.35"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123"/>
      <c r="P88" s="123"/>
      <c r="Q88" s="123"/>
    </row>
    <row r="89" spans="2:17" x14ac:dyDescent="0.35"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123"/>
      <c r="P89" s="123"/>
      <c r="Q89" s="123"/>
    </row>
    <row r="90" spans="2:17" x14ac:dyDescent="0.35"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123"/>
      <c r="P90" s="123"/>
      <c r="Q90" s="123"/>
    </row>
    <row r="91" spans="2:17" x14ac:dyDescent="0.35"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123"/>
      <c r="P91" s="123"/>
      <c r="Q91" s="123"/>
    </row>
    <row r="92" spans="2:17" x14ac:dyDescent="0.35"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123"/>
      <c r="P92" s="123"/>
      <c r="Q92" s="123"/>
    </row>
    <row r="93" spans="2:17" x14ac:dyDescent="0.35"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123"/>
      <c r="P93" s="123"/>
      <c r="Q93" s="123"/>
    </row>
    <row r="94" spans="2:17" x14ac:dyDescent="0.35"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123"/>
      <c r="P94" s="123"/>
      <c r="Q94" s="123"/>
    </row>
    <row r="95" spans="2:17" x14ac:dyDescent="0.35"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123"/>
      <c r="P95" s="123"/>
      <c r="Q95" s="123"/>
    </row>
    <row r="96" spans="2:17" x14ac:dyDescent="0.35"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123"/>
      <c r="P96" s="123"/>
      <c r="Q96" s="123"/>
    </row>
    <row r="97" spans="2:17" x14ac:dyDescent="0.35"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123"/>
      <c r="P97" s="123"/>
      <c r="Q97" s="123"/>
    </row>
    <row r="98" spans="2:17" x14ac:dyDescent="0.35"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123"/>
      <c r="P98" s="123"/>
      <c r="Q98" s="123"/>
    </row>
    <row r="99" spans="2:17" x14ac:dyDescent="0.35"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123"/>
      <c r="P99" s="123"/>
      <c r="Q99" s="123"/>
    </row>
    <row r="100" spans="2:17" x14ac:dyDescent="0.35"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123"/>
      <c r="P100" s="123"/>
      <c r="Q100" s="123"/>
    </row>
    <row r="101" spans="2:17" x14ac:dyDescent="0.35"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123"/>
      <c r="P101" s="123"/>
      <c r="Q101" s="123"/>
    </row>
    <row r="102" spans="2:17" x14ac:dyDescent="0.35"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123"/>
      <c r="P102" s="123"/>
      <c r="Q102" s="123"/>
    </row>
    <row r="103" spans="2:17" x14ac:dyDescent="0.35"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123"/>
      <c r="P103" s="123"/>
      <c r="Q103" s="123"/>
    </row>
    <row r="104" spans="2:17" x14ac:dyDescent="0.35"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123"/>
    </row>
    <row r="105" spans="2:17" x14ac:dyDescent="0.35"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123"/>
    </row>
    <row r="106" spans="2:17" x14ac:dyDescent="0.35"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123"/>
    </row>
    <row r="107" spans="2:17" x14ac:dyDescent="0.35"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123"/>
    </row>
    <row r="108" spans="2:17" x14ac:dyDescent="0.35">
      <c r="B108" s="123"/>
      <c r="C108" s="123"/>
      <c r="D108" s="123"/>
      <c r="E108" s="123"/>
      <c r="K108" s="123"/>
      <c r="L108" s="123"/>
      <c r="M108" s="123"/>
    </row>
    <row r="109" spans="2:17" x14ac:dyDescent="0.35">
      <c r="F109" s="43"/>
      <c r="G109" s="43"/>
      <c r="H109" s="43"/>
      <c r="I109" s="43"/>
      <c r="J109" s="43"/>
    </row>
  </sheetData>
  <mergeCells count="5">
    <mergeCell ref="B9:E9"/>
    <mergeCell ref="B29:E29"/>
    <mergeCell ref="B50:E50"/>
    <mergeCell ref="B2:C7"/>
    <mergeCell ref="D2:O8"/>
  </mergeCells>
  <pageMargins left="0.31496062992125984" right="0.31496062992125984" top="0.74803149606299213" bottom="0.74803149606299213" header="0.31496062992125984" footer="0.31496062992125984"/>
  <pageSetup paperSize="9" scale="70" orientation="portrait" r:id="rId1"/>
  <headerFooter>
    <oddHeader xml:space="preserve">&amp;R </oddHeader>
    <oddFooter>&amp;RBy Nikhil Kulkarni MBA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7E0B-05BC-4B90-8498-F1FBDE6DEF45}">
  <sheetPr>
    <tabColor rgb="FF002060"/>
  </sheetPr>
  <dimension ref="A1:Q108"/>
  <sheetViews>
    <sheetView showGridLines="0" tabSelected="1" view="pageBreakPreview" topLeftCell="A7" zoomScale="55" zoomScaleNormal="55" zoomScaleSheetLayoutView="55" workbookViewId="0">
      <selection activeCell="G72" sqref="G72"/>
    </sheetView>
  </sheetViews>
  <sheetFormatPr defaultRowHeight="14.5" x14ac:dyDescent="0.35"/>
  <cols>
    <col min="1" max="1" width="2.1796875" customWidth="1"/>
    <col min="2" max="2" width="23.54296875" customWidth="1"/>
    <col min="3" max="5" width="9.54296875" bestFit="1" customWidth="1"/>
    <col min="6" max="10" width="9.54296875" style="123" bestFit="1" customWidth="1"/>
    <col min="11" max="12" width="9.54296875" bestFit="1" customWidth="1"/>
  </cols>
  <sheetData>
    <row r="1" spans="2:16" x14ac:dyDescent="0.35">
      <c r="F1"/>
      <c r="G1"/>
      <c r="H1"/>
      <c r="I1"/>
      <c r="J1"/>
    </row>
    <row r="2" spans="2:16" x14ac:dyDescent="0.35">
      <c r="B2" s="217"/>
      <c r="C2" s="217"/>
      <c r="D2" s="210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E2" s="210"/>
      <c r="F2" s="210"/>
      <c r="G2" s="210"/>
      <c r="H2" s="210"/>
      <c r="I2" s="210"/>
      <c r="J2" s="210"/>
      <c r="K2" s="210"/>
      <c r="L2" s="210"/>
    </row>
    <row r="3" spans="2:16" x14ac:dyDescent="0.35">
      <c r="B3" s="217"/>
      <c r="C3" s="217"/>
      <c r="D3" s="210"/>
      <c r="E3" s="210"/>
      <c r="F3" s="210"/>
      <c r="G3" s="210"/>
      <c r="H3" s="210"/>
      <c r="I3" s="210"/>
      <c r="J3" s="210"/>
      <c r="K3" s="210"/>
      <c r="L3" s="210"/>
      <c r="M3" s="123"/>
      <c r="N3" s="123"/>
      <c r="O3" s="123"/>
      <c r="P3" s="123"/>
    </row>
    <row r="4" spans="2:16" x14ac:dyDescent="0.35">
      <c r="B4" s="217"/>
      <c r="C4" s="217"/>
      <c r="D4" s="210"/>
      <c r="E4" s="210"/>
      <c r="F4" s="210"/>
      <c r="G4" s="210"/>
      <c r="H4" s="210"/>
      <c r="I4" s="210"/>
      <c r="J4" s="210"/>
      <c r="K4" s="210"/>
      <c r="L4" s="210"/>
      <c r="M4" s="123"/>
      <c r="N4" s="123"/>
      <c r="O4" s="123"/>
      <c r="P4" s="123"/>
    </row>
    <row r="5" spans="2:16" x14ac:dyDescent="0.35">
      <c r="B5" s="217"/>
      <c r="C5" s="217"/>
      <c r="D5" s="210"/>
      <c r="E5" s="210"/>
      <c r="F5" s="210"/>
      <c r="G5" s="210"/>
      <c r="H5" s="210"/>
      <c r="I5" s="210"/>
      <c r="J5" s="210"/>
      <c r="K5" s="210"/>
      <c r="L5" s="210"/>
      <c r="M5" s="123"/>
      <c r="N5" s="123"/>
      <c r="O5" s="123"/>
      <c r="P5" s="123"/>
    </row>
    <row r="6" spans="2:16" x14ac:dyDescent="0.35">
      <c r="B6" s="217"/>
      <c r="C6" s="217"/>
      <c r="D6" s="210"/>
      <c r="E6" s="210"/>
      <c r="F6" s="210"/>
      <c r="G6" s="210"/>
      <c r="H6" s="210"/>
      <c r="I6" s="210"/>
      <c r="J6" s="210"/>
      <c r="K6" s="210"/>
      <c r="L6" s="210"/>
      <c r="M6" s="123"/>
      <c r="N6" s="123"/>
      <c r="O6" s="123"/>
      <c r="P6" s="123"/>
    </row>
    <row r="7" spans="2:16" x14ac:dyDescent="0.35">
      <c r="B7" s="217"/>
      <c r="C7" s="217"/>
      <c r="D7" s="210"/>
      <c r="E7" s="210"/>
      <c r="F7" s="210"/>
      <c r="G7" s="210"/>
      <c r="H7" s="210"/>
      <c r="I7" s="221"/>
      <c r="J7" s="221"/>
      <c r="K7" s="221"/>
      <c r="L7" s="221"/>
      <c r="M7" s="123"/>
      <c r="N7" s="123"/>
      <c r="O7" s="123"/>
      <c r="P7" s="123"/>
    </row>
    <row r="8" spans="2:16" x14ac:dyDescent="0.35">
      <c r="F8"/>
      <c r="G8"/>
      <c r="H8"/>
      <c r="K8" s="123"/>
      <c r="L8" s="123"/>
      <c r="M8" s="123"/>
      <c r="N8" s="123"/>
      <c r="O8" s="123"/>
      <c r="P8" s="123"/>
    </row>
    <row r="9" spans="2:16" ht="15.5" x14ac:dyDescent="0.35">
      <c r="B9" s="222" t="str">
        <f>"Common size Income statement - "&amp;'Data Sheet'!B1</f>
        <v>Common size Income statement - EICHER MOTORS LTD</v>
      </c>
      <c r="C9" s="222"/>
      <c r="D9" s="222"/>
      <c r="E9" s="222"/>
      <c r="F9" s="222"/>
      <c r="G9" s="222"/>
      <c r="H9" s="222"/>
      <c r="I9" s="223"/>
      <c r="J9" s="223"/>
      <c r="K9" s="223"/>
      <c r="L9" s="223"/>
      <c r="M9" s="123"/>
      <c r="N9" s="123"/>
      <c r="O9" s="123"/>
      <c r="P9" s="123"/>
    </row>
    <row r="10" spans="2:16" s="381" customFormat="1" ht="6" customHeight="1" x14ac:dyDescent="0.35">
      <c r="B10" s="382"/>
      <c r="C10" s="382"/>
      <c r="D10" s="382"/>
      <c r="E10" s="382"/>
      <c r="F10" s="382"/>
      <c r="G10" s="382"/>
      <c r="H10" s="382"/>
      <c r="I10" s="383"/>
      <c r="J10" s="383"/>
      <c r="K10" s="383"/>
      <c r="L10" s="383"/>
      <c r="M10" s="384"/>
      <c r="N10" s="384"/>
      <c r="O10" s="384"/>
      <c r="P10" s="384"/>
    </row>
    <row r="11" spans="2:16" x14ac:dyDescent="0.35">
      <c r="B11" s="378" t="s">
        <v>220</v>
      </c>
      <c r="C11" s="379">
        <f>IFERROR('Data Sheet'!B16,0)</f>
        <v>42460</v>
      </c>
      <c r="D11" s="379">
        <f>IFERROR('Data Sheet'!C16,0)</f>
        <v>42825</v>
      </c>
      <c r="E11" s="379">
        <f>IFERROR('Data Sheet'!D16,0)</f>
        <v>43190</v>
      </c>
      <c r="F11" s="379">
        <f>IFERROR('Data Sheet'!E16,0)</f>
        <v>43555</v>
      </c>
      <c r="G11" s="379">
        <f>IFERROR('Data Sheet'!F16,0)</f>
        <v>43921</v>
      </c>
      <c r="H11" s="379">
        <f>IFERROR('Data Sheet'!G16,0)</f>
        <v>44286</v>
      </c>
      <c r="I11" s="379">
        <f>IFERROR('Data Sheet'!H16,0)</f>
        <v>44651</v>
      </c>
      <c r="J11" s="379">
        <f>IFERROR('Data Sheet'!I16,0)</f>
        <v>45016</v>
      </c>
      <c r="K11" s="379">
        <f>IFERROR('Data Sheet'!J16,0)</f>
        <v>45382</v>
      </c>
      <c r="L11" s="379">
        <f>IFERROR('Data Sheet'!K16,0)</f>
        <v>45747</v>
      </c>
      <c r="M11" s="123"/>
      <c r="N11" s="123"/>
      <c r="O11" s="123"/>
      <c r="P11" s="123"/>
    </row>
    <row r="12" spans="2:16" x14ac:dyDescent="0.35">
      <c r="B12" t="str">
        <f>IFERROR('Data Sheet'!A17,0)</f>
        <v>Sales</v>
      </c>
      <c r="C12" s="5">
        <f>'Data Sheet'!B17/'Data Sheet'!B$17</f>
        <v>1</v>
      </c>
      <c r="D12" s="5">
        <f>'Data Sheet'!C17/'Data Sheet'!C$17</f>
        <v>1</v>
      </c>
      <c r="E12" s="5">
        <f>'Data Sheet'!D17/'Data Sheet'!D$17</f>
        <v>1</v>
      </c>
      <c r="F12" s="5">
        <f>'Data Sheet'!E17/'Data Sheet'!E$17</f>
        <v>1</v>
      </c>
      <c r="G12" s="5">
        <f>'Data Sheet'!F17/'Data Sheet'!F$17</f>
        <v>1</v>
      </c>
      <c r="H12" s="5">
        <f>'Data Sheet'!G17/'Data Sheet'!G$17</f>
        <v>1</v>
      </c>
      <c r="I12" s="5">
        <f>'Data Sheet'!H17/'Data Sheet'!H$17</f>
        <v>1</v>
      </c>
      <c r="J12" s="5">
        <f>'Data Sheet'!I17/'Data Sheet'!I$17</f>
        <v>1</v>
      </c>
      <c r="K12" s="5">
        <f>'Data Sheet'!J17/'Data Sheet'!J$17</f>
        <v>1</v>
      </c>
      <c r="L12" s="5">
        <f>'Data Sheet'!K17/'Data Sheet'!K$17</f>
        <v>1</v>
      </c>
      <c r="M12" s="123"/>
      <c r="N12" s="123"/>
      <c r="O12" s="123"/>
      <c r="P12" s="123"/>
    </row>
    <row r="13" spans="2:16" x14ac:dyDescent="0.35">
      <c r="B13" s="59" t="str">
        <f>IFERROR('Data Sheet'!A18,0)</f>
        <v>Raw Material Cost</v>
      </c>
      <c r="C13" s="60">
        <f>'Data Sheet'!B18/'Data Sheet'!B$17</f>
        <v>0.56657530785005494</v>
      </c>
      <c r="D13" s="60">
        <f>'Data Sheet'!C18/'Data Sheet'!C$17</f>
        <v>0.52972121432714947</v>
      </c>
      <c r="E13" s="60">
        <f>'Data Sheet'!D18/'Data Sheet'!D$17</f>
        <v>0.52192870910745837</v>
      </c>
      <c r="F13" s="60">
        <f>'Data Sheet'!E18/'Data Sheet'!E$17</f>
        <v>0.53787973126631872</v>
      </c>
      <c r="G13" s="60">
        <f>'Data Sheet'!F18/'Data Sheet'!F$17</f>
        <v>0.53690250153491859</v>
      </c>
      <c r="H13" s="60">
        <f>'Data Sheet'!G18/'Data Sheet'!G$17</f>
        <v>0.61005005533034795</v>
      </c>
      <c r="I13" s="60">
        <f>'Data Sheet'!H18/'Data Sheet'!H$17</f>
        <v>0.5930647524769781</v>
      </c>
      <c r="J13" s="60">
        <f>'Data Sheet'!I18/'Data Sheet'!I$17</f>
        <v>0.57339265955693675</v>
      </c>
      <c r="K13" s="60">
        <f>'Data Sheet'!J18/'Data Sheet'!J$17</f>
        <v>0.5556042714646664</v>
      </c>
      <c r="L13" s="60">
        <f>'Data Sheet'!K18/'Data Sheet'!K$17</f>
        <v>0.55484344487516135</v>
      </c>
      <c r="M13" s="123"/>
      <c r="N13" s="123"/>
      <c r="O13" s="123"/>
      <c r="P13" s="123"/>
    </row>
    <row r="14" spans="2:16" x14ac:dyDescent="0.35">
      <c r="B14" s="59" t="str">
        <f>IFERROR('Data Sheet'!A19,0)</f>
        <v>Change in Inventory</v>
      </c>
      <c r="C14" s="60">
        <f>'Data Sheet'!B19/'Data Sheet'!B$17</f>
        <v>1.0051089664466927E-2</v>
      </c>
      <c r="D14" s="60">
        <f>'Data Sheet'!C19/'Data Sheet'!C$17</f>
        <v>2.7881410876167295E-3</v>
      </c>
      <c r="E14" s="60">
        <f>'Data Sheet'!D19/'Data Sheet'!D$17</f>
        <v>3.7780425121807571E-3</v>
      </c>
      <c r="F14" s="60">
        <f>'Data Sheet'!E19/'Data Sheet'!E$17</f>
        <v>2.1451333359191433E-2</v>
      </c>
      <c r="G14" s="60">
        <f>'Data Sheet'!F19/'Data Sheet'!F$17</f>
        <v>-9.186569626310143E-3</v>
      </c>
      <c r="H14" s="60">
        <f>'Data Sheet'!G19/'Data Sheet'!G$17</f>
        <v>2.3611437614315937E-2</v>
      </c>
      <c r="I14" s="60">
        <f>'Data Sheet'!H19/'Data Sheet'!H$17</f>
        <v>1.4429253541765595E-2</v>
      </c>
      <c r="J14" s="60">
        <f>'Data Sheet'!I19/'Data Sheet'!I$17</f>
        <v>4.3795327298233365E-3</v>
      </c>
      <c r="K14" s="60">
        <f>'Data Sheet'!J19/'Data Sheet'!J$17</f>
        <v>1.1915373813633225E-2</v>
      </c>
      <c r="L14" s="60">
        <f>'Data Sheet'!K19/'Data Sheet'!K$17</f>
        <v>8.664916125032127E-3</v>
      </c>
      <c r="M14" s="123"/>
      <c r="N14" s="123"/>
      <c r="O14" s="123"/>
      <c r="P14" s="123"/>
    </row>
    <row r="15" spans="2:16" x14ac:dyDescent="0.35">
      <c r="B15" s="59" t="str">
        <f>IFERROR('Data Sheet'!A20,0)</f>
        <v>Power and Fuel</v>
      </c>
      <c r="C15" s="60">
        <f>'Data Sheet'!B20/'Data Sheet'!B$17</f>
        <v>7.4804080693808657E-3</v>
      </c>
      <c r="D15" s="60">
        <f>'Data Sheet'!C20/'Data Sheet'!C$17</f>
        <v>6.5431031541112652E-3</v>
      </c>
      <c r="E15" s="60">
        <f>'Data Sheet'!D20/'Data Sheet'!D$17</f>
        <v>5.8460941264657064E-3</v>
      </c>
      <c r="F15" s="60">
        <f>'Data Sheet'!E20/'Data Sheet'!E$17</f>
        <v>6.834703472266169E-3</v>
      </c>
      <c r="G15" s="60">
        <f>'Data Sheet'!F20/'Data Sheet'!F$17</f>
        <v>6.8672584933982114E-3</v>
      </c>
      <c r="H15" s="60">
        <f>'Data Sheet'!G20/'Data Sheet'!G$17</f>
        <v>6.075444219555407E-3</v>
      </c>
      <c r="I15" s="60">
        <f>'Data Sheet'!H20/'Data Sheet'!H$17</f>
        <v>5.4166751636024286E-3</v>
      </c>
      <c r="J15" s="60">
        <f>'Data Sheet'!I20/'Data Sheet'!I$17</f>
        <v>5.0525613169202987E-3</v>
      </c>
      <c r="K15" s="60">
        <f>'Data Sheet'!J20/'Data Sheet'!J$17</f>
        <v>4.874883434588511E-3</v>
      </c>
      <c r="L15" s="60">
        <f>'Data Sheet'!K20/'Data Sheet'!K$17</f>
        <v>4.7444800970835206E-3</v>
      </c>
      <c r="M15" s="123"/>
      <c r="N15" s="123"/>
      <c r="O15" s="123"/>
      <c r="P15" s="123"/>
    </row>
    <row r="16" spans="2:16" x14ac:dyDescent="0.35">
      <c r="B16" s="59" t="str">
        <f>IFERROR('Data Sheet'!A21,0)</f>
        <v>Other Mfr. Exp</v>
      </c>
      <c r="C16" s="60">
        <f>'Data Sheet'!B21/'Data Sheet'!B$17</f>
        <v>2.814629073485533E-2</v>
      </c>
      <c r="D16" s="60">
        <f>'Data Sheet'!C21/'Data Sheet'!C$17</f>
        <v>2.4609859299111664E-2</v>
      </c>
      <c r="E16" s="60">
        <f>'Data Sheet'!D21/'Data Sheet'!D$17</f>
        <v>2.3509307347718229E-2</v>
      </c>
      <c r="F16" s="60">
        <f>'Data Sheet'!E21/'Data Sheet'!E$17</f>
        <v>2.6894803134817999E-2</v>
      </c>
      <c r="G16" s="60">
        <f>'Data Sheet'!F21/'Data Sheet'!F$17</f>
        <v>2.8030562905442459E-2</v>
      </c>
      <c r="H16" s="60">
        <f>'Data Sheet'!G21/'Data Sheet'!G$17</f>
        <v>2.8766047234342656E-2</v>
      </c>
      <c r="I16" s="60">
        <f>'Data Sheet'!H21/'Data Sheet'!H$17</f>
        <v>3.2279616190983927E-2</v>
      </c>
      <c r="J16" s="60">
        <f>'Data Sheet'!I21/'Data Sheet'!I$17</f>
        <v>2.7503465543290553E-2</v>
      </c>
      <c r="K16" s="60">
        <f>'Data Sheet'!J21/'Data Sheet'!J$17</f>
        <v>2.3848890103762874E-2</v>
      </c>
      <c r="L16" s="60">
        <f>'Data Sheet'!K21/'Data Sheet'!K$17</f>
        <v>2.4046718794298993E-2</v>
      </c>
      <c r="M16" s="123"/>
      <c r="N16" s="123"/>
      <c r="O16" s="123"/>
      <c r="P16" s="123"/>
    </row>
    <row r="17" spans="2:16" x14ac:dyDescent="0.35">
      <c r="B17" s="59" t="str">
        <f>IFERROR('Data Sheet'!A22,0)</f>
        <v>Employee Cost</v>
      </c>
      <c r="C17" s="60">
        <f>'Data Sheet'!B22/'Data Sheet'!B$17</f>
        <v>5.6728317669507859E-2</v>
      </c>
      <c r="D17" s="60">
        <f>'Data Sheet'!C22/'Data Sheet'!C$17</f>
        <v>6.0608301011180997E-2</v>
      </c>
      <c r="E17" s="60">
        <f>'Data Sheet'!D22/'Data Sheet'!D$17</f>
        <v>6.3991361924648854E-2</v>
      </c>
      <c r="F17" s="60">
        <f>'Data Sheet'!E22/'Data Sheet'!E$17</f>
        <v>7.1699060738629763E-2</v>
      </c>
      <c r="G17" s="60">
        <f>'Data Sheet'!F22/'Data Sheet'!F$17</f>
        <v>8.6936477312701696E-2</v>
      </c>
      <c r="H17" s="60">
        <f>'Data Sheet'!G22/'Data Sheet'!G$17</f>
        <v>9.6696806894218695E-2</v>
      </c>
      <c r="I17" s="60">
        <f>'Data Sheet'!H22/'Data Sheet'!H$17</f>
        <v>7.9727476565451164E-2</v>
      </c>
      <c r="J17" s="60">
        <f>'Data Sheet'!I22/'Data Sheet'!I$17</f>
        <v>6.9375260521610999E-2</v>
      </c>
      <c r="K17" s="60">
        <f>'Data Sheet'!J22/'Data Sheet'!J$17</f>
        <v>7.4728255939544436E-2</v>
      </c>
      <c r="L17" s="60">
        <f>'Data Sheet'!K22/'Data Sheet'!K$17</f>
        <v>7.3725712559650464E-2</v>
      </c>
      <c r="M17" s="123"/>
      <c r="N17" s="123"/>
      <c r="O17" s="123"/>
      <c r="P17" s="380"/>
    </row>
    <row r="18" spans="2:16" x14ac:dyDescent="0.35">
      <c r="B18" s="59" t="str">
        <f>IFERROR('Data Sheet'!A23,0)</f>
        <v>Selling and admin</v>
      </c>
      <c r="C18" s="60">
        <f>'Data Sheet'!B23/'Data Sheet'!B$17</f>
        <v>6.4372329293459415E-2</v>
      </c>
      <c r="D18" s="60">
        <f>'Data Sheet'!C23/'Data Sheet'!C$17</f>
        <v>5.8613521844466943E-2</v>
      </c>
      <c r="E18" s="60">
        <f>'Data Sheet'!D23/'Data Sheet'!D$17</f>
        <v>6.3096767860648578E-2</v>
      </c>
      <c r="F18" s="60">
        <f>'Data Sheet'!E23/'Data Sheet'!E$17</f>
        <v>6.6838418872600558E-2</v>
      </c>
      <c r="G18" s="60">
        <f>'Data Sheet'!F23/'Data Sheet'!F$17</f>
        <v>7.2885144391593229E-2</v>
      </c>
      <c r="H18" s="60">
        <f>'Data Sheet'!G23/'Data Sheet'!G$17</f>
        <v>5.9919613318272773E-2</v>
      </c>
      <c r="I18" s="60">
        <f>'Data Sheet'!H23/'Data Sheet'!H$17</f>
        <v>7.9192412382026123E-2</v>
      </c>
      <c r="J18" s="60">
        <f>'Data Sheet'!I23/'Data Sheet'!I$17</f>
        <v>8.0637410695615197E-2</v>
      </c>
      <c r="K18" s="60">
        <f>'Data Sheet'!J23/'Data Sheet'!J$17</f>
        <v>7.8195283198010626E-2</v>
      </c>
      <c r="L18" s="60">
        <f>'Data Sheet'!K23/'Data Sheet'!K$17</f>
        <v>8.8479016022490323E-2</v>
      </c>
      <c r="M18" s="123"/>
      <c r="N18" s="123"/>
      <c r="O18" s="123"/>
      <c r="P18" s="123"/>
    </row>
    <row r="19" spans="2:16" x14ac:dyDescent="0.35">
      <c r="B19" s="59" t="str">
        <f>IFERROR('Data Sheet'!A24,0)</f>
        <v>Other Expenses</v>
      </c>
      <c r="C19" s="60">
        <f>'Data Sheet'!B24/'Data Sheet'!B$17</f>
        <v>1.3039689250436547E-2</v>
      </c>
      <c r="D19" s="60">
        <f>'Data Sheet'!C24/'Data Sheet'!C$17</f>
        <v>1.3549711659861005E-2</v>
      </c>
      <c r="E19" s="60">
        <f>'Data Sheet'!D24/'Data Sheet'!D$17</f>
        <v>1.2116060752083669E-2</v>
      </c>
      <c r="F19" s="60">
        <f>'Data Sheet'!E24/'Data Sheet'!E$17</f>
        <v>1.4864663480676856E-2</v>
      </c>
      <c r="G19" s="60">
        <f>'Data Sheet'!F24/'Data Sheet'!F$17</f>
        <v>2.0717577166529378E-2</v>
      </c>
      <c r="H19" s="60">
        <f>'Data Sheet'!G24/'Data Sheet'!G$17</f>
        <v>1.7612825173301531E-2</v>
      </c>
      <c r="I19" s="60">
        <f>'Data Sheet'!H24/'Data Sheet'!H$17</f>
        <v>1.328920753207229E-2</v>
      </c>
      <c r="J19" s="60">
        <f>'Data Sheet'!I24/'Data Sheet'!I$17</f>
        <v>9.8309258020603529E-3</v>
      </c>
      <c r="K19" s="60">
        <f>'Data Sheet'!J24/'Data Sheet'!J$17</f>
        <v>1.2845478108683112E-2</v>
      </c>
      <c r="L19" s="60">
        <f>'Data Sheet'!K24/'Data Sheet'!K$17</f>
        <v>1.2561505218504162E-2</v>
      </c>
      <c r="M19" s="123"/>
      <c r="N19" s="123"/>
      <c r="O19" s="123"/>
      <c r="P19" s="123"/>
    </row>
    <row r="20" spans="2:16" x14ac:dyDescent="0.35">
      <c r="B20" s="59" t="str">
        <f>IFERROR('Data Sheet'!A25,0)</f>
        <v>Other Income</v>
      </c>
      <c r="C20" s="60">
        <f>'Data Sheet'!B25/'Data Sheet'!B$17</f>
        <v>5.2792113336767393E-2</v>
      </c>
      <c r="D20" s="60">
        <f>'Data Sheet'!C25/'Data Sheet'!C$17</f>
        <v>5.9209254182922534E-2</v>
      </c>
      <c r="E20" s="60">
        <f>'Data Sheet'!D25/'Data Sheet'!D$17</f>
        <v>5.9750406025236034E-2</v>
      </c>
      <c r="F20" s="60">
        <f>'Data Sheet'!E25/'Data Sheet'!E$17</f>
        <v>7.151737357942077E-2</v>
      </c>
      <c r="G20" s="60">
        <f>'Data Sheet'!F25/'Data Sheet'!F$17</f>
        <v>6.2535095558240592E-2</v>
      </c>
      <c r="H20" s="60">
        <f>'Data Sheet'!G25/'Data Sheet'!G$17</f>
        <v>5.5312000091739429E-2</v>
      </c>
      <c r="I20" s="60">
        <f>'Data Sheet'!H25/'Data Sheet'!H$17</f>
        <v>4.8131499548934094E-2</v>
      </c>
      <c r="J20" s="60">
        <f>'Data Sheet'!I25/'Data Sheet'!I$17</f>
        <v>6.2881088589118811E-2</v>
      </c>
      <c r="K20" s="60">
        <f>'Data Sheet'!J25/'Data Sheet'!J$17</f>
        <v>9.1990217576673139E-2</v>
      </c>
      <c r="L20" s="60">
        <f>'Data Sheet'!K25/'Data Sheet'!K$17</f>
        <v>0.1056774251669948</v>
      </c>
      <c r="M20" s="123"/>
      <c r="N20" s="123"/>
      <c r="O20" s="123"/>
      <c r="P20" s="123"/>
    </row>
    <row r="21" spans="2:16" x14ac:dyDescent="0.35">
      <c r="B21" s="59" t="str">
        <f>IFERROR('Data Sheet'!A26,0)</f>
        <v>Depreciation</v>
      </c>
      <c r="C21" s="60">
        <f>'Data Sheet'!B26/'Data Sheet'!B$17</f>
        <v>2.2126975796392945E-2</v>
      </c>
      <c r="D21" s="60">
        <f>'Data Sheet'!C26/'Data Sheet'!C$17</f>
        <v>2.186863746488165E-2</v>
      </c>
      <c r="E21" s="60">
        <f>'Data Sheet'!D26/'Data Sheet'!D$17</f>
        <v>2.4908086594920671E-2</v>
      </c>
      <c r="F21" s="60">
        <f>'Data Sheet'!E26/'Data Sheet'!E$17</f>
        <v>3.0650011329929588E-2</v>
      </c>
      <c r="G21" s="60">
        <f>'Data Sheet'!F26/'Data Sheet'!F$17</f>
        <v>4.1682052268074352E-2</v>
      </c>
      <c r="H21" s="60">
        <f>'Data Sheet'!G26/'Data Sheet'!G$17</f>
        <v>5.1687145584752903E-2</v>
      </c>
      <c r="I21" s="60">
        <f>'Data Sheet'!H26/'Data Sheet'!H$17</f>
        <v>4.3885944902955283E-2</v>
      </c>
      <c r="J21" s="60">
        <f>'Data Sheet'!I26/'Data Sheet'!I$17</f>
        <v>3.643563506340456E-2</v>
      </c>
      <c r="K21" s="60">
        <f>'Data Sheet'!J26/'Data Sheet'!J$17</f>
        <v>3.6139813180872025E-2</v>
      </c>
      <c r="L21" s="60">
        <f>'Data Sheet'!K26/'Data Sheet'!K$17</f>
        <v>3.8649521603997809E-2</v>
      </c>
      <c r="M21" s="123"/>
      <c r="N21" s="123"/>
      <c r="O21" s="123"/>
      <c r="P21" s="123"/>
    </row>
    <row r="22" spans="2:16" x14ac:dyDescent="0.35">
      <c r="B22" s="59" t="str">
        <f>IFERROR('Data Sheet'!A27,0)</f>
        <v>Interest</v>
      </c>
      <c r="C22" s="60">
        <f>'Data Sheet'!B27/'Data Sheet'!B$17</f>
        <v>3.4340548088106183E-4</v>
      </c>
      <c r="D22" s="60">
        <f>'Data Sheet'!C27/'Data Sheet'!C$17</f>
        <v>5.061592183536745E-4</v>
      </c>
      <c r="E22" s="60">
        <f>'Data Sheet'!D27/'Data Sheet'!D$17</f>
        <v>5.9565240670343212E-4</v>
      </c>
      <c r="F22" s="60">
        <f>'Data Sheet'!E27/'Data Sheet'!E$17</f>
        <v>7.48183638765099E-4</v>
      </c>
      <c r="G22" s="60">
        <f>'Data Sheet'!F27/'Data Sheet'!F$17</f>
        <v>2.0625809792452787E-3</v>
      </c>
      <c r="H22" s="60">
        <f>'Data Sheet'!G27/'Data Sheet'!G$17</f>
        <v>1.8863921746260183E-3</v>
      </c>
      <c r="I22" s="60">
        <f>'Data Sheet'!H27/'Data Sheet'!H$17</f>
        <v>1.8236851841601581E-3</v>
      </c>
      <c r="J22" s="60">
        <f>'Data Sheet'!I27/'Data Sheet'!I$17</f>
        <v>1.9401503097177849E-3</v>
      </c>
      <c r="K22" s="60">
        <f>'Data Sheet'!J27/'Data Sheet'!J$17</f>
        <v>3.0769640137931205E-3</v>
      </c>
      <c r="L22" s="60">
        <f>'Data Sheet'!K27/'Data Sheet'!K$17</f>
        <v>2.8796498210155088E-3</v>
      </c>
      <c r="M22" s="123"/>
      <c r="N22" s="123"/>
      <c r="O22" s="123"/>
      <c r="P22" s="123"/>
    </row>
    <row r="23" spans="2:16" x14ac:dyDescent="0.35">
      <c r="B23" s="59" t="str">
        <f>IFERROR('Data Sheet'!A28,0)</f>
        <v>Profit before tax</v>
      </c>
      <c r="C23" s="60">
        <f>'Data Sheet'!B28/'Data Sheet'!B$17</f>
        <v>0.30403047885626538</v>
      </c>
      <c r="D23" s="60">
        <f>'Data Sheet'!C28/'Data Sheet'!C$17</f>
        <v>0.34597688729142262</v>
      </c>
      <c r="E23" s="60">
        <f>'Data Sheet'!D28/'Data Sheet'!D$17</f>
        <v>0.34753640841676936</v>
      </c>
      <c r="F23" s="60">
        <f>'Data Sheet'!E28/'Data Sheet'!E$17</f>
        <v>0.33655913100460749</v>
      </c>
      <c r="G23" s="60">
        <f>'Data Sheet'!F28/'Data Sheet'!F$17</f>
        <v>0.25726437088002724</v>
      </c>
      <c r="H23" s="60">
        <f>'Data Sheet'!G28/'Data Sheet'!G$17</f>
        <v>0.20622910777663742</v>
      </c>
      <c r="I23" s="60">
        <f>'Data Sheet'!H28/'Data Sheet'!H$17</f>
        <v>0.21388098269247019</v>
      </c>
      <c r="J23" s="60">
        <f>'Data Sheet'!I28/'Data Sheet'!I$17</f>
        <v>0.26309255250938568</v>
      </c>
      <c r="K23" s="60">
        <f>'Data Sheet'!J28/'Data Sheet'!J$17</f>
        <v>0.31459175194638539</v>
      </c>
      <c r="L23" s="60">
        <f>'Data Sheet'!K28/'Data Sheet'!K$17</f>
        <v>0.31441229229982487</v>
      </c>
      <c r="M23" s="123"/>
      <c r="N23" s="123"/>
      <c r="O23" s="123"/>
      <c r="P23" s="123"/>
    </row>
    <row r="24" spans="2:16" x14ac:dyDescent="0.35">
      <c r="B24" s="59" t="str">
        <f>IFERROR('Data Sheet'!A29,0)</f>
        <v>Tax</v>
      </c>
      <c r="C24" s="60">
        <f>'Data Sheet'!B29/'Data Sheet'!B$17</f>
        <v>8.7289785630748393E-2</v>
      </c>
      <c r="D24" s="60">
        <f>'Data Sheet'!C29/'Data Sheet'!C$17</f>
        <v>0.10241193398318869</v>
      </c>
      <c r="E24" s="60">
        <f>'Data Sheet'!D29/'Data Sheet'!D$17</f>
        <v>0.10439868108725528</v>
      </c>
      <c r="F24" s="60">
        <f>'Data Sheet'!E29/'Data Sheet'!E$17</f>
        <v>0.10993502132272336</v>
      </c>
      <c r="G24" s="60">
        <f>'Data Sheet'!F29/'Data Sheet'!F$17</f>
        <v>5.7622263638925975E-2</v>
      </c>
      <c r="H24" s="60">
        <f>'Data Sheet'!G29/'Data Sheet'!G$17</f>
        <v>5.1775444792926888E-2</v>
      </c>
      <c r="I24" s="60">
        <f>'Data Sheet'!H29/'Data Sheet'!H$17</f>
        <v>5.1069982705094177E-2</v>
      </c>
      <c r="J24" s="60">
        <f>'Data Sheet'!I29/'Data Sheet'!I$17</f>
        <v>6.1326614126122239E-2</v>
      </c>
      <c r="K24" s="60">
        <f>'Data Sheet'!J29/'Data Sheet'!J$17</f>
        <v>7.2630985656558081E-2</v>
      </c>
      <c r="L24" s="60">
        <f>'Data Sheet'!K29/'Data Sheet'!K$17</f>
        <v>6.3519224603677205E-2</v>
      </c>
      <c r="M24" s="123"/>
      <c r="N24" s="123"/>
      <c r="O24" s="123"/>
      <c r="P24" s="123"/>
    </row>
    <row r="25" spans="2:16" x14ac:dyDescent="0.35">
      <c r="B25" s="59" t="str">
        <f>IFERROR('Data Sheet'!A30,0)</f>
        <v>Net profit</v>
      </c>
      <c r="C25" s="60">
        <f>'Data Sheet'!B30/'Data Sheet'!B$17</f>
        <v>0.21674069322551695</v>
      </c>
      <c r="D25" s="60">
        <f>'Data Sheet'!C30/'Data Sheet'!C$17</f>
        <v>0.23702469374523699</v>
      </c>
      <c r="E25" s="60">
        <f>'Data Sheet'!D30/'Data Sheet'!D$17</f>
        <v>0.21859216326676306</v>
      </c>
      <c r="F25" s="60">
        <f>'Data Sheet'!E30/'Data Sheet'!E$17</f>
        <v>0.2248358180923665</v>
      </c>
      <c r="G25" s="60">
        <f>'Data Sheet'!F30/'Data Sheet'!F$17</f>
        <v>0.19964210724110129</v>
      </c>
      <c r="H25" s="60">
        <f>'Data Sheet'!G30/'Data Sheet'!G$17</f>
        <v>0.15445366298371052</v>
      </c>
      <c r="I25" s="60">
        <f>'Data Sheet'!H30/'Data Sheet'!H$17</f>
        <v>0.16281099998737597</v>
      </c>
      <c r="J25" s="60">
        <f>'Data Sheet'!I30/'Data Sheet'!I$17</f>
        <v>0.20176593838326345</v>
      </c>
      <c r="K25" s="60">
        <f>'Data Sheet'!J30/'Data Sheet'!J$17</f>
        <v>0.24196076628982729</v>
      </c>
      <c r="L25" s="60">
        <f>'Data Sheet'!K30/'Data Sheet'!K$17</f>
        <v>0.25089306769614766</v>
      </c>
      <c r="M25" s="123"/>
      <c r="N25" s="123"/>
      <c r="O25" s="123"/>
      <c r="P25" s="123"/>
    </row>
    <row r="26" spans="2:16" x14ac:dyDescent="0.35">
      <c r="B26" s="59" t="str">
        <f>IFERROR('Data Sheet'!A31,0)</f>
        <v>Dividend Amount</v>
      </c>
      <c r="C26" s="60">
        <f>'Data Sheet'!B31/'Data Sheet'!B$17</f>
        <v>4.3994777644951133E-2</v>
      </c>
      <c r="D26" s="60">
        <f>'Data Sheet'!C31/'Data Sheet'!C$17</f>
        <v>3.8687057110683945E-2</v>
      </c>
      <c r="E26" s="60">
        <f>'Data Sheet'!D31/'Data Sheet'!D$17</f>
        <v>3.3448001998893473E-2</v>
      </c>
      <c r="F26" s="60">
        <f>'Data Sheet'!E31/'Data Sheet'!E$17</f>
        <v>3.480636027542957E-2</v>
      </c>
      <c r="G26" s="60">
        <f>'Data Sheet'!F31/'Data Sheet'!F$17</f>
        <v>3.7280495718615012E-2</v>
      </c>
      <c r="H26" s="60">
        <f>'Data Sheet'!G31/'Data Sheet'!G$17</f>
        <v>5.327882481781121E-2</v>
      </c>
      <c r="I26" s="60">
        <f>'Data Sheet'!H31/'Data Sheet'!H$17</f>
        <v>5.5753493697215821E-2</v>
      </c>
      <c r="J26" s="60">
        <f>'Data Sheet'!I31/'Data Sheet'!I$17</f>
        <v>7.0069061595964044E-2</v>
      </c>
      <c r="K26" s="60">
        <f>'Data Sheet'!J31/'Data Sheet'!J$17</f>
        <v>8.4445971100244446E-2</v>
      </c>
      <c r="L26" s="60">
        <f>'Data Sheet'!K31/'Data Sheet'!K$17</f>
        <v>0.10171512452074287</v>
      </c>
      <c r="M26" s="123"/>
      <c r="N26" s="123"/>
      <c r="O26" s="123"/>
      <c r="P26" s="123"/>
    </row>
    <row r="27" spans="2:16" x14ac:dyDescent="0.35">
      <c r="B27" s="59" t="s">
        <v>221</v>
      </c>
      <c r="C27" s="60">
        <f>'Data Sheet'!B32/'Data Sheet'!B$17</f>
        <v>0.32650086013353935</v>
      </c>
      <c r="D27" s="60">
        <f>'Data Sheet'!C32/'Data Sheet'!C$17</f>
        <v>0.36181142441166103</v>
      </c>
      <c r="E27" s="60">
        <f>'Data Sheet'!D32/'Data Sheet'!D$17</f>
        <v>0.34849458335564243</v>
      </c>
      <c r="F27" s="60">
        <f>'Data Sheet'!E32/'Data Sheet'!E$17</f>
        <v>0.36616903438378456</v>
      </c>
      <c r="G27" s="60">
        <f>'Data Sheet'!F32/'Data Sheet'!F$17</f>
        <v>0.30100900412734694</v>
      </c>
      <c r="H27" s="60">
        <f>'Data Sheet'!G32/'Data Sheet'!G$17</f>
        <v>0.25980264553601634</v>
      </c>
      <c r="I27" s="60">
        <f>'Data Sheet'!H32/'Data Sheet'!H$17</f>
        <v>0.25959061277958556</v>
      </c>
      <c r="J27" s="60">
        <f>'Data Sheet'!I32/'Data Sheet'!I$17</f>
        <v>0.3014683378825081</v>
      </c>
      <c r="K27" s="60">
        <f>'Data Sheet'!J32/'Data Sheet'!J$17</f>
        <v>0.3538085291410506</v>
      </c>
      <c r="L27" s="60">
        <f>'Data Sheet'!K32/'Data Sheet'!K$17</f>
        <v>0.3559414637248382</v>
      </c>
      <c r="M27" s="123"/>
      <c r="N27" s="123"/>
      <c r="O27" s="123"/>
      <c r="P27" s="123"/>
    </row>
    <row r="28" spans="2:16" x14ac:dyDescent="0.35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123"/>
      <c r="N28" s="123"/>
      <c r="O28" s="123"/>
      <c r="P28" s="123"/>
    </row>
    <row r="29" spans="2:16" ht="15.5" x14ac:dyDescent="0.35">
      <c r="B29" s="224" t="str">
        <f>"Common size Balance sheet statement - "&amp;'Data Sheet'!B1</f>
        <v>Common size Balance sheet statement - EICHER MOTORS LTD</v>
      </c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123"/>
      <c r="N29" s="123"/>
      <c r="O29" s="123"/>
      <c r="P29" s="123"/>
    </row>
    <row r="30" spans="2:16" ht="7" customHeight="1" x14ac:dyDescent="0.3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123"/>
      <c r="N30" s="123"/>
      <c r="O30" s="123"/>
      <c r="P30" s="123"/>
    </row>
    <row r="31" spans="2:16" x14ac:dyDescent="0.35">
      <c r="B31" s="376" t="s">
        <v>220</v>
      </c>
      <c r="C31" s="377">
        <v>42460</v>
      </c>
      <c r="D31" s="377">
        <v>42825</v>
      </c>
      <c r="E31" s="377">
        <v>43190</v>
      </c>
      <c r="F31" s="377">
        <v>43555</v>
      </c>
      <c r="G31" s="377">
        <v>43921</v>
      </c>
      <c r="H31" s="377">
        <v>44286</v>
      </c>
      <c r="I31" s="377">
        <v>44651</v>
      </c>
      <c r="J31" s="377">
        <v>45016</v>
      </c>
      <c r="K31" s="377">
        <v>45382</v>
      </c>
      <c r="L31" s="377">
        <v>45747</v>
      </c>
      <c r="M31" s="123"/>
      <c r="N31" s="123"/>
      <c r="O31" s="123"/>
      <c r="P31" s="123"/>
    </row>
    <row r="32" spans="2:16" x14ac:dyDescent="0.35">
      <c r="B32" s="363" t="s">
        <v>222</v>
      </c>
      <c r="C32" s="364">
        <f>'Data Sheet'!B61/'Data Sheet'!B$61</f>
        <v>1</v>
      </c>
      <c r="D32" s="364">
        <f>'Data Sheet'!C61/'Data Sheet'!C$61</f>
        <v>1</v>
      </c>
      <c r="E32" s="364">
        <f>'Data Sheet'!D61/'Data Sheet'!D$61</f>
        <v>1</v>
      </c>
      <c r="F32" s="364">
        <f>'Data Sheet'!E61/'Data Sheet'!E$61</f>
        <v>1</v>
      </c>
      <c r="G32" s="364">
        <f>'Data Sheet'!F61/'Data Sheet'!F$61</f>
        <v>1</v>
      </c>
      <c r="H32" s="364">
        <f>'Data Sheet'!G61/'Data Sheet'!G$61</f>
        <v>1</v>
      </c>
      <c r="I32" s="364">
        <f>'Data Sheet'!H61/'Data Sheet'!H$61</f>
        <v>1</v>
      </c>
      <c r="J32" s="364">
        <f>'Data Sheet'!I61/'Data Sheet'!I$61</f>
        <v>1</v>
      </c>
      <c r="K32" s="364">
        <f>'Data Sheet'!J61/'Data Sheet'!J$61</f>
        <v>1</v>
      </c>
      <c r="L32" s="364">
        <f>'Data Sheet'!K61/'Data Sheet'!K$61</f>
        <v>1</v>
      </c>
      <c r="M32" s="123"/>
      <c r="N32" s="123"/>
      <c r="O32" s="123"/>
      <c r="P32" s="123"/>
    </row>
    <row r="33" spans="2:16" x14ac:dyDescent="0.35">
      <c r="B33" s="59" t="str">
        <f>'Data Sheet'!A57</f>
        <v>Equity Share Capital</v>
      </c>
      <c r="C33" s="60">
        <f>'Data Sheet'!B62/'Data Sheet'!B$61</f>
        <v>0.1598680707267246</v>
      </c>
      <c r="D33" s="60">
        <f>'Data Sheet'!C62/'Data Sheet'!C$61</f>
        <v>0.12452133518236344</v>
      </c>
      <c r="E33" s="60">
        <f>'Data Sheet'!D62/'Data Sheet'!D$61</f>
        <v>0.15770360514291296</v>
      </c>
      <c r="F33" s="60">
        <f>'Data Sheet'!E62/'Data Sheet'!E$61</f>
        <v>0.16462702964740844</v>
      </c>
      <c r="G33" s="60">
        <f>'Data Sheet'!F62/'Data Sheet'!F$61</f>
        <v>0.19096975674954939</v>
      </c>
      <c r="H33" s="60">
        <f>'Data Sheet'!G62/'Data Sheet'!G$61</f>
        <v>0.1671382089361553</v>
      </c>
      <c r="I33" s="60">
        <f>'Data Sheet'!H62/'Data Sheet'!H$61</f>
        <v>0.15020480389198648</v>
      </c>
      <c r="J33" s="60">
        <f>'Data Sheet'!I62/'Data Sheet'!I$61</f>
        <v>0.14012086902348414</v>
      </c>
      <c r="K33" s="60">
        <f>'Data Sheet'!J62/'Data Sheet'!J$61</f>
        <v>0.12608105600098291</v>
      </c>
      <c r="L33" s="60">
        <f>'Data Sheet'!K62/'Data Sheet'!K$61</f>
        <v>0.12782135840299752</v>
      </c>
      <c r="M33" s="123"/>
      <c r="N33" s="123"/>
      <c r="O33" s="123"/>
      <c r="P33" s="123"/>
    </row>
    <row r="34" spans="2:16" x14ac:dyDescent="0.35">
      <c r="B34" s="59" t="str">
        <f>'Data Sheet'!A58</f>
        <v>Reserves</v>
      </c>
      <c r="C34" s="60">
        <f>'Data Sheet'!B63/'Data Sheet'!B$61</f>
        <v>1.912933968548353E-2</v>
      </c>
      <c r="D34" s="60">
        <f>'Data Sheet'!C63/'Data Sheet'!C$61</f>
        <v>5.3326542142478041E-2</v>
      </c>
      <c r="E34" s="60">
        <f>'Data Sheet'!D63/'Data Sheet'!D$61</f>
        <v>3.4992853564763712E-2</v>
      </c>
      <c r="F34" s="60">
        <f>'Data Sheet'!E63/'Data Sheet'!E$61</f>
        <v>3.9496506051289078E-2</v>
      </c>
      <c r="G34" s="60">
        <f>'Data Sheet'!F63/'Data Sheet'!F$61</f>
        <v>2.5074459505916601E-2</v>
      </c>
      <c r="H34" s="60">
        <f>'Data Sheet'!G63/'Data Sheet'!G$61</f>
        <v>2.1587912582313833E-2</v>
      </c>
      <c r="I34" s="60">
        <f>'Data Sheet'!H63/'Data Sheet'!H$61</f>
        <v>3.1275422355749719E-2</v>
      </c>
      <c r="J34" s="60">
        <f>'Data Sheet'!I63/'Data Sheet'!I$61</f>
        <v>2.4590001687707447E-2</v>
      </c>
      <c r="K34" s="60">
        <f>'Data Sheet'!J63/'Data Sheet'!J$61</f>
        <v>2.40145740041263E-2</v>
      </c>
      <c r="L34" s="60">
        <f>'Data Sheet'!K63/'Data Sheet'!K$61</f>
        <v>1.8085765247525153E-2</v>
      </c>
      <c r="M34" s="123"/>
      <c r="N34" s="123"/>
      <c r="O34" s="123"/>
      <c r="P34" s="123"/>
    </row>
    <row r="35" spans="2:16" x14ac:dyDescent="0.35">
      <c r="B35" s="59" t="str">
        <f>'Data Sheet'!A59</f>
        <v>Borrowings</v>
      </c>
      <c r="C35" s="60">
        <f>'Data Sheet'!B64/'Data Sheet'!B$61</f>
        <v>0.68601602345409296</v>
      </c>
      <c r="D35" s="60">
        <f>'Data Sheet'!C64/'Data Sheet'!C$61</f>
        <v>0.7115241943307824</v>
      </c>
      <c r="E35" s="60">
        <f>'Data Sheet'!D64/'Data Sheet'!D$61</f>
        <v>0.58608540226396555</v>
      </c>
      <c r="F35" s="60">
        <f>'Data Sheet'!E64/'Data Sheet'!E$61</f>
        <v>0.43229941959263468</v>
      </c>
      <c r="G35" s="60">
        <f>'Data Sheet'!F64/'Data Sheet'!F$61</f>
        <v>0.46175897931841042</v>
      </c>
      <c r="H35" s="60">
        <f>'Data Sheet'!G64/'Data Sheet'!G$61</f>
        <v>0.26802970888017469</v>
      </c>
      <c r="I35" s="60">
        <f>'Data Sheet'!H64/'Data Sheet'!H$61</f>
        <v>0.47835571997970239</v>
      </c>
      <c r="J35" s="60">
        <f>'Data Sheet'!I64/'Data Sheet'!I$61</f>
        <v>0.64177992711604137</v>
      </c>
      <c r="K35" s="60">
        <f>'Data Sheet'!J64/'Data Sheet'!J$61</f>
        <v>0.58519939104820085</v>
      </c>
      <c r="L35" s="60">
        <f>'Data Sheet'!K64/'Data Sheet'!K$61</f>
        <v>0.54429516593000549</v>
      </c>
      <c r="M35" s="123"/>
      <c r="N35" s="123"/>
      <c r="O35" s="123"/>
      <c r="P35" s="123"/>
    </row>
    <row r="36" spans="2:16" x14ac:dyDescent="0.35">
      <c r="B36" s="59" t="str">
        <f>'Data Sheet'!A60</f>
        <v>Other Liabilities</v>
      </c>
      <c r="C36" s="60">
        <f>'Data Sheet'!B65/'Data Sheet'!B$61</f>
        <v>0.13498656613369886</v>
      </c>
      <c r="D36" s="60">
        <f>'Data Sheet'!C65/'Data Sheet'!C$61</f>
        <v>0.11062792834437615</v>
      </c>
      <c r="E36" s="60">
        <f>'Data Sheet'!D65/'Data Sheet'!D$61</f>
        <v>0.22121813902835785</v>
      </c>
      <c r="F36" s="60">
        <f>'Data Sheet'!E65/'Data Sheet'!E$61</f>
        <v>0.36357704470866781</v>
      </c>
      <c r="G36" s="60">
        <f>'Data Sheet'!F65/'Data Sheet'!F$61</f>
        <v>0.3221968044261237</v>
      </c>
      <c r="H36" s="60">
        <f>'Data Sheet'!G65/'Data Sheet'!G$61</f>
        <v>0.54324416960135613</v>
      </c>
      <c r="I36" s="60">
        <f>'Data Sheet'!H65/'Data Sheet'!H$61</f>
        <v>0.34016405377256143</v>
      </c>
      <c r="J36" s="60">
        <f>'Data Sheet'!I65/'Data Sheet'!I$61</f>
        <v>0.19350920217276707</v>
      </c>
      <c r="K36" s="60">
        <f>'Data Sheet'!J65/'Data Sheet'!J$61</f>
        <v>0.26470497894668987</v>
      </c>
      <c r="L36" s="60">
        <f>'Data Sheet'!K65/'Data Sheet'!K$61</f>
        <v>0.30979771041947185</v>
      </c>
      <c r="M36" s="123"/>
      <c r="N36" s="123"/>
      <c r="O36" s="123"/>
      <c r="P36" s="123"/>
    </row>
    <row r="37" spans="2:16" x14ac:dyDescent="0.35">
      <c r="B37" s="254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123"/>
      <c r="N37" s="123"/>
      <c r="O37" s="123"/>
      <c r="P37" s="123"/>
    </row>
    <row r="38" spans="2:16" x14ac:dyDescent="0.35">
      <c r="B38" s="363" t="s">
        <v>223</v>
      </c>
      <c r="C38" s="364">
        <f>'Data Sheet'!B74/'Data Sheet'!B$74</f>
        <v>1</v>
      </c>
      <c r="D38" s="364">
        <f>'Data Sheet'!C74/'Data Sheet'!C$74</f>
        <v>1</v>
      </c>
      <c r="E38" s="364">
        <f>'Data Sheet'!D74/'Data Sheet'!D$74</f>
        <v>1</v>
      </c>
      <c r="F38" s="364">
        <f>'Data Sheet'!E74/'Data Sheet'!E$74</f>
        <v>1</v>
      </c>
      <c r="G38" s="364">
        <f>'Data Sheet'!F74/'Data Sheet'!F$74</f>
        <v>1</v>
      </c>
      <c r="H38" s="364">
        <f>'Data Sheet'!G74/'Data Sheet'!G$74</f>
        <v>1</v>
      </c>
      <c r="I38" s="364">
        <f>'Data Sheet'!H74/'Data Sheet'!H$74</f>
        <v>1</v>
      </c>
      <c r="J38" s="364">
        <f>'Data Sheet'!I74/'Data Sheet'!I$74</f>
        <v>1</v>
      </c>
      <c r="K38" s="364">
        <f>'Data Sheet'!J74/'Data Sheet'!J$74</f>
        <v>1</v>
      </c>
      <c r="L38" s="364">
        <f>'Data Sheet'!K74/'Data Sheet'!K$74</f>
        <v>1</v>
      </c>
      <c r="M38" s="123"/>
      <c r="N38" s="123"/>
      <c r="O38" s="123"/>
      <c r="P38" s="123"/>
    </row>
    <row r="39" spans="2:16" x14ac:dyDescent="0.35">
      <c r="B39" s="59" t="str">
        <f>'Data Sheet'!A62</f>
        <v>Net Block</v>
      </c>
      <c r="C39" s="60">
        <f>'Data Sheet'!B62/'Data Sheet'!B$74</f>
        <v>0.1598680707267246</v>
      </c>
      <c r="D39" s="60">
        <f>'Data Sheet'!C62/'Data Sheet'!C$74</f>
        <v>0.12452133518236344</v>
      </c>
      <c r="E39" s="60">
        <f>'Data Sheet'!D62/'Data Sheet'!D$74</f>
        <v>0.15770360514291296</v>
      </c>
      <c r="F39" s="60">
        <f>'Data Sheet'!E62/'Data Sheet'!E$74</f>
        <v>0.16462702964740844</v>
      </c>
      <c r="G39" s="60">
        <f>'Data Sheet'!F62/'Data Sheet'!F$74</f>
        <v>0.19096975674954939</v>
      </c>
      <c r="H39" s="60">
        <f>'Data Sheet'!G62/'Data Sheet'!G$74</f>
        <v>0.1671382089361553</v>
      </c>
      <c r="I39" s="60">
        <f>'Data Sheet'!H62/'Data Sheet'!H$74</f>
        <v>0.15020480389198648</v>
      </c>
      <c r="J39" s="60">
        <f>'Data Sheet'!I62/'Data Sheet'!I$74</f>
        <v>0.14012086902348414</v>
      </c>
      <c r="K39" s="60">
        <f>'Data Sheet'!J62/'Data Sheet'!J$74</f>
        <v>0.12608105600098291</v>
      </c>
      <c r="L39" s="60">
        <f>'Data Sheet'!K62/'Data Sheet'!K$74</f>
        <v>0.12782135840299752</v>
      </c>
      <c r="M39" s="123"/>
      <c r="N39" s="123"/>
      <c r="O39" s="123"/>
      <c r="P39" s="123"/>
    </row>
    <row r="40" spans="2:16" x14ac:dyDescent="0.35">
      <c r="B40" s="59" t="str">
        <f>'Data Sheet'!A63</f>
        <v>Capital Work in Progress</v>
      </c>
      <c r="C40" s="60">
        <f>'Data Sheet'!B63/'Data Sheet'!B$74</f>
        <v>1.912933968548353E-2</v>
      </c>
      <c r="D40" s="60">
        <f>'Data Sheet'!C63/'Data Sheet'!C$74</f>
        <v>5.3326542142478041E-2</v>
      </c>
      <c r="E40" s="60">
        <f>'Data Sheet'!D63/'Data Sheet'!D$74</f>
        <v>3.4992853564763712E-2</v>
      </c>
      <c r="F40" s="60">
        <f>'Data Sheet'!E63/'Data Sheet'!E$74</f>
        <v>3.9496506051289078E-2</v>
      </c>
      <c r="G40" s="60">
        <f>'Data Sheet'!F63/'Data Sheet'!F$74</f>
        <v>2.5074459505916601E-2</v>
      </c>
      <c r="H40" s="60">
        <f>'Data Sheet'!G63/'Data Sheet'!G$74</f>
        <v>2.1587912582313833E-2</v>
      </c>
      <c r="I40" s="60">
        <f>'Data Sheet'!H63/'Data Sheet'!H$74</f>
        <v>3.1275422355749719E-2</v>
      </c>
      <c r="J40" s="60">
        <f>'Data Sheet'!I63/'Data Sheet'!I$74</f>
        <v>2.4590001687707447E-2</v>
      </c>
      <c r="K40" s="60">
        <f>'Data Sheet'!J63/'Data Sheet'!J$74</f>
        <v>2.40145740041263E-2</v>
      </c>
      <c r="L40" s="60">
        <f>'Data Sheet'!K63/'Data Sheet'!K$74</f>
        <v>1.8085765247525153E-2</v>
      </c>
      <c r="M40" s="123"/>
      <c r="N40" s="123"/>
      <c r="O40" s="123"/>
      <c r="P40" s="123"/>
    </row>
    <row r="41" spans="2:16" x14ac:dyDescent="0.35">
      <c r="B41" s="59" t="str">
        <f>'Data Sheet'!A64</f>
        <v>Investments</v>
      </c>
      <c r="C41" s="60">
        <f>'Data Sheet'!B64/'Data Sheet'!B$74</f>
        <v>0.68601602345409296</v>
      </c>
      <c r="D41" s="60">
        <f>'Data Sheet'!C64/'Data Sheet'!C$74</f>
        <v>0.7115241943307824</v>
      </c>
      <c r="E41" s="60">
        <f>'Data Sheet'!D64/'Data Sheet'!D$74</f>
        <v>0.58608540226396555</v>
      </c>
      <c r="F41" s="60">
        <f>'Data Sheet'!E64/'Data Sheet'!E$74</f>
        <v>0.43229941959263468</v>
      </c>
      <c r="G41" s="60">
        <f>'Data Sheet'!F64/'Data Sheet'!F$74</f>
        <v>0.46175897931841042</v>
      </c>
      <c r="H41" s="60">
        <f>'Data Sheet'!G64/'Data Sheet'!G$74</f>
        <v>0.26802970888017469</v>
      </c>
      <c r="I41" s="60">
        <f>'Data Sheet'!H64/'Data Sheet'!H$74</f>
        <v>0.47835571997970239</v>
      </c>
      <c r="J41" s="60">
        <f>'Data Sheet'!I64/'Data Sheet'!I$74</f>
        <v>0.64177992711604137</v>
      </c>
      <c r="K41" s="60">
        <f>'Data Sheet'!J64/'Data Sheet'!J$74</f>
        <v>0.58519939104820085</v>
      </c>
      <c r="L41" s="60">
        <f>'Data Sheet'!K64/'Data Sheet'!K$74</f>
        <v>0.54429516593000549</v>
      </c>
      <c r="M41" s="123"/>
      <c r="N41" s="123"/>
      <c r="O41" s="123"/>
      <c r="P41" s="123"/>
    </row>
    <row r="42" spans="2:16" x14ac:dyDescent="0.35">
      <c r="B42" s="59" t="str">
        <f>'Data Sheet'!A65</f>
        <v>Other Assets</v>
      </c>
      <c r="C42" s="60">
        <f>'Data Sheet'!B73/'Data Sheet'!B$74</f>
        <v>5.5982879159993608E-2</v>
      </c>
      <c r="D42" s="60">
        <f>'Data Sheet'!C73/'Data Sheet'!C$74</f>
        <v>5.1989704782938698E-2</v>
      </c>
      <c r="E42" s="60">
        <f>'Data Sheet'!D73/'Data Sheet'!D$74</f>
        <v>4.535177159131841E-2</v>
      </c>
      <c r="F42" s="60">
        <f>'Data Sheet'!E73/'Data Sheet'!E$74</f>
        <v>4.0136719350337163E-2</v>
      </c>
      <c r="G42" s="60">
        <f>'Data Sheet'!F73/'Data Sheet'!F$74</f>
        <v>3.225454066436835E-2</v>
      </c>
      <c r="H42" s="60">
        <f>'Data Sheet'!G73/'Data Sheet'!G$74</f>
        <v>7.183103331980184E-2</v>
      </c>
      <c r="I42" s="60">
        <f>'Data Sheet'!H73/'Data Sheet'!H$74</f>
        <v>8.2608057210020167E-2</v>
      </c>
      <c r="J42" s="60">
        <f>'Data Sheet'!I73/'Data Sheet'!I$74</f>
        <v>6.7819794516409307E-2</v>
      </c>
      <c r="K42" s="60">
        <f>'Data Sheet'!J73/'Data Sheet'!J$74</f>
        <v>0.18122156353868651</v>
      </c>
      <c r="L42" s="60">
        <f>'Data Sheet'!K73/'Data Sheet'!K$74</f>
        <v>0.2223477897036219</v>
      </c>
      <c r="M42" s="123"/>
      <c r="N42" s="123"/>
      <c r="O42" s="123"/>
      <c r="P42" s="123"/>
    </row>
    <row r="43" spans="2:16" x14ac:dyDescent="0.35">
      <c r="B43" s="59" t="str">
        <f>'Data Sheet'!A67</f>
        <v>Receivables</v>
      </c>
      <c r="C43" s="60">
        <f>'Data Sheet'!B67/'Data Sheet'!B$74</f>
        <v>6.6086118473135304E-3</v>
      </c>
      <c r="D43" s="60">
        <f>'Data Sheet'!C67/'Data Sheet'!C$74</f>
        <v>7.1393107226626036E-3</v>
      </c>
      <c r="E43" s="60">
        <f>'Data Sheet'!D67/'Data Sheet'!D$74</f>
        <v>7.1411843654270064E-3</v>
      </c>
      <c r="F43" s="60">
        <f>'Data Sheet'!E67/'Data Sheet'!E$74</f>
        <v>7.4024113822723277E-3</v>
      </c>
      <c r="G43" s="60">
        <f>'Data Sheet'!F67/'Data Sheet'!F$74</f>
        <v>6.968831427534114E-3</v>
      </c>
      <c r="H43" s="60">
        <f>'Data Sheet'!G67/'Data Sheet'!G$74</f>
        <v>1.0863674485407603E-2</v>
      </c>
      <c r="I43" s="60">
        <f>'Data Sheet'!H67/'Data Sheet'!H$74</f>
        <v>1.8713951757856187E-2</v>
      </c>
      <c r="J43" s="60">
        <f>'Data Sheet'!I67/'Data Sheet'!I$74</f>
        <v>1.9216945416207411E-2</v>
      </c>
      <c r="K43" s="60">
        <f>'Data Sheet'!J67/'Data Sheet'!J$74</f>
        <v>1.6170361144410606E-2</v>
      </c>
      <c r="L43" s="60">
        <f>'Data Sheet'!K67/'Data Sheet'!K$74</f>
        <v>2.0226382099924157E-2</v>
      </c>
      <c r="M43" s="123"/>
      <c r="N43" s="123"/>
      <c r="O43" s="123"/>
      <c r="P43" s="123"/>
    </row>
    <row r="44" spans="2:16" x14ac:dyDescent="0.35">
      <c r="B44" s="59" t="str">
        <f>'Data Sheet'!A68</f>
        <v>Inventory</v>
      </c>
      <c r="C44" s="60">
        <f>'Data Sheet'!B68/'Data Sheet'!B$74</f>
        <v>6.2439638713021432E-2</v>
      </c>
      <c r="D44" s="60">
        <f>'Data Sheet'!C68/'Data Sheet'!C$74</f>
        <v>4.7923550594371866E-2</v>
      </c>
      <c r="E44" s="60">
        <f>'Data Sheet'!D68/'Data Sheet'!D$74</f>
        <v>4.1444073499589909E-2</v>
      </c>
      <c r="F44" s="60">
        <f>'Data Sheet'!E68/'Data Sheet'!E$74</f>
        <v>5.5623909376007197E-2</v>
      </c>
      <c r="G44" s="60">
        <f>'Data Sheet'!F68/'Data Sheet'!F$74</f>
        <v>4.5972921479358574E-2</v>
      </c>
      <c r="H44" s="60">
        <f>'Data Sheet'!G68/'Data Sheet'!G$74</f>
        <v>6.0074416444976547E-2</v>
      </c>
      <c r="I44" s="60">
        <f>'Data Sheet'!H68/'Data Sheet'!H$74</f>
        <v>7.0161829461648617E-2</v>
      </c>
      <c r="J44" s="60">
        <f>'Data Sheet'!I68/'Data Sheet'!I$74</f>
        <v>6.6593602130261845E-2</v>
      </c>
      <c r="K44" s="60">
        <f>'Data Sheet'!J68/'Data Sheet'!J$74</f>
        <v>6.0983433794229151E-2</v>
      </c>
      <c r="L44" s="60">
        <f>'Data Sheet'!K68/'Data Sheet'!K$74</f>
        <v>5.7544947617997964E-2</v>
      </c>
      <c r="M44" s="123"/>
      <c r="N44" s="123"/>
      <c r="O44" s="123"/>
      <c r="P44" s="123"/>
    </row>
    <row r="45" spans="2:16" x14ac:dyDescent="0.35">
      <c r="B45" s="59" t="str">
        <f>'Data Sheet'!A69</f>
        <v>Cash &amp; Bank</v>
      </c>
      <c r="C45" s="60">
        <f>'Data Sheet'!B69/'Data Sheet'!B$74</f>
        <v>9.9554364133702909E-3</v>
      </c>
      <c r="D45" s="60">
        <f>'Data Sheet'!C69/'Data Sheet'!C$74</f>
        <v>3.5753622444029743E-3</v>
      </c>
      <c r="E45" s="60">
        <f>'Data Sheet'!D69/'Data Sheet'!D$74</f>
        <v>0.12728110957202252</v>
      </c>
      <c r="F45" s="60">
        <f>'Data Sheet'!E69/'Data Sheet'!E$74</f>
        <v>0.2604140046000511</v>
      </c>
      <c r="G45" s="60">
        <f>'Data Sheet'!F69/'Data Sheet'!F$74</f>
        <v>0.23700051085486262</v>
      </c>
      <c r="H45" s="60">
        <f>'Data Sheet'!G69/'Data Sheet'!G$74</f>
        <v>0.40047504535117018</v>
      </c>
      <c r="I45" s="60">
        <f>'Data Sheet'!H69/'Data Sheet'!H$74</f>
        <v>0.16868021534303643</v>
      </c>
      <c r="J45" s="60">
        <f>'Data Sheet'!I69/'Data Sheet'!I$74</f>
        <v>3.987886010988851E-2</v>
      </c>
      <c r="K45" s="60">
        <f>'Data Sheet'!J69/'Data Sheet'!J$74</f>
        <v>6.3296204693635725E-3</v>
      </c>
      <c r="L45" s="60">
        <f>'Data Sheet'!K69/'Data Sheet'!K$74</f>
        <v>9.6785909979278297E-3</v>
      </c>
      <c r="M45" s="123"/>
      <c r="N45" s="123"/>
      <c r="O45" s="123"/>
      <c r="P45" s="123"/>
    </row>
    <row r="46" spans="2:16" x14ac:dyDescent="0.35">
      <c r="B46" s="254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123"/>
      <c r="N46" s="123"/>
      <c r="O46" s="123"/>
      <c r="P46" s="123"/>
    </row>
    <row r="47" spans="2:16" x14ac:dyDescent="0.35">
      <c r="B47" s="123"/>
      <c r="C47" s="123"/>
      <c r="D47" s="123"/>
      <c r="E47" s="123"/>
      <c r="K47" s="123"/>
      <c r="L47" s="123"/>
      <c r="M47" s="123"/>
      <c r="N47" s="123" t="s">
        <v>265</v>
      </c>
      <c r="O47" s="123"/>
      <c r="P47" s="123"/>
    </row>
    <row r="48" spans="2:16" x14ac:dyDescent="0.35">
      <c r="B48" s="123"/>
      <c r="C48" s="123"/>
      <c r="D48" s="123"/>
      <c r="E48" s="123"/>
      <c r="K48" s="123"/>
      <c r="L48" s="123"/>
      <c r="M48" s="151"/>
      <c r="N48" s="151"/>
      <c r="O48" s="151"/>
      <c r="P48" s="151"/>
    </row>
    <row r="49" spans="1:17" x14ac:dyDescent="0.35">
      <c r="A49" s="123"/>
      <c r="B49" s="123"/>
      <c r="C49" s="123"/>
      <c r="D49" s="123"/>
      <c r="E49" s="123"/>
      <c r="K49" s="123"/>
      <c r="L49" s="123"/>
      <c r="M49" s="123"/>
      <c r="N49" s="123"/>
      <c r="O49" s="123"/>
      <c r="P49" s="123"/>
      <c r="Q49" s="123"/>
    </row>
    <row r="50" spans="1:17" x14ac:dyDescent="0.35">
      <c r="A50" s="123"/>
      <c r="B50" s="123"/>
      <c r="C50" s="123"/>
      <c r="D50" s="123"/>
      <c r="E50" s="123"/>
      <c r="K50" s="123"/>
      <c r="L50" s="123"/>
      <c r="M50" s="123"/>
      <c r="N50" s="123"/>
      <c r="O50" s="123"/>
      <c r="P50" s="123"/>
      <c r="Q50" s="123"/>
    </row>
    <row r="51" spans="1:17" x14ac:dyDescent="0.35">
      <c r="A51" s="123"/>
      <c r="B51" s="123"/>
      <c r="C51" s="123"/>
      <c r="D51" s="123"/>
      <c r="E51" s="123"/>
      <c r="K51" s="123"/>
      <c r="L51" s="123"/>
      <c r="M51" s="123"/>
      <c r="N51" s="123"/>
      <c r="O51" s="123"/>
      <c r="P51" s="123"/>
      <c r="Q51" s="123"/>
    </row>
    <row r="52" spans="1:17" x14ac:dyDescent="0.35">
      <c r="A52" s="123"/>
      <c r="B52" s="123"/>
      <c r="C52" s="123"/>
      <c r="D52" s="123"/>
      <c r="E52" s="123"/>
      <c r="K52" s="123"/>
      <c r="L52" s="123"/>
      <c r="M52" s="123"/>
      <c r="N52" s="123"/>
      <c r="O52" s="123"/>
      <c r="P52" s="123"/>
      <c r="Q52" s="123"/>
    </row>
    <row r="53" spans="1:17" x14ac:dyDescent="0.35">
      <c r="A53" s="123"/>
      <c r="B53" s="123"/>
      <c r="C53" s="123"/>
      <c r="D53" s="123"/>
      <c r="E53" s="123"/>
      <c r="K53" s="123"/>
      <c r="L53" s="123"/>
      <c r="M53" s="123"/>
      <c r="N53" s="123"/>
      <c r="O53" s="123"/>
      <c r="P53" s="123"/>
      <c r="Q53" s="123"/>
    </row>
    <row r="54" spans="1:17" x14ac:dyDescent="0.35">
      <c r="A54" s="123"/>
      <c r="B54" s="123"/>
      <c r="C54" s="123"/>
      <c r="D54" s="123"/>
      <c r="E54" s="123"/>
      <c r="K54" s="123"/>
      <c r="L54" s="123"/>
      <c r="M54" s="123"/>
      <c r="N54" s="123"/>
      <c r="O54" s="123"/>
      <c r="P54" s="123"/>
      <c r="Q54" s="123"/>
    </row>
    <row r="55" spans="1:17" x14ac:dyDescent="0.35">
      <c r="A55" s="123"/>
      <c r="B55" s="123"/>
      <c r="C55" s="123"/>
      <c r="D55" s="123"/>
      <c r="E55" s="123"/>
      <c r="K55" s="123"/>
      <c r="L55" s="123"/>
      <c r="M55" s="123"/>
      <c r="N55" s="123"/>
      <c r="O55" s="123"/>
      <c r="P55" s="123"/>
      <c r="Q55" s="123"/>
    </row>
    <row r="56" spans="1:17" x14ac:dyDescent="0.35">
      <c r="A56" s="123"/>
      <c r="B56" s="123"/>
      <c r="C56" s="123"/>
      <c r="D56" s="123"/>
      <c r="E56" s="123"/>
      <c r="K56" s="123"/>
      <c r="L56" s="123"/>
      <c r="M56" s="123"/>
      <c r="N56" s="123"/>
      <c r="O56" s="123"/>
      <c r="P56" s="123"/>
      <c r="Q56" s="123"/>
    </row>
    <row r="57" spans="1:17" x14ac:dyDescent="0.35">
      <c r="A57" s="123"/>
      <c r="B57" s="123"/>
      <c r="C57" s="123"/>
      <c r="D57" s="123"/>
      <c r="E57" s="123"/>
      <c r="K57" s="123"/>
      <c r="L57" s="123"/>
      <c r="M57" s="123"/>
      <c r="N57" s="123"/>
      <c r="O57" s="123"/>
      <c r="P57" s="123"/>
      <c r="Q57" s="123"/>
    </row>
    <row r="58" spans="1:17" x14ac:dyDescent="0.35">
      <c r="A58" s="123"/>
      <c r="B58" s="123"/>
      <c r="C58" s="123"/>
      <c r="D58" s="123"/>
      <c r="E58" s="123"/>
      <c r="K58" s="123"/>
      <c r="L58" s="123"/>
      <c r="M58" s="123"/>
      <c r="N58" s="123"/>
      <c r="O58" s="123"/>
      <c r="P58" s="123"/>
      <c r="Q58" s="123"/>
    </row>
    <row r="59" spans="1:17" x14ac:dyDescent="0.35">
      <c r="A59" s="123"/>
      <c r="B59" s="123"/>
      <c r="C59" s="123"/>
      <c r="D59" s="123"/>
      <c r="E59" s="123"/>
      <c r="K59" s="123"/>
      <c r="L59" s="123"/>
      <c r="M59" s="123"/>
      <c r="N59" s="123"/>
      <c r="O59" s="123"/>
      <c r="P59" s="123"/>
      <c r="Q59" s="123"/>
    </row>
    <row r="60" spans="1:17" x14ac:dyDescent="0.35">
      <c r="A60" s="123"/>
      <c r="B60" s="123"/>
      <c r="C60" s="123"/>
      <c r="D60" s="123"/>
      <c r="E60" s="123"/>
      <c r="K60" s="123"/>
      <c r="L60" s="123"/>
      <c r="M60" s="123"/>
      <c r="N60" s="123"/>
      <c r="O60" s="123"/>
      <c r="P60" s="123"/>
      <c r="Q60" s="123"/>
    </row>
    <row r="61" spans="1:17" x14ac:dyDescent="0.35">
      <c r="A61" s="123"/>
      <c r="B61" s="123"/>
      <c r="C61" s="123"/>
      <c r="D61" s="123"/>
      <c r="E61" s="123"/>
      <c r="K61" s="123"/>
      <c r="L61" s="123"/>
      <c r="M61" s="123"/>
      <c r="N61" s="123"/>
      <c r="O61" s="123"/>
      <c r="P61" s="123"/>
      <c r="Q61" s="123"/>
    </row>
    <row r="62" spans="1:17" x14ac:dyDescent="0.35">
      <c r="A62" s="123"/>
      <c r="B62" s="123"/>
      <c r="C62" s="123"/>
      <c r="D62" s="123"/>
      <c r="E62" s="123"/>
      <c r="K62" s="123"/>
      <c r="L62" s="123"/>
      <c r="M62" s="123"/>
      <c r="N62" s="123"/>
      <c r="O62" s="123"/>
      <c r="P62" s="123"/>
      <c r="Q62" s="123"/>
    </row>
    <row r="63" spans="1:17" x14ac:dyDescent="0.35">
      <c r="A63" s="123"/>
      <c r="B63" s="123"/>
      <c r="C63" s="123"/>
      <c r="D63" s="123"/>
      <c r="E63" s="123"/>
      <c r="K63" s="123"/>
      <c r="L63" s="123"/>
      <c r="M63" s="123"/>
      <c r="N63" s="123"/>
      <c r="O63" s="123"/>
      <c r="P63" s="123"/>
      <c r="Q63" s="123"/>
    </row>
    <row r="64" spans="1:17" x14ac:dyDescent="0.35">
      <c r="A64" s="123"/>
      <c r="B64" s="239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123"/>
      <c r="N64" s="123"/>
      <c r="O64" s="123"/>
      <c r="P64" s="123"/>
      <c r="Q64" s="123"/>
    </row>
    <row r="65" spans="1:17" x14ac:dyDescent="0.35">
      <c r="A65" s="123"/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123"/>
      <c r="N65" s="123"/>
      <c r="O65" s="123"/>
      <c r="P65" s="123"/>
      <c r="Q65" s="123"/>
    </row>
    <row r="66" spans="1:17" x14ac:dyDescent="0.35">
      <c r="A66" s="123"/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123"/>
      <c r="N66" s="123"/>
      <c r="O66" s="123"/>
      <c r="P66" s="123"/>
      <c r="Q66" s="123"/>
    </row>
    <row r="67" spans="1:17" x14ac:dyDescent="0.35">
      <c r="A67" s="123"/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123"/>
      <c r="N67" s="123"/>
      <c r="O67" s="123"/>
      <c r="P67" s="123"/>
      <c r="Q67" s="123"/>
    </row>
    <row r="68" spans="1:17" x14ac:dyDescent="0.35">
      <c r="A68" s="123"/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123"/>
      <c r="N68" s="123"/>
      <c r="O68" s="123"/>
      <c r="P68" s="123"/>
      <c r="Q68" s="123"/>
    </row>
    <row r="69" spans="1:17" x14ac:dyDescent="0.35">
      <c r="A69" s="123"/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123"/>
      <c r="N69" s="123"/>
      <c r="O69" s="123"/>
      <c r="P69" s="123"/>
      <c r="Q69" s="123"/>
    </row>
    <row r="70" spans="1:17" x14ac:dyDescent="0.35">
      <c r="A70" s="123"/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123"/>
      <c r="N70" s="123"/>
      <c r="O70" s="123"/>
      <c r="P70" s="123"/>
      <c r="Q70" s="123"/>
    </row>
    <row r="71" spans="1:17" x14ac:dyDescent="0.35">
      <c r="A71" s="123"/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123"/>
      <c r="N71" s="123"/>
      <c r="O71" s="123"/>
      <c r="P71" s="123"/>
      <c r="Q71" s="123"/>
    </row>
    <row r="72" spans="1:17" x14ac:dyDescent="0.35"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43"/>
    </row>
    <row r="73" spans="1:17" x14ac:dyDescent="0.35"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123"/>
    </row>
    <row r="74" spans="1:17" x14ac:dyDescent="0.35"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123"/>
    </row>
    <row r="75" spans="1:17" x14ac:dyDescent="0.35"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123"/>
    </row>
    <row r="76" spans="1:17" x14ac:dyDescent="0.35"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23"/>
    </row>
    <row r="77" spans="1:17" x14ac:dyDescent="0.35"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123"/>
    </row>
    <row r="78" spans="1:17" x14ac:dyDescent="0.35"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123"/>
    </row>
    <row r="79" spans="1:17" x14ac:dyDescent="0.35"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123"/>
    </row>
    <row r="80" spans="1:17" x14ac:dyDescent="0.35"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123"/>
    </row>
    <row r="81" spans="2:13" x14ac:dyDescent="0.35"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123"/>
    </row>
    <row r="82" spans="2:13" x14ac:dyDescent="0.35"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123"/>
    </row>
    <row r="83" spans="2:13" x14ac:dyDescent="0.35"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123"/>
    </row>
    <row r="84" spans="2:13" x14ac:dyDescent="0.35"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123"/>
    </row>
    <row r="85" spans="2:13" x14ac:dyDescent="0.35"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123"/>
    </row>
    <row r="86" spans="2:13" x14ac:dyDescent="0.35"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123"/>
    </row>
    <row r="87" spans="2:13" x14ac:dyDescent="0.35"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123"/>
    </row>
    <row r="88" spans="2:13" x14ac:dyDescent="0.35"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123"/>
    </row>
    <row r="89" spans="2:13" x14ac:dyDescent="0.35"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123"/>
    </row>
    <row r="90" spans="2:13" x14ac:dyDescent="0.35"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123"/>
    </row>
    <row r="91" spans="2:13" x14ac:dyDescent="0.35"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123"/>
    </row>
    <row r="92" spans="2:13" x14ac:dyDescent="0.35"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123"/>
    </row>
    <row r="93" spans="2:13" x14ac:dyDescent="0.35"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123"/>
    </row>
    <row r="94" spans="2:13" x14ac:dyDescent="0.35"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123"/>
    </row>
    <row r="95" spans="2:13" x14ac:dyDescent="0.35"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123"/>
    </row>
    <row r="96" spans="2:13" x14ac:dyDescent="0.35"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123"/>
    </row>
    <row r="97" spans="2:13" x14ac:dyDescent="0.35"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123"/>
    </row>
    <row r="98" spans="2:13" x14ac:dyDescent="0.35"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123"/>
    </row>
    <row r="99" spans="2:13" x14ac:dyDescent="0.35"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123"/>
    </row>
    <row r="100" spans="2:13" x14ac:dyDescent="0.35"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123"/>
    </row>
    <row r="101" spans="2:13" x14ac:dyDescent="0.35"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123"/>
    </row>
    <row r="102" spans="2:13" x14ac:dyDescent="0.35"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123"/>
    </row>
    <row r="103" spans="2:13" x14ac:dyDescent="0.35"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123"/>
    </row>
    <row r="104" spans="2:13" x14ac:dyDescent="0.35"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123"/>
    </row>
    <row r="105" spans="2:13" x14ac:dyDescent="0.35"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123"/>
    </row>
    <row r="106" spans="2:13" x14ac:dyDescent="0.35"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123"/>
    </row>
    <row r="107" spans="2:13" x14ac:dyDescent="0.35">
      <c r="B107" s="123"/>
      <c r="C107" s="123"/>
      <c r="D107" s="123"/>
      <c r="E107" s="123"/>
      <c r="K107" s="123"/>
      <c r="L107" s="123"/>
      <c r="M107" s="123"/>
    </row>
    <row r="108" spans="2:13" x14ac:dyDescent="0.35">
      <c r="F108" s="43"/>
      <c r="G108" s="43"/>
      <c r="H108" s="43"/>
      <c r="I108" s="43"/>
      <c r="J108" s="43"/>
    </row>
  </sheetData>
  <mergeCells count="4">
    <mergeCell ref="B9:L9"/>
    <mergeCell ref="B29:L29"/>
    <mergeCell ref="B2:C7"/>
    <mergeCell ref="D2:L7"/>
  </mergeCells>
  <pageMargins left="0.31496062992125984" right="0.31496062992125984" top="0.74803149606299213" bottom="0.74803149606299213" header="0.31496062992125984" footer="0.31496062992125984"/>
  <pageSetup paperSize="9" scale="80" orientation="portrait" r:id="rId1"/>
  <headerFooter>
    <oddHeader xml:space="preserve">&amp;R </oddHeader>
    <oddFooter>&amp;RBy Nikhil Kulkarni MBA</oddFooter>
  </headerFooter>
  <colBreaks count="1" manualBreakCount="1">
    <brk id="1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B1CB7-9D5F-4370-AB51-8BB64C6DA55E}">
  <sheetPr>
    <tabColor theme="7" tint="-0.249977111117893"/>
  </sheetPr>
  <dimension ref="B1:T107"/>
  <sheetViews>
    <sheetView showGridLines="0" tabSelected="1" view="pageBreakPreview" zoomScale="55" zoomScaleNormal="59" zoomScaleSheetLayoutView="55" workbookViewId="0">
      <selection activeCell="G72" sqref="G72"/>
    </sheetView>
  </sheetViews>
  <sheetFormatPr defaultRowHeight="14.5" x14ac:dyDescent="0.35"/>
  <cols>
    <col min="1" max="1" width="1.81640625" customWidth="1"/>
    <col min="2" max="2" width="27.90625" customWidth="1"/>
    <col min="4" max="4" width="16.08984375" customWidth="1"/>
    <col min="5" max="5" width="12.08984375" customWidth="1"/>
    <col min="6" max="6" width="8.7265625" style="123"/>
    <col min="7" max="7" width="9.36328125" style="123" bestFit="1" customWidth="1"/>
    <col min="8" max="8" width="10.453125" style="123" customWidth="1"/>
    <col min="9" max="9" width="14.08984375" style="123" customWidth="1"/>
    <col min="10" max="10" width="10.453125" style="123" bestFit="1" customWidth="1"/>
    <col min="14" max="15" width="14.453125" customWidth="1"/>
    <col min="16" max="16" width="12.90625" customWidth="1"/>
    <col min="17" max="17" width="16.90625" customWidth="1"/>
  </cols>
  <sheetData>
    <row r="1" spans="2:20" x14ac:dyDescent="0.35">
      <c r="F1"/>
      <c r="G1"/>
      <c r="H1"/>
      <c r="I1"/>
      <c r="J1"/>
    </row>
    <row r="2" spans="2:20" x14ac:dyDescent="0.35">
      <c r="B2" s="217"/>
      <c r="C2" s="217"/>
      <c r="D2" s="225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E2" s="225"/>
      <c r="F2" s="225"/>
      <c r="G2" s="225"/>
      <c r="H2" s="225"/>
      <c r="I2" s="225"/>
      <c r="J2" s="225"/>
    </row>
    <row r="3" spans="2:20" x14ac:dyDescent="0.35">
      <c r="B3" s="217"/>
      <c r="C3" s="217"/>
      <c r="D3" s="225"/>
      <c r="E3" s="225"/>
      <c r="F3" s="225"/>
      <c r="G3" s="225"/>
      <c r="H3" s="225"/>
      <c r="I3" s="225"/>
      <c r="J3" s="225"/>
    </row>
    <row r="4" spans="2:20" x14ac:dyDescent="0.35">
      <c r="B4" s="217"/>
      <c r="C4" s="217"/>
      <c r="D4" s="225"/>
      <c r="E4" s="225"/>
      <c r="F4" s="225"/>
      <c r="G4" s="225"/>
      <c r="H4" s="225"/>
      <c r="I4" s="225"/>
      <c r="J4" s="225"/>
    </row>
    <row r="5" spans="2:20" x14ac:dyDescent="0.35">
      <c r="B5" s="217"/>
      <c r="C5" s="217"/>
      <c r="D5" s="225"/>
      <c r="E5" s="225"/>
      <c r="F5" s="225"/>
      <c r="G5" s="225"/>
      <c r="H5" s="225"/>
      <c r="I5" s="225"/>
      <c r="J5" s="225"/>
      <c r="K5" s="123"/>
      <c r="L5" s="123"/>
      <c r="M5" s="123"/>
      <c r="N5" s="123"/>
      <c r="O5" s="123"/>
      <c r="P5" s="123"/>
      <c r="Q5" s="123"/>
      <c r="R5" s="123"/>
      <c r="S5" s="123"/>
      <c r="T5" s="123"/>
    </row>
    <row r="6" spans="2:20" x14ac:dyDescent="0.35">
      <c r="B6" s="217"/>
      <c r="C6" s="217"/>
      <c r="D6" s="225"/>
      <c r="E6" s="225"/>
      <c r="F6" s="225"/>
      <c r="G6" s="225"/>
      <c r="H6" s="225"/>
      <c r="I6" s="225"/>
      <c r="J6" s="225"/>
      <c r="K6" s="123"/>
      <c r="L6" s="123"/>
      <c r="M6" s="123"/>
      <c r="N6" s="123"/>
      <c r="O6" s="123"/>
      <c r="P6" s="123"/>
      <c r="Q6" s="123"/>
      <c r="R6" s="123"/>
      <c r="S6" s="123"/>
      <c r="T6" s="123"/>
    </row>
    <row r="7" spans="2:20" x14ac:dyDescent="0.35">
      <c r="B7" s="217"/>
      <c r="C7" s="217"/>
      <c r="D7" s="225"/>
      <c r="E7" s="225"/>
      <c r="F7" s="225"/>
      <c r="G7" s="225"/>
      <c r="H7" s="225"/>
      <c r="I7" s="226"/>
      <c r="J7" s="226"/>
      <c r="K7" s="123"/>
      <c r="L7" s="123"/>
      <c r="M7" s="123"/>
      <c r="N7" s="123"/>
      <c r="O7" s="123"/>
      <c r="P7" s="123"/>
      <c r="Q7" s="123"/>
      <c r="R7" s="123"/>
      <c r="S7" s="123"/>
      <c r="T7" s="123"/>
    </row>
    <row r="8" spans="2:20" x14ac:dyDescent="0.35">
      <c r="F8"/>
      <c r="G8"/>
      <c r="H8"/>
      <c r="K8" s="123"/>
      <c r="L8" s="123"/>
      <c r="M8" s="123"/>
      <c r="N8" s="123"/>
      <c r="O8" s="123"/>
      <c r="P8" s="123"/>
      <c r="Q8" s="123"/>
      <c r="R8" s="123"/>
      <c r="S8" s="123"/>
      <c r="T8" s="123"/>
    </row>
    <row r="9" spans="2:20" ht="15.5" x14ac:dyDescent="0.35">
      <c r="B9" s="222" t="str">
        <f>"Weighted Average Cost Of Capital - "&amp;'Data Sheet'!B1</f>
        <v>Weighted Average Cost Of Capital - EICHER MOTORS LTD</v>
      </c>
      <c r="C9" s="222"/>
      <c r="D9" s="222"/>
      <c r="E9" s="222"/>
      <c r="F9" s="222"/>
      <c r="G9" s="222"/>
      <c r="H9" s="222"/>
      <c r="I9" s="223"/>
      <c r="J9" s="223"/>
      <c r="K9" s="123"/>
      <c r="L9" s="123"/>
      <c r="M9" s="123"/>
      <c r="N9" s="123"/>
      <c r="O9" s="123"/>
      <c r="P9" s="123"/>
      <c r="Q9" s="123"/>
      <c r="R9" s="123"/>
      <c r="S9" s="123"/>
      <c r="T9" s="123"/>
    </row>
    <row r="10" spans="2:20" x14ac:dyDescent="0.35">
      <c r="B10" s="294" t="s">
        <v>141</v>
      </c>
      <c r="C10" s="123"/>
      <c r="D10" s="123"/>
      <c r="E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</row>
    <row r="11" spans="2:20" x14ac:dyDescent="0.35">
      <c r="B11" s="294"/>
      <c r="C11" s="123"/>
      <c r="D11" s="123"/>
      <c r="E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</row>
    <row r="12" spans="2:20" x14ac:dyDescent="0.35">
      <c r="B12" s="123" t="s">
        <v>144</v>
      </c>
      <c r="C12" s="123"/>
      <c r="D12" s="123"/>
      <c r="E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</row>
    <row r="13" spans="2:20" ht="8" customHeight="1" x14ac:dyDescent="0.35">
      <c r="B13" s="57"/>
      <c r="C13" s="57"/>
      <c r="D13" s="57"/>
      <c r="E13" s="57"/>
      <c r="F13" s="57"/>
      <c r="G13" s="57"/>
      <c r="H13" s="57"/>
      <c r="I13" s="57"/>
      <c r="J13" s="57"/>
      <c r="K13" s="123"/>
      <c r="L13" s="123"/>
      <c r="M13" s="123"/>
      <c r="N13" s="123"/>
      <c r="O13" s="123"/>
      <c r="P13" s="123"/>
      <c r="Q13" s="123"/>
      <c r="R13" s="123"/>
      <c r="S13" s="123"/>
      <c r="T13" s="123"/>
    </row>
    <row r="14" spans="2:20" ht="15.5" x14ac:dyDescent="0.35">
      <c r="B14" s="104"/>
      <c r="C14" s="104"/>
      <c r="D14" s="104"/>
      <c r="E14" s="104"/>
      <c r="F14" s="104"/>
      <c r="G14" s="96" t="s">
        <v>193</v>
      </c>
      <c r="H14" s="96" t="s">
        <v>193</v>
      </c>
      <c r="I14" s="104"/>
      <c r="J14" s="104"/>
      <c r="K14" s="123"/>
      <c r="L14" s="123"/>
      <c r="M14" s="123"/>
      <c r="N14" s="286"/>
      <c r="O14" s="286"/>
      <c r="P14" s="286"/>
      <c r="Q14" s="286"/>
      <c r="R14" s="123"/>
      <c r="S14" s="123"/>
      <c r="T14" s="123"/>
    </row>
    <row r="15" spans="2:20" ht="17.5" x14ac:dyDescent="0.35">
      <c r="B15" s="105" t="s">
        <v>142</v>
      </c>
      <c r="C15" s="105" t="s">
        <v>143</v>
      </c>
      <c r="D15" s="96" t="s">
        <v>145</v>
      </c>
      <c r="E15" s="96" t="s">
        <v>146</v>
      </c>
      <c r="F15" s="96" t="s">
        <v>474</v>
      </c>
      <c r="G15" s="96" t="s">
        <v>147</v>
      </c>
      <c r="H15" s="96" t="s">
        <v>194</v>
      </c>
      <c r="I15" s="96" t="s">
        <v>195</v>
      </c>
      <c r="J15" s="96" t="s">
        <v>196</v>
      </c>
      <c r="K15" s="287"/>
      <c r="L15" s="288"/>
      <c r="M15" s="289"/>
      <c r="N15" s="290"/>
      <c r="O15" s="290"/>
      <c r="P15" s="291"/>
      <c r="Q15" s="291"/>
      <c r="R15" s="290"/>
      <c r="S15" s="123"/>
      <c r="T15" s="123"/>
    </row>
    <row r="16" spans="2:20" x14ac:dyDescent="0.35">
      <c r="B16" s="106" t="str">
        <f>O17</f>
        <v>Eicher Motors</v>
      </c>
      <c r="C16" s="102" t="s">
        <v>192</v>
      </c>
      <c r="D16" s="107">
        <f>IFERROR(P17,0)</f>
        <v>7164.5</v>
      </c>
      <c r="E16" s="107">
        <f>IFERROR(Q17,0)</f>
        <v>196493.51</v>
      </c>
      <c r="F16" s="108">
        <v>0.3</v>
      </c>
      <c r="G16" s="71">
        <f>D16/E16</f>
        <v>3.6461764055209761E-2</v>
      </c>
      <c r="H16" s="71">
        <f>D16/(D16+E16)</f>
        <v>3.5179072995950418E-2</v>
      </c>
      <c r="I16" s="109">
        <v>1.0724979369304517</v>
      </c>
      <c r="J16" s="82">
        <f>I16/(1+(1-F16)*G16)</f>
        <v>1.0458055951303684</v>
      </c>
      <c r="K16" s="287"/>
      <c r="L16" s="288"/>
      <c r="M16" s="289"/>
      <c r="N16" s="292" t="s">
        <v>188</v>
      </c>
      <c r="O16" s="292" t="s">
        <v>189</v>
      </c>
      <c r="P16" s="293" t="s">
        <v>190</v>
      </c>
      <c r="Q16" s="293" t="s">
        <v>191</v>
      </c>
      <c r="R16" s="290"/>
      <c r="S16" s="123"/>
      <c r="T16" s="294"/>
    </row>
    <row r="17" spans="2:20" s="17" customFormat="1" x14ac:dyDescent="0.35">
      <c r="B17" s="106" t="str">
        <f t="shared" ref="B17:B21" si="0">O18</f>
        <v>Maruti Suzuki</v>
      </c>
      <c r="C17" s="102" t="s">
        <v>192</v>
      </c>
      <c r="D17" s="107">
        <f t="shared" ref="D17:D21" si="1">IFERROR(P18,0)</f>
        <v>15240.95</v>
      </c>
      <c r="E17" s="107">
        <f t="shared" ref="E17:E21" si="2">IFERROR(Q18,0)</f>
        <v>479179.33</v>
      </c>
      <c r="F17" s="108">
        <v>0.3</v>
      </c>
      <c r="G17" s="71">
        <f>D17/E17</f>
        <v>3.1806359427064605E-2</v>
      </c>
      <c r="H17" s="71">
        <f>D17/(D17+E17)</f>
        <v>3.0825899779030098E-2</v>
      </c>
      <c r="I17" s="107">
        <v>1.02</v>
      </c>
      <c r="J17" s="82">
        <f>I17/(1+(1-F17)*G17)</f>
        <v>0.99778486711985015</v>
      </c>
      <c r="K17" s="295"/>
      <c r="L17" s="288"/>
      <c r="M17" s="289"/>
      <c r="N17" s="292">
        <v>1</v>
      </c>
      <c r="O17" s="292" t="s">
        <v>138</v>
      </c>
      <c r="P17" s="293">
        <v>7164.5</v>
      </c>
      <c r="Q17" s="293">
        <v>196493.51</v>
      </c>
      <c r="R17" s="290"/>
      <c r="S17" s="123"/>
      <c r="T17" s="294"/>
    </row>
    <row r="18" spans="2:20" x14ac:dyDescent="0.35">
      <c r="B18" s="106" t="str">
        <f t="shared" si="0"/>
        <v>M &amp; M</v>
      </c>
      <c r="C18" s="102" t="s">
        <v>192</v>
      </c>
      <c r="D18" s="107">
        <f t="shared" si="1"/>
        <v>3394.3</v>
      </c>
      <c r="E18" s="107">
        <f t="shared" si="2"/>
        <v>422091.07</v>
      </c>
      <c r="F18" s="108">
        <v>0.3</v>
      </c>
      <c r="G18" s="71">
        <f t="shared" ref="G18:G21" si="3">D18/E18</f>
        <v>8.0416294995295685E-3</v>
      </c>
      <c r="H18" s="71">
        <f t="shared" ref="H18:H21" si="4">D18/(D18+E18)</f>
        <v>7.9774775804864924E-3</v>
      </c>
      <c r="I18" s="107">
        <v>1.47</v>
      </c>
      <c r="J18" s="82">
        <f t="shared" ref="J18:J21" si="5">I18/(1+(1-F18)*G18)</f>
        <v>1.4617714827260573</v>
      </c>
      <c r="K18" s="128"/>
      <c r="L18" s="288"/>
      <c r="M18" s="289"/>
      <c r="N18" s="292">
        <v>2</v>
      </c>
      <c r="O18" s="292" t="s">
        <v>183</v>
      </c>
      <c r="P18" s="293">
        <v>15240.95</v>
      </c>
      <c r="Q18" s="293">
        <v>479179.33</v>
      </c>
      <c r="R18" s="290"/>
      <c r="S18" s="123"/>
      <c r="T18" s="123"/>
    </row>
    <row r="19" spans="2:20" x14ac:dyDescent="0.35">
      <c r="B19" s="106" t="str">
        <f t="shared" si="0"/>
        <v>Bajaj Auto</v>
      </c>
      <c r="C19" s="102" t="s">
        <v>192</v>
      </c>
      <c r="D19" s="107">
        <f t="shared" si="1"/>
        <v>9478.1</v>
      </c>
      <c r="E19" s="107">
        <f t="shared" si="2"/>
        <v>264916.46999999997</v>
      </c>
      <c r="F19" s="108">
        <v>0.3</v>
      </c>
      <c r="G19" s="71">
        <f t="shared" si="3"/>
        <v>3.5777692493033753E-2</v>
      </c>
      <c r="H19" s="71">
        <f t="shared" si="4"/>
        <v>3.4541864294180463E-2</v>
      </c>
      <c r="I19" s="107">
        <v>0.99399999999999999</v>
      </c>
      <c r="J19" s="82">
        <f t="shared" si="5"/>
        <v>0.96971410681612313</v>
      </c>
      <c r="K19" s="128"/>
      <c r="L19" s="288"/>
      <c r="M19" s="289"/>
      <c r="N19" s="292">
        <v>3</v>
      </c>
      <c r="O19" s="292" t="s">
        <v>184</v>
      </c>
      <c r="P19" s="293">
        <v>3394.3</v>
      </c>
      <c r="Q19" s="293">
        <v>422091.07</v>
      </c>
      <c r="R19" s="290"/>
      <c r="S19" s="294"/>
      <c r="T19" s="294"/>
    </row>
    <row r="20" spans="2:20" x14ac:dyDescent="0.35">
      <c r="B20" s="106" t="str">
        <f t="shared" si="0"/>
        <v>Hyundai Motor I</v>
      </c>
      <c r="C20" s="102" t="s">
        <v>192</v>
      </c>
      <c r="D20" s="107">
        <f t="shared" si="1"/>
        <v>2173.4</v>
      </c>
      <c r="E20" s="107">
        <f t="shared" si="2"/>
        <v>176597.7</v>
      </c>
      <c r="F20" s="108">
        <v>0.3</v>
      </c>
      <c r="G20" s="71">
        <f t="shared" si="3"/>
        <v>1.2307068551855432E-2</v>
      </c>
      <c r="H20" s="71">
        <f t="shared" si="4"/>
        <v>1.2157446030146931E-2</v>
      </c>
      <c r="I20" s="107">
        <v>1.1100000000000001</v>
      </c>
      <c r="J20" s="82">
        <f t="shared" si="5"/>
        <v>1.1005190853220219</v>
      </c>
      <c r="K20" s="128"/>
      <c r="L20" s="288"/>
      <c r="M20" s="289"/>
      <c r="N20" s="292">
        <v>4</v>
      </c>
      <c r="O20" s="292" t="s">
        <v>185</v>
      </c>
      <c r="P20" s="293">
        <v>9478.1</v>
      </c>
      <c r="Q20" s="293">
        <v>264916.46999999997</v>
      </c>
      <c r="R20" s="290"/>
      <c r="S20" s="123"/>
      <c r="T20" s="123"/>
    </row>
    <row r="21" spans="2:20" x14ac:dyDescent="0.35">
      <c r="B21" s="336" t="str">
        <f t="shared" si="0"/>
        <v>TVS Motor Co.</v>
      </c>
      <c r="C21" s="337" t="s">
        <v>192</v>
      </c>
      <c r="D21" s="338">
        <f t="shared" si="1"/>
        <v>3565.3</v>
      </c>
      <c r="E21" s="107">
        <f t="shared" si="2"/>
        <v>169382.81</v>
      </c>
      <c r="F21" s="108">
        <v>0.3</v>
      </c>
      <c r="G21" s="71">
        <f t="shared" si="3"/>
        <v>2.1048771123823015E-2</v>
      </c>
      <c r="H21" s="71">
        <f t="shared" si="4"/>
        <v>2.0614853784756599E-2</v>
      </c>
      <c r="I21" s="107">
        <v>1.33</v>
      </c>
      <c r="J21" s="82">
        <f t="shared" si="5"/>
        <v>1.3106881377614843</v>
      </c>
      <c r="K21" s="128"/>
      <c r="L21" s="290"/>
      <c r="M21" s="290"/>
      <c r="N21" s="292">
        <v>5</v>
      </c>
      <c r="O21" s="296" t="s">
        <v>186</v>
      </c>
      <c r="P21" s="291">
        <v>2173.4</v>
      </c>
      <c r="Q21" s="291">
        <v>176597.7</v>
      </c>
      <c r="R21" s="290"/>
      <c r="S21" s="123"/>
      <c r="T21" s="123"/>
    </row>
    <row r="22" spans="2:20" x14ac:dyDescent="0.35">
      <c r="B22" s="123"/>
      <c r="C22" s="123"/>
      <c r="D22" s="123"/>
      <c r="E22" s="59"/>
      <c r="F22" s="59"/>
      <c r="G22" s="59"/>
      <c r="H22" s="59"/>
      <c r="I22" s="59"/>
      <c r="J22" s="59"/>
      <c r="K22" s="123"/>
      <c r="L22" s="290"/>
      <c r="M22" s="290"/>
      <c r="N22" s="292">
        <v>6</v>
      </c>
      <c r="O22" s="296" t="s">
        <v>187</v>
      </c>
      <c r="P22" s="291">
        <v>3565.3</v>
      </c>
      <c r="Q22" s="291">
        <v>169382.81</v>
      </c>
      <c r="R22" s="290"/>
      <c r="S22" s="123"/>
      <c r="T22" s="123"/>
    </row>
    <row r="23" spans="2:20" x14ac:dyDescent="0.35">
      <c r="B23" s="123"/>
      <c r="C23" s="123"/>
      <c r="D23" s="123"/>
      <c r="E23" s="110" t="s">
        <v>197</v>
      </c>
      <c r="F23" s="60">
        <f>AVERAGE(F16:F21)</f>
        <v>0.3</v>
      </c>
      <c r="G23" s="60">
        <f t="shared" ref="G23:J23" si="6">AVERAGE(G16:G21)</f>
        <v>2.4240547525086021E-2</v>
      </c>
      <c r="H23" s="60">
        <f t="shared" si="6"/>
        <v>2.3549435744091834E-2</v>
      </c>
      <c r="I23" s="76">
        <f t="shared" si="6"/>
        <v>1.1660829894884086</v>
      </c>
      <c r="J23" s="76">
        <f t="shared" si="6"/>
        <v>1.147713879145984</v>
      </c>
      <c r="K23" s="123"/>
      <c r="L23" s="290"/>
      <c r="M23" s="290"/>
      <c r="N23" s="290"/>
      <c r="O23" s="290"/>
      <c r="P23" s="291"/>
      <c r="Q23" s="291"/>
      <c r="R23" s="290"/>
      <c r="S23" s="123"/>
      <c r="T23" s="123"/>
    </row>
    <row r="24" spans="2:20" x14ac:dyDescent="0.35">
      <c r="B24" s="123"/>
      <c r="C24" s="123"/>
      <c r="D24" s="123"/>
      <c r="E24" s="285" t="s">
        <v>198</v>
      </c>
      <c r="F24" s="320">
        <f>MEDIAN(F16:F21)</f>
        <v>0.3</v>
      </c>
      <c r="G24" s="320">
        <f t="shared" ref="G24:J24" si="7">MEDIAN(G16:G21)</f>
        <v>2.642756527544381E-2</v>
      </c>
      <c r="H24" s="320">
        <f t="shared" si="7"/>
        <v>2.5720376781893348E-2</v>
      </c>
      <c r="I24" s="258">
        <f t="shared" si="7"/>
        <v>1.091248968465226</v>
      </c>
      <c r="J24" s="258">
        <f t="shared" si="7"/>
        <v>1.0731623402261952</v>
      </c>
      <c r="K24" s="123"/>
      <c r="L24" s="291"/>
      <c r="M24" s="291"/>
      <c r="N24" s="291"/>
      <c r="O24" s="291"/>
      <c r="P24" s="291"/>
      <c r="Q24" s="291"/>
      <c r="R24" s="290"/>
      <c r="S24" s="123"/>
      <c r="T24" s="123"/>
    </row>
    <row r="25" spans="2:20" x14ac:dyDescent="0.35">
      <c r="B25" s="123"/>
      <c r="C25" s="123"/>
      <c r="D25" s="123"/>
      <c r="E25" s="123"/>
      <c r="K25" s="126"/>
      <c r="L25" s="126"/>
      <c r="M25" s="123"/>
      <c r="N25" s="123"/>
      <c r="O25" s="123"/>
      <c r="P25" s="123"/>
      <c r="Q25" s="123"/>
      <c r="R25" s="123"/>
      <c r="S25" s="123"/>
      <c r="T25" s="123"/>
    </row>
    <row r="26" spans="2:20" x14ac:dyDescent="0.35">
      <c r="B26" s="123"/>
      <c r="C26" s="123"/>
      <c r="D26" s="123"/>
      <c r="E26" s="123"/>
      <c r="K26" s="126"/>
      <c r="L26" s="126"/>
      <c r="M26" s="126"/>
      <c r="N26" s="126"/>
      <c r="O26" s="126"/>
      <c r="P26" s="123"/>
      <c r="Q26" s="123"/>
      <c r="R26" s="123"/>
      <c r="S26" s="123"/>
      <c r="T26" s="123"/>
    </row>
    <row r="27" spans="2:20" x14ac:dyDescent="0.35">
      <c r="B27" s="57"/>
      <c r="C27" s="57"/>
      <c r="D27" s="57"/>
      <c r="E27" s="57"/>
      <c r="G27" s="57"/>
      <c r="H27" s="57"/>
      <c r="I27" s="57"/>
      <c r="J27" s="57"/>
      <c r="K27" s="126"/>
      <c r="L27" s="126"/>
      <c r="M27" s="126"/>
      <c r="N27" s="126"/>
      <c r="O27" s="126"/>
      <c r="P27" s="123"/>
      <c r="Q27" s="123"/>
      <c r="R27" s="123"/>
      <c r="S27" s="123"/>
      <c r="T27" s="123"/>
    </row>
    <row r="28" spans="2:20" ht="15.5" x14ac:dyDescent="0.35">
      <c r="B28" s="105" t="s">
        <v>199</v>
      </c>
      <c r="C28" s="105"/>
      <c r="D28" s="105"/>
      <c r="E28" s="105"/>
      <c r="F28" s="150"/>
      <c r="G28" s="105" t="s">
        <v>202</v>
      </c>
      <c r="H28" s="105"/>
      <c r="I28" s="105"/>
      <c r="J28" s="105"/>
      <c r="K28" s="297"/>
      <c r="L28" s="126"/>
      <c r="M28" s="126"/>
      <c r="N28" s="298">
        <v>6.7119999999999997</v>
      </c>
      <c r="O28" s="126"/>
      <c r="P28" s="123"/>
      <c r="Q28" s="123"/>
      <c r="R28" s="123"/>
      <c r="S28" s="123"/>
      <c r="T28" s="123"/>
    </row>
    <row r="29" spans="2:20" x14ac:dyDescent="0.35">
      <c r="B29" s="285"/>
      <c r="C29" s="254"/>
      <c r="D29" s="254"/>
      <c r="E29" s="254"/>
      <c r="G29" s="285"/>
      <c r="H29" s="254"/>
      <c r="I29" s="254"/>
      <c r="J29" s="254"/>
      <c r="K29" s="126"/>
      <c r="L29" s="126"/>
      <c r="M29" s="126"/>
      <c r="N29" s="298">
        <f>N28/M31</f>
        <v>6.7119999999999999E-2</v>
      </c>
      <c r="O29" s="126"/>
      <c r="P29" s="123"/>
      <c r="Q29" s="123"/>
      <c r="R29" s="123"/>
      <c r="S29" s="123"/>
      <c r="T29" s="123"/>
    </row>
    <row r="30" spans="2:20" x14ac:dyDescent="0.35">
      <c r="B30" s="57" t="s">
        <v>200</v>
      </c>
      <c r="C30" s="57"/>
      <c r="D30" s="57"/>
      <c r="E30" s="360">
        <f>N36/N37</f>
        <v>0.12113598636098524</v>
      </c>
      <c r="G30" s="57" t="s">
        <v>203</v>
      </c>
      <c r="H30" s="57"/>
      <c r="I30" s="57"/>
      <c r="J30" s="360">
        <f>N29</f>
        <v>6.7119999999999999E-2</v>
      </c>
      <c r="K30" s="126"/>
      <c r="L30" s="126"/>
      <c r="M30" s="126"/>
      <c r="N30" s="126"/>
      <c r="O30" s="126"/>
      <c r="P30" s="123"/>
      <c r="Q30" s="123"/>
      <c r="R30" s="123"/>
      <c r="S30" s="123"/>
      <c r="T30" s="123"/>
    </row>
    <row r="31" spans="2:20" x14ac:dyDescent="0.35">
      <c r="B31" s="59" t="s">
        <v>201</v>
      </c>
      <c r="C31" s="59"/>
      <c r="D31" s="59"/>
      <c r="E31" s="60">
        <f>F23</f>
        <v>0.3</v>
      </c>
      <c r="G31" s="59" t="s">
        <v>204</v>
      </c>
      <c r="H31" s="59"/>
      <c r="I31" s="59"/>
      <c r="J31" s="60">
        <f>RM!G14-WACC!J30</f>
        <v>8.4372307692307705E-2</v>
      </c>
      <c r="K31" s="126"/>
      <c r="L31" s="126"/>
      <c r="M31" s="126">
        <v>100</v>
      </c>
      <c r="N31" s="126">
        <f>M31/N28</f>
        <v>14.898688915375448</v>
      </c>
      <c r="O31" s="126"/>
      <c r="P31" s="123"/>
      <c r="Q31" s="123"/>
      <c r="R31" s="123"/>
      <c r="S31" s="123"/>
      <c r="T31" s="123"/>
    </row>
    <row r="32" spans="2:20" ht="16.5" x14ac:dyDescent="0.35">
      <c r="B32" s="59" t="s">
        <v>211</v>
      </c>
      <c r="C32" s="59"/>
      <c r="D32" s="59"/>
      <c r="E32" s="60">
        <f>E30*(1-E31)</f>
        <v>8.479519045268967E-2</v>
      </c>
      <c r="G32" s="59" t="s">
        <v>205</v>
      </c>
      <c r="H32" s="59"/>
      <c r="I32" s="59"/>
      <c r="J32" s="76">
        <f>K40</f>
        <v>0.63631569386347631</v>
      </c>
      <c r="K32" s="126"/>
      <c r="L32" s="126"/>
      <c r="M32" s="126"/>
      <c r="N32" s="126"/>
      <c r="O32" s="126"/>
      <c r="P32" s="123"/>
      <c r="Q32" s="123"/>
      <c r="R32" s="123"/>
      <c r="S32" s="123"/>
      <c r="T32" s="123"/>
    </row>
    <row r="33" spans="2:20" x14ac:dyDescent="0.35">
      <c r="B33" s="254"/>
      <c r="C33" s="254"/>
      <c r="D33" s="254"/>
      <c r="E33" s="254"/>
      <c r="G33" s="59" t="s">
        <v>202</v>
      </c>
      <c r="H33" s="59"/>
      <c r="I33" s="59"/>
      <c r="J33" s="76">
        <f>J30+(J31*J32)</f>
        <v>0.1208074235120935</v>
      </c>
      <c r="K33" s="126"/>
      <c r="L33" s="126"/>
      <c r="M33" s="126"/>
      <c r="N33" s="126"/>
      <c r="O33" s="126"/>
      <c r="P33" s="123"/>
      <c r="Q33" s="123"/>
      <c r="R33" s="123"/>
      <c r="S33" s="123"/>
      <c r="T33" s="123"/>
    </row>
    <row r="34" spans="2:20" x14ac:dyDescent="0.35">
      <c r="B34" s="123"/>
      <c r="C34" s="123"/>
      <c r="D34" s="123"/>
      <c r="E34" s="123"/>
      <c r="G34" s="59"/>
      <c r="H34" s="59"/>
      <c r="I34" s="59"/>
      <c r="J34" s="59"/>
      <c r="K34" s="126"/>
      <c r="L34" s="126"/>
      <c r="M34" s="126"/>
      <c r="N34" s="126"/>
      <c r="O34" s="126"/>
      <c r="P34" s="123"/>
      <c r="Q34" s="123"/>
      <c r="R34" s="123"/>
      <c r="S34" s="123"/>
      <c r="T34" s="123"/>
    </row>
    <row r="35" spans="2:20" ht="15.5" x14ac:dyDescent="0.35">
      <c r="B35" s="331" t="s">
        <v>206</v>
      </c>
      <c r="C35" s="331"/>
      <c r="D35" s="331"/>
      <c r="E35" s="331"/>
      <c r="F35" s="150"/>
      <c r="G35" s="105" t="s">
        <v>212</v>
      </c>
      <c r="H35" s="104"/>
      <c r="I35" s="104"/>
      <c r="J35" s="104"/>
      <c r="K35" s="126"/>
      <c r="L35" s="126"/>
      <c r="M35" s="126"/>
      <c r="N35" s="126"/>
      <c r="O35" s="126"/>
      <c r="P35" s="123"/>
      <c r="Q35" s="123"/>
      <c r="R35" s="123"/>
      <c r="S35" s="123"/>
      <c r="T35" s="123"/>
    </row>
    <row r="36" spans="2:20" x14ac:dyDescent="0.35">
      <c r="B36" s="285"/>
      <c r="C36" s="254"/>
      <c r="D36" s="254"/>
      <c r="E36" s="254"/>
      <c r="G36" s="285"/>
      <c r="H36" s="254"/>
      <c r="I36" s="254"/>
      <c r="J36" s="254"/>
      <c r="K36" s="126"/>
      <c r="L36" s="126"/>
      <c r="M36" s="126"/>
      <c r="N36" s="299">
        <v>54</v>
      </c>
      <c r="O36" s="126"/>
      <c r="P36" s="123"/>
      <c r="Q36" s="123"/>
      <c r="R36" s="123"/>
      <c r="S36" s="123"/>
      <c r="T36" s="123"/>
    </row>
    <row r="37" spans="2:20" x14ac:dyDescent="0.35">
      <c r="B37" s="57"/>
      <c r="C37" s="57"/>
      <c r="D37" s="361" t="s">
        <v>207</v>
      </c>
      <c r="E37" s="361" t="s">
        <v>208</v>
      </c>
      <c r="G37" s="57" t="s">
        <v>213</v>
      </c>
      <c r="H37" s="57"/>
      <c r="I37" s="57"/>
      <c r="J37" s="362">
        <f>J24</f>
        <v>1.0731623402261952</v>
      </c>
      <c r="K37" s="300">
        <f>J24</f>
        <v>1.0731623402261952</v>
      </c>
      <c r="L37" s="126"/>
      <c r="M37" s="126" t="s">
        <v>276</v>
      </c>
      <c r="N37" s="126">
        <v>445.78</v>
      </c>
      <c r="O37" s="126"/>
      <c r="P37" s="123"/>
      <c r="Q37" s="123"/>
      <c r="R37" s="123"/>
      <c r="S37" s="123"/>
      <c r="T37" s="123"/>
    </row>
    <row r="38" spans="2:20" x14ac:dyDescent="0.35">
      <c r="B38" s="59" t="s">
        <v>145</v>
      </c>
      <c r="C38" s="102">
        <f>D16</f>
        <v>7164.5</v>
      </c>
      <c r="D38" s="60">
        <f>C38/$C$40</f>
        <v>3.5179072995950418E-2</v>
      </c>
      <c r="E38" s="60">
        <f>H23</f>
        <v>2.3549435744091834E-2</v>
      </c>
      <c r="G38" s="59" t="s">
        <v>301</v>
      </c>
      <c r="H38" s="59"/>
      <c r="I38" s="59"/>
      <c r="J38" s="60">
        <f>E38</f>
        <v>2.3549435744091834E-2</v>
      </c>
      <c r="K38" s="298">
        <f>E38</f>
        <v>2.3549435744091834E-2</v>
      </c>
      <c r="L38" s="126"/>
      <c r="M38" s="126"/>
      <c r="N38" s="126"/>
      <c r="O38" s="126"/>
      <c r="P38" s="123"/>
      <c r="Q38" s="123"/>
      <c r="R38" s="123"/>
      <c r="S38" s="123"/>
      <c r="T38" s="123"/>
    </row>
    <row r="39" spans="2:20" x14ac:dyDescent="0.35">
      <c r="B39" s="59" t="s">
        <v>64</v>
      </c>
      <c r="C39" s="102">
        <f>E16</f>
        <v>196493.51</v>
      </c>
      <c r="D39" s="60">
        <f>C39/$C$40</f>
        <v>0.96482092700404953</v>
      </c>
      <c r="E39" s="60">
        <f>E40-E38</f>
        <v>0.97645056425590815</v>
      </c>
      <c r="G39" s="59" t="s">
        <v>201</v>
      </c>
      <c r="H39" s="59"/>
      <c r="I39" s="59"/>
      <c r="J39" s="60">
        <f>F24</f>
        <v>0.3</v>
      </c>
      <c r="K39" s="298">
        <f>F24</f>
        <v>0.3</v>
      </c>
      <c r="L39" s="126"/>
      <c r="M39" s="126"/>
      <c r="N39" s="126"/>
      <c r="O39" s="126"/>
      <c r="P39" s="123"/>
      <c r="Q39" s="123"/>
      <c r="R39" s="123"/>
      <c r="S39" s="123"/>
      <c r="T39" s="123"/>
    </row>
    <row r="40" spans="2:20" x14ac:dyDescent="0.35">
      <c r="B40" s="59" t="s">
        <v>209</v>
      </c>
      <c r="C40" s="59">
        <f>SUM(C38:C39)</f>
        <v>203658.01</v>
      </c>
      <c r="D40" s="60">
        <f>D38+D39</f>
        <v>1</v>
      </c>
      <c r="E40" s="64">
        <v>1</v>
      </c>
      <c r="G40" s="84" t="s">
        <v>300</v>
      </c>
      <c r="H40" s="59"/>
      <c r="I40" s="59"/>
      <c r="J40" s="76">
        <f>J37*(1+1-J38)*J39</f>
        <v>0.63631569386347631</v>
      </c>
      <c r="K40" s="300">
        <f>K37*(1+1-K38)*K39</f>
        <v>0.63631569386347631</v>
      </c>
      <c r="L40" s="126"/>
      <c r="M40" s="126"/>
      <c r="N40" s="126"/>
      <c r="O40" s="126"/>
      <c r="P40" s="123"/>
      <c r="Q40" s="123"/>
      <c r="R40" s="123"/>
      <c r="S40" s="123"/>
      <c r="T40" s="123"/>
    </row>
    <row r="41" spans="2:20" x14ac:dyDescent="0.35">
      <c r="B41" s="59"/>
      <c r="C41" s="59"/>
      <c r="D41" s="59"/>
      <c r="E41" s="59"/>
      <c r="G41" s="254"/>
      <c r="H41" s="254"/>
      <c r="I41" s="254"/>
      <c r="J41" s="254"/>
      <c r="K41" s="126"/>
      <c r="L41" s="126"/>
      <c r="M41" s="123"/>
      <c r="N41" s="123"/>
      <c r="O41" s="123"/>
      <c r="P41" s="123"/>
      <c r="Q41" s="123"/>
      <c r="R41" s="123"/>
      <c r="S41" s="123"/>
      <c r="T41" s="123"/>
    </row>
    <row r="42" spans="2:20" x14ac:dyDescent="0.35">
      <c r="B42" s="59" t="s">
        <v>210</v>
      </c>
      <c r="C42" s="59"/>
      <c r="D42" s="60">
        <f>D38/D39</f>
        <v>3.6461764055209768E-2</v>
      </c>
      <c r="E42" s="59">
        <f>E38/E39</f>
        <v>2.4117386589906253E-2</v>
      </c>
      <c r="K42" s="126"/>
      <c r="L42" s="126"/>
      <c r="M42" s="123"/>
      <c r="N42" s="123"/>
      <c r="O42" s="123"/>
      <c r="P42" s="123"/>
      <c r="Q42" s="123"/>
      <c r="R42" s="123"/>
      <c r="S42" s="123"/>
      <c r="T42" s="123"/>
    </row>
    <row r="43" spans="2:20" x14ac:dyDescent="0.35">
      <c r="B43" s="254"/>
      <c r="C43" s="254"/>
      <c r="D43" s="320"/>
      <c r="E43" s="254"/>
      <c r="K43" s="126"/>
      <c r="L43" s="126"/>
      <c r="M43" s="123"/>
      <c r="N43" s="123"/>
      <c r="O43" s="123"/>
      <c r="P43" s="123"/>
      <c r="Q43" s="123"/>
      <c r="R43" s="123"/>
      <c r="S43" s="123"/>
      <c r="T43" s="123"/>
    </row>
    <row r="44" spans="2:20" ht="15.5" x14ac:dyDescent="0.35">
      <c r="B44" s="123"/>
      <c r="C44" s="123"/>
      <c r="D44" s="123"/>
      <c r="E44" s="123"/>
      <c r="G44" s="343" t="s">
        <v>292</v>
      </c>
      <c r="H44" s="344"/>
      <c r="I44" s="344"/>
      <c r="J44" s="344"/>
      <c r="K44" s="123"/>
      <c r="L44" s="123"/>
      <c r="M44" s="123"/>
      <c r="N44" s="123"/>
      <c r="O44" s="123"/>
      <c r="P44" s="123"/>
      <c r="Q44" s="123"/>
      <c r="R44" s="123"/>
      <c r="S44" s="123"/>
      <c r="T44" s="123"/>
    </row>
    <row r="45" spans="2:20" x14ac:dyDescent="0.35">
      <c r="B45" s="123"/>
      <c r="C45" s="123"/>
      <c r="D45" s="123"/>
      <c r="E45" s="123"/>
      <c r="G45" s="356"/>
      <c r="H45" s="357"/>
      <c r="I45" s="357"/>
      <c r="J45" s="357"/>
      <c r="K45" s="123"/>
      <c r="L45" s="123"/>
      <c r="M45" s="123"/>
      <c r="N45" s="123"/>
      <c r="O45" s="123"/>
      <c r="P45" s="123"/>
      <c r="Q45" s="123"/>
      <c r="R45" s="123"/>
      <c r="S45" s="123"/>
      <c r="T45" s="123"/>
    </row>
    <row r="46" spans="2:20" x14ac:dyDescent="0.35">
      <c r="B46" s="123"/>
      <c r="C46" s="123"/>
      <c r="D46" s="123"/>
      <c r="E46" s="123"/>
      <c r="G46" s="358"/>
      <c r="H46" s="358"/>
      <c r="I46" s="359" t="s">
        <v>293</v>
      </c>
      <c r="J46" s="358" t="s">
        <v>294</v>
      </c>
      <c r="K46" s="123"/>
      <c r="L46" s="123"/>
      <c r="M46" s="123"/>
      <c r="N46" s="123"/>
      <c r="O46" s="123"/>
      <c r="P46" s="123"/>
      <c r="Q46" s="123"/>
      <c r="R46" s="123"/>
      <c r="S46" s="123"/>
      <c r="T46" s="123"/>
    </row>
    <row r="47" spans="2:20" x14ac:dyDescent="0.35">
      <c r="B47" s="339" t="s">
        <v>296</v>
      </c>
      <c r="C47" s="340"/>
      <c r="D47" s="340"/>
      <c r="E47" s="123"/>
      <c r="G47" s="84" t="s">
        <v>295</v>
      </c>
      <c r="H47" s="84"/>
      <c r="I47" s="202">
        <f>E32</f>
        <v>8.479519045268967E-2</v>
      </c>
      <c r="J47" s="202">
        <f>J33</f>
        <v>0.1208074235120935</v>
      </c>
      <c r="K47" s="123"/>
      <c r="L47" s="123"/>
      <c r="M47" s="123"/>
      <c r="N47" s="123"/>
      <c r="O47" s="123"/>
      <c r="P47" s="123"/>
      <c r="Q47" s="123"/>
      <c r="R47" s="123"/>
      <c r="S47" s="123"/>
      <c r="T47" s="123"/>
    </row>
    <row r="48" spans="2:20" x14ac:dyDescent="0.35">
      <c r="B48" s="341" t="s">
        <v>297</v>
      </c>
      <c r="C48" s="342"/>
      <c r="D48" s="342"/>
      <c r="E48" s="123"/>
      <c r="G48" s="84" t="s">
        <v>226</v>
      </c>
      <c r="H48" s="84"/>
      <c r="I48" s="202">
        <f>J33</f>
        <v>0.1208074235120935</v>
      </c>
      <c r="J48" s="202">
        <f>E39</f>
        <v>0.97645056425590815</v>
      </c>
      <c r="K48" s="123"/>
      <c r="L48" s="123"/>
      <c r="M48" s="123"/>
      <c r="N48" s="123"/>
      <c r="O48" s="123"/>
      <c r="P48" s="123"/>
      <c r="Q48" s="123"/>
      <c r="R48" s="123"/>
      <c r="S48" s="123"/>
      <c r="T48" s="123"/>
    </row>
    <row r="49" spans="2:20" x14ac:dyDescent="0.35">
      <c r="B49" s="341" t="s">
        <v>298</v>
      </c>
      <c r="C49" s="342"/>
      <c r="D49" s="342"/>
      <c r="E49" s="123"/>
      <c r="G49" s="200" t="s">
        <v>292</v>
      </c>
      <c r="H49" s="200"/>
      <c r="I49" s="201" t="s">
        <v>265</v>
      </c>
      <c r="J49" s="201">
        <f>SUMPRODUCT(I47:I48,J47:J48)</f>
        <v>0.12820636533949287</v>
      </c>
      <c r="K49" s="123"/>
      <c r="L49" s="123"/>
      <c r="M49" s="123"/>
      <c r="N49" s="123"/>
      <c r="O49" s="123"/>
      <c r="P49" s="123"/>
      <c r="Q49" s="123"/>
      <c r="R49" s="123"/>
      <c r="S49" s="123"/>
      <c r="T49" s="123"/>
    </row>
    <row r="50" spans="2:20" x14ac:dyDescent="0.35">
      <c r="B50" s="341" t="s">
        <v>299</v>
      </c>
      <c r="C50" s="342"/>
      <c r="D50" s="342"/>
      <c r="E50" s="123"/>
      <c r="G50" s="301"/>
      <c r="H50" s="301"/>
      <c r="I50" s="254"/>
      <c r="J50" s="254"/>
      <c r="K50" s="151"/>
      <c r="L50" s="151"/>
      <c r="M50" s="123"/>
      <c r="N50" s="123"/>
      <c r="O50" s="123"/>
      <c r="P50" s="123"/>
      <c r="Q50" s="123"/>
      <c r="R50" s="123"/>
      <c r="S50" s="123"/>
      <c r="T50" s="123"/>
    </row>
    <row r="51" spans="2:20" x14ac:dyDescent="0.35">
      <c r="B51" s="123"/>
      <c r="C51" s="123"/>
      <c r="D51" s="123"/>
      <c r="E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</row>
    <row r="52" spans="2:20" x14ac:dyDescent="0.35">
      <c r="B52" s="123"/>
      <c r="C52" s="123"/>
      <c r="D52" s="123"/>
      <c r="E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</row>
    <row r="53" spans="2:20" x14ac:dyDescent="0.35">
      <c r="B53" s="123"/>
      <c r="C53" s="123"/>
      <c r="D53" s="123"/>
      <c r="E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</row>
    <row r="54" spans="2:20" x14ac:dyDescent="0.35">
      <c r="B54" s="123"/>
      <c r="C54" s="123"/>
      <c r="D54" s="123"/>
      <c r="E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</row>
    <row r="55" spans="2:20" x14ac:dyDescent="0.35">
      <c r="B55" s="123"/>
      <c r="C55" s="123"/>
      <c r="D55" s="123"/>
      <c r="E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</row>
    <row r="56" spans="2:20" x14ac:dyDescent="0.35">
      <c r="B56" s="123"/>
      <c r="C56" s="123"/>
      <c r="D56" s="123"/>
      <c r="E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</row>
    <row r="57" spans="2:20" x14ac:dyDescent="0.35">
      <c r="B57" s="123"/>
      <c r="C57" s="123"/>
      <c r="D57" s="123"/>
      <c r="E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</row>
    <row r="58" spans="2:20" x14ac:dyDescent="0.35">
      <c r="B58" s="123"/>
      <c r="C58" s="123"/>
      <c r="D58" s="123"/>
      <c r="E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</row>
    <row r="59" spans="2:20" x14ac:dyDescent="0.35">
      <c r="B59" s="123"/>
      <c r="C59" s="123"/>
      <c r="D59" s="123"/>
      <c r="E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</row>
    <row r="60" spans="2:20" x14ac:dyDescent="0.35">
      <c r="B60" s="123"/>
      <c r="C60" s="123"/>
      <c r="D60" s="123"/>
      <c r="E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</row>
    <row r="61" spans="2:20" x14ac:dyDescent="0.35">
      <c r="B61" s="123"/>
      <c r="C61" s="123"/>
      <c r="D61" s="123"/>
      <c r="E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</row>
    <row r="62" spans="2:20" x14ac:dyDescent="0.35">
      <c r="B62" s="123"/>
      <c r="C62" s="123"/>
      <c r="D62" s="123"/>
      <c r="E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</row>
    <row r="63" spans="2:20" x14ac:dyDescent="0.35">
      <c r="B63" s="239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123"/>
      <c r="N63" s="123"/>
      <c r="O63" s="123"/>
      <c r="P63" s="123"/>
      <c r="Q63" s="123"/>
      <c r="R63" s="123"/>
      <c r="S63" s="123"/>
      <c r="T63" s="123"/>
    </row>
    <row r="64" spans="2:20" x14ac:dyDescent="0.35">
      <c r="B64" s="239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123"/>
      <c r="N64" s="123"/>
      <c r="O64" s="123"/>
      <c r="P64" s="123"/>
      <c r="Q64" s="123"/>
      <c r="R64" s="123"/>
      <c r="S64" s="123"/>
      <c r="T64" s="123"/>
    </row>
    <row r="65" spans="2:20" x14ac:dyDescent="0.35"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123"/>
      <c r="N65" s="123"/>
      <c r="O65" s="123"/>
      <c r="P65" s="123"/>
      <c r="Q65" s="123"/>
      <c r="R65" s="123"/>
      <c r="S65" s="123"/>
      <c r="T65" s="123"/>
    </row>
    <row r="66" spans="2:20" x14ac:dyDescent="0.35"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123"/>
      <c r="N66" s="123"/>
      <c r="O66" s="123"/>
      <c r="P66" s="123"/>
      <c r="Q66" s="123"/>
      <c r="R66" s="123"/>
      <c r="S66" s="123"/>
      <c r="T66" s="123"/>
    </row>
    <row r="67" spans="2:20" x14ac:dyDescent="0.35"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123"/>
      <c r="N67" s="123"/>
      <c r="O67" s="123"/>
      <c r="P67" s="123"/>
      <c r="Q67" s="123"/>
      <c r="R67" s="123"/>
      <c r="S67" s="123"/>
      <c r="T67" s="123"/>
    </row>
    <row r="68" spans="2:20" x14ac:dyDescent="0.35"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123"/>
      <c r="N68" s="123"/>
      <c r="O68" s="123"/>
      <c r="P68" s="123"/>
      <c r="Q68" s="123"/>
      <c r="R68" s="123"/>
      <c r="S68" s="123"/>
      <c r="T68" s="123"/>
    </row>
    <row r="69" spans="2:20" x14ac:dyDescent="0.35"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123"/>
      <c r="N69" s="123"/>
      <c r="O69" s="123"/>
      <c r="P69" s="123"/>
      <c r="Q69" s="123"/>
      <c r="R69" s="123"/>
      <c r="S69" s="123"/>
      <c r="T69" s="123"/>
    </row>
    <row r="70" spans="2:20" x14ac:dyDescent="0.35"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123"/>
      <c r="N70" s="123"/>
      <c r="O70" s="123"/>
      <c r="P70" s="123"/>
      <c r="Q70" s="123"/>
      <c r="R70" s="123"/>
      <c r="S70" s="123"/>
      <c r="T70" s="123"/>
    </row>
    <row r="71" spans="2:20" x14ac:dyDescent="0.35"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123"/>
      <c r="N71" s="123"/>
      <c r="O71" s="123"/>
      <c r="P71" s="123"/>
      <c r="Q71" s="123"/>
      <c r="R71" s="123"/>
      <c r="S71" s="123"/>
      <c r="T71" s="123"/>
    </row>
    <row r="72" spans="2:20" x14ac:dyDescent="0.35"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123"/>
      <c r="N72" s="123"/>
      <c r="O72" s="123"/>
      <c r="P72" s="123"/>
      <c r="Q72" s="123"/>
      <c r="R72" s="123"/>
      <c r="S72" s="123"/>
      <c r="T72" s="123"/>
    </row>
    <row r="73" spans="2:20" x14ac:dyDescent="0.35"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123"/>
      <c r="N73" s="123"/>
      <c r="O73" s="123"/>
      <c r="P73" s="123"/>
      <c r="Q73" s="123"/>
      <c r="R73" s="123"/>
      <c r="S73" s="123"/>
      <c r="T73" s="123"/>
    </row>
    <row r="74" spans="2:20" x14ac:dyDescent="0.35"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123"/>
      <c r="N74" s="123"/>
      <c r="O74" s="123"/>
      <c r="P74" s="123"/>
      <c r="Q74" s="123"/>
      <c r="R74" s="123"/>
      <c r="S74" s="123"/>
      <c r="T74" s="123"/>
    </row>
    <row r="75" spans="2:20" x14ac:dyDescent="0.35"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123"/>
      <c r="N75" s="123"/>
      <c r="O75" s="123"/>
      <c r="P75" s="123"/>
      <c r="Q75" s="123"/>
      <c r="R75" s="123"/>
      <c r="S75" s="123"/>
      <c r="T75" s="123"/>
    </row>
    <row r="76" spans="2:20" x14ac:dyDescent="0.35"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23"/>
      <c r="N76" s="123"/>
      <c r="O76" s="123"/>
      <c r="P76" s="123"/>
      <c r="Q76" s="123"/>
      <c r="R76" s="123"/>
      <c r="S76" s="123"/>
      <c r="T76" s="123"/>
    </row>
    <row r="77" spans="2:20" x14ac:dyDescent="0.35"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123"/>
      <c r="N77" s="123"/>
      <c r="O77" s="123"/>
      <c r="P77" s="123"/>
      <c r="Q77" s="123"/>
      <c r="R77" s="123"/>
      <c r="S77" s="123"/>
      <c r="T77" s="123"/>
    </row>
    <row r="78" spans="2:20" x14ac:dyDescent="0.35"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123"/>
      <c r="N78" s="123"/>
      <c r="O78" s="123"/>
      <c r="P78" s="123"/>
      <c r="Q78" s="123"/>
      <c r="R78" s="123"/>
      <c r="S78" s="123"/>
      <c r="T78" s="123"/>
    </row>
    <row r="79" spans="2:20" x14ac:dyDescent="0.35"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123"/>
      <c r="N79" s="123"/>
      <c r="O79" s="123"/>
      <c r="P79" s="123"/>
      <c r="Q79" s="123"/>
      <c r="R79" s="123"/>
      <c r="S79" s="123"/>
      <c r="T79" s="123"/>
    </row>
    <row r="80" spans="2:20" x14ac:dyDescent="0.35"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123"/>
      <c r="N80" s="123"/>
      <c r="O80" s="123"/>
      <c r="P80" s="123"/>
      <c r="Q80" s="123"/>
      <c r="R80" s="123"/>
      <c r="S80" s="123"/>
      <c r="T80" s="123"/>
    </row>
    <row r="81" spans="2:20" x14ac:dyDescent="0.35"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123"/>
      <c r="N81" s="123"/>
      <c r="O81" s="123"/>
      <c r="P81" s="123"/>
      <c r="Q81" s="123"/>
      <c r="R81" s="123"/>
      <c r="S81" s="123"/>
      <c r="T81" s="123"/>
    </row>
    <row r="82" spans="2:20" x14ac:dyDescent="0.35"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123"/>
      <c r="N82" s="123"/>
      <c r="O82" s="123"/>
      <c r="P82" s="123"/>
      <c r="Q82" s="123"/>
      <c r="R82" s="123"/>
      <c r="S82" s="123"/>
      <c r="T82" s="123"/>
    </row>
    <row r="83" spans="2:20" x14ac:dyDescent="0.35">
      <c r="B83" s="239"/>
      <c r="C83" s="239"/>
      <c r="D83" s="239"/>
      <c r="E83" s="239"/>
      <c r="F83" s="239"/>
      <c r="G83" s="239"/>
      <c r="H83" s="239"/>
      <c r="I83" s="239"/>
      <c r="J83" s="239"/>
      <c r="K83" s="238"/>
      <c r="L83" s="238"/>
      <c r="M83" s="43"/>
    </row>
    <row r="84" spans="2:20" x14ac:dyDescent="0.35"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123"/>
    </row>
    <row r="85" spans="2:20" x14ac:dyDescent="0.35"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123"/>
    </row>
    <row r="86" spans="2:20" x14ac:dyDescent="0.35"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123"/>
    </row>
    <row r="87" spans="2:20" x14ac:dyDescent="0.35"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123"/>
    </row>
    <row r="88" spans="2:20" x14ac:dyDescent="0.35"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123"/>
    </row>
    <row r="89" spans="2:20" x14ac:dyDescent="0.35"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123"/>
    </row>
    <row r="90" spans="2:20" x14ac:dyDescent="0.35"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123"/>
    </row>
    <row r="91" spans="2:20" x14ac:dyDescent="0.35"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123"/>
    </row>
    <row r="92" spans="2:20" x14ac:dyDescent="0.35"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123"/>
    </row>
    <row r="93" spans="2:20" x14ac:dyDescent="0.35"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123"/>
    </row>
    <row r="94" spans="2:20" x14ac:dyDescent="0.35"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123"/>
    </row>
    <row r="95" spans="2:20" x14ac:dyDescent="0.35"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123"/>
    </row>
    <row r="96" spans="2:20" x14ac:dyDescent="0.35"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123"/>
    </row>
    <row r="97" spans="2:13" x14ac:dyDescent="0.35"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123"/>
    </row>
    <row r="98" spans="2:13" x14ac:dyDescent="0.35"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123"/>
    </row>
    <row r="99" spans="2:13" x14ac:dyDescent="0.35"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123"/>
    </row>
    <row r="100" spans="2:13" x14ac:dyDescent="0.35"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123"/>
    </row>
    <row r="101" spans="2:13" x14ac:dyDescent="0.35"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123"/>
    </row>
    <row r="102" spans="2:13" x14ac:dyDescent="0.35"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123"/>
    </row>
    <row r="103" spans="2:13" x14ac:dyDescent="0.35"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123"/>
    </row>
    <row r="104" spans="2:13" x14ac:dyDescent="0.35"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123"/>
    </row>
    <row r="105" spans="2:13" x14ac:dyDescent="0.35"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123"/>
    </row>
    <row r="106" spans="2:13" x14ac:dyDescent="0.35">
      <c r="B106" s="123"/>
      <c r="C106" s="123"/>
      <c r="D106" s="123"/>
      <c r="E106" s="123"/>
      <c r="K106" s="123"/>
      <c r="L106" s="123"/>
      <c r="M106" s="123"/>
    </row>
    <row r="107" spans="2:13" x14ac:dyDescent="0.35">
      <c r="F107" s="43"/>
      <c r="G107" s="43"/>
      <c r="H107" s="43"/>
      <c r="I107" s="43"/>
      <c r="J107" s="43"/>
    </row>
  </sheetData>
  <mergeCells count="3">
    <mergeCell ref="B2:C7"/>
    <mergeCell ref="D2:J7"/>
    <mergeCell ref="B9:J9"/>
  </mergeCells>
  <pageMargins left="0.31496062992125984" right="0.31496062992125984" top="0.74803149606299213" bottom="0.35433070866141736" header="0.31496062992125984" footer="0.31496062992125984"/>
  <pageSetup paperSize="9" scale="80" orientation="portrait" r:id="rId1"/>
  <headerFooter>
    <oddHeader xml:space="preserve">&amp;R </oddHeader>
    <oddFooter>&amp;RBy Nikhil Kulkarni MBA</oddFooter>
  </headerFooter>
  <colBreaks count="1" manualBreakCount="1">
    <brk id="1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FFDA-F909-4F99-84A2-AC9BFE6DDC4B}">
  <sheetPr>
    <tabColor rgb="FF002060"/>
  </sheetPr>
  <dimension ref="B1:P109"/>
  <sheetViews>
    <sheetView showGridLines="0" tabSelected="1" view="pageBreakPreview" zoomScale="55" zoomScaleNormal="59" zoomScaleSheetLayoutView="55" workbookViewId="0">
      <selection activeCell="G72" sqref="G72"/>
    </sheetView>
  </sheetViews>
  <sheetFormatPr defaultColWidth="11" defaultRowHeight="14.5" x14ac:dyDescent="0.35"/>
  <cols>
    <col min="1" max="1" width="1.81640625" customWidth="1"/>
    <col min="2" max="2" width="30.453125" customWidth="1"/>
    <col min="6" max="10" width="11" style="123"/>
  </cols>
  <sheetData>
    <row r="1" spans="2:16" x14ac:dyDescent="0.35">
      <c r="D1" s="392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E1" s="392"/>
      <c r="F1" s="392"/>
      <c r="G1" s="392"/>
      <c r="H1" s="392"/>
      <c r="I1" s="392"/>
      <c r="J1" s="392"/>
      <c r="K1" s="392"/>
      <c r="L1" s="392"/>
    </row>
    <row r="2" spans="2:16" ht="14.5" customHeight="1" x14ac:dyDescent="0.35">
      <c r="B2" s="217"/>
      <c r="C2" s="217"/>
      <c r="D2" s="392"/>
      <c r="E2" s="392"/>
      <c r="F2" s="392"/>
      <c r="G2" s="392"/>
      <c r="H2" s="392"/>
      <c r="I2" s="392"/>
      <c r="J2" s="392"/>
      <c r="K2" s="392"/>
      <c r="L2" s="392"/>
    </row>
    <row r="3" spans="2:16" x14ac:dyDescent="0.35">
      <c r="B3" s="217"/>
      <c r="C3" s="217"/>
      <c r="D3" s="392"/>
      <c r="E3" s="392"/>
      <c r="F3" s="392"/>
      <c r="G3" s="392"/>
      <c r="H3" s="392"/>
      <c r="I3" s="392"/>
      <c r="J3" s="392"/>
      <c r="K3" s="392"/>
      <c r="L3" s="392"/>
    </row>
    <row r="4" spans="2:16" x14ac:dyDescent="0.35">
      <c r="B4" s="217"/>
      <c r="C4" s="217"/>
      <c r="D4" s="392"/>
      <c r="E4" s="392"/>
      <c r="F4" s="392"/>
      <c r="G4" s="392"/>
      <c r="H4" s="392"/>
      <c r="I4" s="392"/>
      <c r="J4" s="392"/>
      <c r="K4" s="392"/>
      <c r="L4" s="392"/>
    </row>
    <row r="5" spans="2:16" x14ac:dyDescent="0.35">
      <c r="B5" s="217"/>
      <c r="C5" s="217"/>
      <c r="D5" s="392"/>
      <c r="E5" s="392"/>
      <c r="F5" s="392"/>
      <c r="G5" s="392"/>
      <c r="H5" s="392"/>
      <c r="I5" s="392"/>
      <c r="J5" s="392"/>
      <c r="K5" s="392"/>
      <c r="L5" s="392"/>
      <c r="M5" s="123"/>
      <c r="N5" s="123"/>
      <c r="O5" s="123"/>
      <c r="P5" s="123"/>
    </row>
    <row r="6" spans="2:16" x14ac:dyDescent="0.35">
      <c r="B6" s="217"/>
      <c r="C6" s="217"/>
      <c r="D6" s="392"/>
      <c r="E6" s="392"/>
      <c r="F6" s="392"/>
      <c r="G6" s="392"/>
      <c r="H6" s="392"/>
      <c r="I6" s="392"/>
      <c r="J6" s="392"/>
      <c r="K6" s="392"/>
      <c r="L6" s="392"/>
      <c r="M6" s="123"/>
      <c r="N6" s="123"/>
      <c r="O6" s="123"/>
      <c r="P6" s="123"/>
    </row>
    <row r="7" spans="2:16" x14ac:dyDescent="0.35">
      <c r="B7" s="217"/>
      <c r="C7" s="217"/>
      <c r="D7" s="392"/>
      <c r="E7" s="392"/>
      <c r="F7" s="392"/>
      <c r="G7" s="392"/>
      <c r="H7" s="392"/>
      <c r="I7" s="392"/>
      <c r="J7" s="392"/>
      <c r="K7" s="392"/>
      <c r="L7" s="392"/>
      <c r="M7" s="123"/>
      <c r="N7" s="123"/>
      <c r="O7" s="123"/>
      <c r="P7" s="123"/>
    </row>
    <row r="8" spans="2:16" x14ac:dyDescent="0.35">
      <c r="D8" s="393"/>
      <c r="E8" s="393"/>
      <c r="F8" s="393"/>
      <c r="G8" s="393"/>
      <c r="H8" s="393"/>
      <c r="I8" s="393"/>
      <c r="J8" s="393"/>
      <c r="K8" s="393"/>
      <c r="L8" s="393"/>
      <c r="M8" s="123"/>
      <c r="N8" s="123"/>
      <c r="O8" s="123"/>
      <c r="P8" s="123"/>
    </row>
    <row r="9" spans="2:16" x14ac:dyDescent="0.35">
      <c r="B9" s="2" t="str">
        <f>"Forcasting Data - "&amp;'Data Sheet'!B1</f>
        <v>Forcasting Data - EICHER MOTORS LTD</v>
      </c>
      <c r="C9" s="123"/>
      <c r="D9" s="123"/>
      <c r="E9" s="123"/>
      <c r="K9" s="123"/>
      <c r="L9" s="123"/>
      <c r="M9" s="123"/>
      <c r="N9" s="123"/>
      <c r="O9" s="123"/>
      <c r="P9" s="123"/>
    </row>
    <row r="10" spans="2:16" ht="6" customHeight="1" x14ac:dyDescent="0.35">
      <c r="B10" s="59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123"/>
      <c r="N10" s="123"/>
      <c r="O10" s="123"/>
      <c r="P10" s="123"/>
    </row>
    <row r="11" spans="2:16" ht="15.5" x14ac:dyDescent="0.35">
      <c r="B11" s="105" t="s">
        <v>220</v>
      </c>
      <c r="C11" s="105">
        <f t="shared" ref="C11:I11" si="0">D11-1</f>
        <v>2016</v>
      </c>
      <c r="D11" s="105">
        <f t="shared" si="0"/>
        <v>2017</v>
      </c>
      <c r="E11" s="105">
        <f t="shared" si="0"/>
        <v>2018</v>
      </c>
      <c r="F11" s="105">
        <f t="shared" si="0"/>
        <v>2019</v>
      </c>
      <c r="G11" s="105">
        <f t="shared" si="0"/>
        <v>2020</v>
      </c>
      <c r="H11" s="105">
        <f t="shared" si="0"/>
        <v>2021</v>
      </c>
      <c r="I11" s="105">
        <f t="shared" si="0"/>
        <v>2022</v>
      </c>
      <c r="J11" s="105">
        <f>K11-1</f>
        <v>2023</v>
      </c>
      <c r="K11" s="105">
        <v>2024</v>
      </c>
      <c r="L11" s="105">
        <v>2025</v>
      </c>
      <c r="M11" s="123"/>
      <c r="N11" s="123"/>
      <c r="O11" s="123"/>
      <c r="P11" s="123"/>
    </row>
    <row r="12" spans="2:16" x14ac:dyDescent="0.35">
      <c r="B12" s="28"/>
      <c r="C12" s="28">
        <v>42430</v>
      </c>
      <c r="D12" s="28">
        <v>42795</v>
      </c>
      <c r="E12" s="28">
        <v>43160</v>
      </c>
      <c r="F12" s="28">
        <v>43525</v>
      </c>
      <c r="G12" s="28">
        <v>43891</v>
      </c>
      <c r="H12" s="28">
        <v>44256</v>
      </c>
      <c r="I12" s="28">
        <v>44621</v>
      </c>
      <c r="J12" s="28">
        <v>44986</v>
      </c>
      <c r="K12" s="28">
        <v>45352</v>
      </c>
      <c r="L12" s="28">
        <v>45717</v>
      </c>
      <c r="M12" s="123"/>
      <c r="N12" s="123"/>
      <c r="O12" s="123"/>
      <c r="P12" s="123"/>
    </row>
    <row r="13" spans="2:16" x14ac:dyDescent="0.35">
      <c r="B13" s="66" t="s">
        <v>107</v>
      </c>
      <c r="C13" s="66">
        <v>1463</v>
      </c>
      <c r="D13" s="66">
        <v>1708</v>
      </c>
      <c r="E13" s="66">
        <v>2482</v>
      </c>
      <c r="F13" s="66">
        <v>1575</v>
      </c>
      <c r="G13" s="66">
        <v>1694</v>
      </c>
      <c r="H13" s="66">
        <v>1691</v>
      </c>
      <c r="I13" s="66">
        <v>1527</v>
      </c>
      <c r="J13" s="66">
        <v>2823</v>
      </c>
      <c r="K13" s="66">
        <v>3724</v>
      </c>
      <c r="L13" s="66">
        <v>3980</v>
      </c>
      <c r="M13" s="302"/>
      <c r="N13" s="123"/>
      <c r="O13" s="123"/>
      <c r="P13" s="123"/>
    </row>
    <row r="14" spans="2:16" x14ac:dyDescent="0.35">
      <c r="B14" s="65" t="s">
        <v>108</v>
      </c>
      <c r="C14" s="65">
        <v>1719</v>
      </c>
      <c r="D14" s="65">
        <v>2196</v>
      </c>
      <c r="E14" s="65">
        <v>2851</v>
      </c>
      <c r="F14" s="65">
        <v>2941</v>
      </c>
      <c r="G14" s="65">
        <v>2236</v>
      </c>
      <c r="H14" s="65">
        <v>1912</v>
      </c>
      <c r="I14" s="65">
        <v>2172</v>
      </c>
      <c r="J14" s="65">
        <v>3527</v>
      </c>
      <c r="K14" s="65">
        <v>4404</v>
      </c>
      <c r="L14" s="65">
        <v>4849</v>
      </c>
      <c r="M14" s="123"/>
      <c r="N14" s="123"/>
      <c r="O14" s="123"/>
      <c r="P14" s="123"/>
    </row>
    <row r="15" spans="2:16" x14ac:dyDescent="0.35">
      <c r="B15" s="65" t="s">
        <v>63</v>
      </c>
      <c r="C15" s="65">
        <v>-22</v>
      </c>
      <c r="D15" s="65">
        <v>-17</v>
      </c>
      <c r="E15" s="65">
        <v>-18</v>
      </c>
      <c r="F15" s="65">
        <v>-18</v>
      </c>
      <c r="G15" s="65">
        <v>0</v>
      </c>
      <c r="H15" s="65">
        <v>-73</v>
      </c>
      <c r="I15" s="65">
        <v>-147</v>
      </c>
      <c r="J15" s="65">
        <v>-59</v>
      </c>
      <c r="K15" s="65">
        <v>-5</v>
      </c>
      <c r="L15" s="65">
        <v>-176</v>
      </c>
      <c r="M15" s="123"/>
      <c r="N15" s="123"/>
      <c r="O15" s="123"/>
      <c r="P15" s="123"/>
    </row>
    <row r="16" spans="2:16" x14ac:dyDescent="0.35">
      <c r="B16" s="65" t="s">
        <v>40</v>
      </c>
      <c r="C16" s="65">
        <v>-104</v>
      </c>
      <c r="D16" s="65">
        <v>-28</v>
      </c>
      <c r="E16" s="65">
        <v>-59</v>
      </c>
      <c r="F16" s="65">
        <v>-239</v>
      </c>
      <c r="G16" s="65">
        <v>61</v>
      </c>
      <c r="H16" s="65">
        <v>-302</v>
      </c>
      <c r="I16" s="65">
        <v>-258</v>
      </c>
      <c r="J16" s="65">
        <v>-146</v>
      </c>
      <c r="K16" s="65">
        <v>-131</v>
      </c>
      <c r="L16" s="65">
        <v>-154</v>
      </c>
      <c r="M16" s="123"/>
      <c r="N16" s="123"/>
      <c r="O16" s="123"/>
      <c r="P16" s="123"/>
    </row>
    <row r="17" spans="2:16" x14ac:dyDescent="0.35">
      <c r="B17" s="65" t="s">
        <v>109</v>
      </c>
      <c r="C17" s="65">
        <v>241</v>
      </c>
      <c r="D17" s="65">
        <v>110</v>
      </c>
      <c r="E17" s="65">
        <v>407</v>
      </c>
      <c r="F17" s="65">
        <v>62</v>
      </c>
      <c r="G17" s="65">
        <v>-235</v>
      </c>
      <c r="H17" s="65">
        <v>495</v>
      </c>
      <c r="I17" s="65">
        <v>283</v>
      </c>
      <c r="J17" s="65">
        <v>22</v>
      </c>
      <c r="K17" s="65">
        <v>304</v>
      </c>
      <c r="L17" s="65">
        <v>440</v>
      </c>
      <c r="M17" s="123"/>
      <c r="N17" s="123"/>
      <c r="O17" s="123"/>
      <c r="P17" s="123"/>
    </row>
    <row r="18" spans="2:16" x14ac:dyDescent="0.35">
      <c r="B18" s="65" t="s">
        <v>110</v>
      </c>
      <c r="C18" s="65">
        <v>-12</v>
      </c>
      <c r="D18" s="65">
        <v>6</v>
      </c>
      <c r="E18" s="65">
        <v>0</v>
      </c>
      <c r="F18" s="65">
        <v>-1</v>
      </c>
      <c r="G18" s="65">
        <v>1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123"/>
      <c r="N18" s="123"/>
      <c r="O18" s="123"/>
      <c r="P18" s="123"/>
    </row>
    <row r="19" spans="2:16" x14ac:dyDescent="0.35">
      <c r="B19" s="65" t="s">
        <v>111</v>
      </c>
      <c r="C19" s="65">
        <v>160</v>
      </c>
      <c r="D19" s="65">
        <v>92</v>
      </c>
      <c r="E19" s="65">
        <v>109</v>
      </c>
      <c r="F19" s="65">
        <v>-262</v>
      </c>
      <c r="G19" s="65">
        <v>259</v>
      </c>
      <c r="H19" s="65">
        <v>115</v>
      </c>
      <c r="I19" s="65">
        <v>-10</v>
      </c>
      <c r="J19" s="65">
        <v>249</v>
      </c>
      <c r="K19" s="65">
        <v>220</v>
      </c>
      <c r="L19" s="65">
        <v>101</v>
      </c>
      <c r="M19" s="123"/>
      <c r="N19" s="123"/>
      <c r="O19" s="123"/>
      <c r="P19" s="123"/>
    </row>
    <row r="20" spans="2:16" x14ac:dyDescent="0.35">
      <c r="B20" s="65" t="s">
        <v>112</v>
      </c>
      <c r="C20" s="65">
        <v>263</v>
      </c>
      <c r="D20" s="65">
        <v>163</v>
      </c>
      <c r="E20" s="65">
        <v>438</v>
      </c>
      <c r="F20" s="65">
        <v>-457</v>
      </c>
      <c r="G20" s="65">
        <v>86</v>
      </c>
      <c r="H20" s="65">
        <v>235</v>
      </c>
      <c r="I20" s="65">
        <v>-131</v>
      </c>
      <c r="J20" s="65">
        <v>66</v>
      </c>
      <c r="K20" s="65">
        <v>388</v>
      </c>
      <c r="L20" s="65">
        <v>211</v>
      </c>
      <c r="M20" s="123"/>
      <c r="N20" s="123"/>
      <c r="O20" s="123"/>
      <c r="P20" s="123"/>
    </row>
    <row r="21" spans="2:16" x14ac:dyDescent="0.35">
      <c r="B21" s="65" t="s">
        <v>113</v>
      </c>
      <c r="C21" s="65">
        <v>-519</v>
      </c>
      <c r="D21" s="65">
        <v>-652</v>
      </c>
      <c r="E21" s="65">
        <v>-807</v>
      </c>
      <c r="F21" s="65">
        <v>-908</v>
      </c>
      <c r="G21" s="65">
        <v>-628</v>
      </c>
      <c r="H21" s="65">
        <v>-457</v>
      </c>
      <c r="I21" s="65">
        <v>-514</v>
      </c>
      <c r="J21" s="65">
        <v>-770</v>
      </c>
      <c r="K21" s="65">
        <v>-1068</v>
      </c>
      <c r="L21" s="65">
        <v>-1080</v>
      </c>
      <c r="M21" s="123"/>
      <c r="N21" s="123"/>
      <c r="O21" s="123"/>
      <c r="P21" s="123"/>
    </row>
    <row r="22" spans="2:16" x14ac:dyDescent="0.35">
      <c r="B22" s="66" t="s">
        <v>114</v>
      </c>
      <c r="C22" s="66">
        <v>-1001</v>
      </c>
      <c r="D22" s="66">
        <v>-1744</v>
      </c>
      <c r="E22" s="66">
        <v>-2145</v>
      </c>
      <c r="F22" s="66">
        <v>-660</v>
      </c>
      <c r="G22" s="66">
        <v>-1508</v>
      </c>
      <c r="H22" s="66">
        <v>-1625</v>
      </c>
      <c r="I22" s="66">
        <v>-983</v>
      </c>
      <c r="J22" s="66">
        <v>-2397</v>
      </c>
      <c r="K22" s="66">
        <v>-2834</v>
      </c>
      <c r="L22" s="66">
        <v>-2461</v>
      </c>
      <c r="M22" s="123"/>
      <c r="N22" s="123"/>
      <c r="O22" s="123"/>
      <c r="P22" s="123"/>
    </row>
    <row r="23" spans="2:16" x14ac:dyDescent="0.35">
      <c r="B23" s="65" t="s">
        <v>115</v>
      </c>
      <c r="C23" s="65">
        <v>-510</v>
      </c>
      <c r="D23" s="65">
        <v>-548</v>
      </c>
      <c r="E23" s="65">
        <v>-748</v>
      </c>
      <c r="F23" s="65">
        <v>-792</v>
      </c>
      <c r="G23" s="65">
        <v>-546</v>
      </c>
      <c r="H23" s="65">
        <v>-532</v>
      </c>
      <c r="I23" s="65">
        <v>-641</v>
      </c>
      <c r="J23" s="65">
        <v>-682</v>
      </c>
      <c r="K23" s="65">
        <v>-819</v>
      </c>
      <c r="L23" s="65">
        <v>-1039</v>
      </c>
      <c r="M23" s="123"/>
      <c r="N23" s="123"/>
      <c r="O23" s="123"/>
      <c r="P23" s="123"/>
    </row>
    <row r="24" spans="2:16" x14ac:dyDescent="0.35">
      <c r="B24" s="65" t="s">
        <v>116</v>
      </c>
      <c r="C24" s="65">
        <v>1</v>
      </c>
      <c r="D24" s="65">
        <v>1</v>
      </c>
      <c r="E24" s="65">
        <v>3</v>
      </c>
      <c r="F24" s="65">
        <v>2</v>
      </c>
      <c r="G24" s="65">
        <v>1</v>
      </c>
      <c r="H24" s="65">
        <v>17</v>
      </c>
      <c r="I24" s="65">
        <v>2</v>
      </c>
      <c r="J24" s="65">
        <v>9</v>
      </c>
      <c r="K24" s="65">
        <v>4</v>
      </c>
      <c r="L24" s="65">
        <v>11</v>
      </c>
      <c r="M24" s="123"/>
      <c r="N24" s="123"/>
      <c r="O24" s="123"/>
      <c r="P24" s="123"/>
    </row>
    <row r="25" spans="2:16" x14ac:dyDescent="0.35">
      <c r="B25" s="65" t="s">
        <v>117</v>
      </c>
      <c r="C25" s="65">
        <v>-662</v>
      </c>
      <c r="D25" s="65">
        <v>-4247</v>
      </c>
      <c r="E25" s="65">
        <v>-6464</v>
      </c>
      <c r="F25" s="65">
        <v>-7929</v>
      </c>
      <c r="G25" s="65">
        <v>-8746</v>
      </c>
      <c r="H25" s="65">
        <v>-3983</v>
      </c>
      <c r="I25" s="65">
        <v>-7134</v>
      </c>
      <c r="J25" s="65">
        <v>-9103</v>
      </c>
      <c r="K25" s="65">
        <v>-6106</v>
      </c>
      <c r="L25" s="65">
        <v>-6939</v>
      </c>
      <c r="M25" s="123"/>
      <c r="N25" s="123"/>
      <c r="O25" s="123"/>
      <c r="P25" s="123"/>
    </row>
    <row r="26" spans="2:16" x14ac:dyDescent="0.35">
      <c r="B26" s="65" t="s">
        <v>118</v>
      </c>
      <c r="C26" s="65">
        <v>158</v>
      </c>
      <c r="D26" s="65">
        <v>3051</v>
      </c>
      <c r="E26" s="65">
        <v>6124</v>
      </c>
      <c r="F26" s="65">
        <v>9051</v>
      </c>
      <c r="G26" s="65">
        <v>8176</v>
      </c>
      <c r="H26" s="65">
        <v>5971</v>
      </c>
      <c r="I26" s="65">
        <v>3500</v>
      </c>
      <c r="J26" s="65">
        <v>5080</v>
      </c>
      <c r="K26" s="65">
        <v>5968</v>
      </c>
      <c r="L26" s="65">
        <v>6826</v>
      </c>
      <c r="M26" s="123"/>
      <c r="N26" s="123"/>
      <c r="O26" s="123"/>
      <c r="P26" s="123"/>
    </row>
    <row r="27" spans="2:16" x14ac:dyDescent="0.35">
      <c r="B27" s="65" t="s">
        <v>119</v>
      </c>
      <c r="C27" s="65">
        <v>4</v>
      </c>
      <c r="D27" s="65">
        <v>3</v>
      </c>
      <c r="E27" s="65">
        <v>12</v>
      </c>
      <c r="F27" s="65">
        <v>90</v>
      </c>
      <c r="G27" s="65">
        <v>204</v>
      </c>
      <c r="H27" s="65">
        <v>192</v>
      </c>
      <c r="I27" s="65">
        <v>398</v>
      </c>
      <c r="J27" s="65">
        <v>204</v>
      </c>
      <c r="K27" s="65">
        <v>112</v>
      </c>
      <c r="L27" s="65">
        <v>188</v>
      </c>
      <c r="M27" s="123"/>
      <c r="N27" s="123"/>
      <c r="O27" s="123"/>
      <c r="P27" s="123"/>
    </row>
    <row r="28" spans="2:16" x14ac:dyDescent="0.35">
      <c r="B28" s="65" t="s">
        <v>120</v>
      </c>
      <c r="C28" s="65">
        <v>107</v>
      </c>
      <c r="D28" s="65">
        <v>0</v>
      </c>
      <c r="E28" s="65">
        <v>52</v>
      </c>
      <c r="F28" s="65">
        <v>65</v>
      </c>
      <c r="G28" s="65">
        <v>68</v>
      </c>
      <c r="H28" s="65">
        <v>0</v>
      </c>
      <c r="I28" s="65">
        <v>27</v>
      </c>
      <c r="J28" s="65">
        <v>41</v>
      </c>
      <c r="K28" s="65">
        <v>95</v>
      </c>
      <c r="L28" s="65">
        <v>136</v>
      </c>
      <c r="M28" s="123"/>
      <c r="N28" s="123"/>
      <c r="O28" s="123"/>
      <c r="P28" s="123"/>
    </row>
    <row r="29" spans="2:16" x14ac:dyDescent="0.35">
      <c r="B29" s="65" t="s">
        <v>121</v>
      </c>
      <c r="C29" s="65">
        <v>-109</v>
      </c>
      <c r="D29" s="65">
        <v>-39</v>
      </c>
      <c r="E29" s="65">
        <v>-16</v>
      </c>
      <c r="F29" s="65">
        <v>-30</v>
      </c>
      <c r="G29" s="65">
        <v>-1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123"/>
      <c r="N29" s="123"/>
      <c r="O29" s="123"/>
      <c r="P29" s="123"/>
    </row>
    <row r="30" spans="2:16" x14ac:dyDescent="0.35">
      <c r="B30" s="65" t="s">
        <v>122</v>
      </c>
      <c r="C30" s="65">
        <v>9</v>
      </c>
      <c r="D30" s="65">
        <v>36</v>
      </c>
      <c r="E30" s="65">
        <v>-1106</v>
      </c>
      <c r="F30" s="65">
        <v>-1117</v>
      </c>
      <c r="G30" s="65">
        <v>-665</v>
      </c>
      <c r="H30" s="65">
        <v>-3290</v>
      </c>
      <c r="I30" s="65">
        <v>2864</v>
      </c>
      <c r="J30" s="65">
        <v>2055</v>
      </c>
      <c r="K30" s="65">
        <v>-2089</v>
      </c>
      <c r="L30" s="65">
        <v>-1643</v>
      </c>
      <c r="M30" s="123"/>
      <c r="N30" s="123"/>
      <c r="O30" s="123"/>
      <c r="P30" s="123"/>
    </row>
    <row r="31" spans="2:16" x14ac:dyDescent="0.35">
      <c r="B31" s="66" t="s">
        <v>129</v>
      </c>
      <c r="C31" s="66">
        <v>-466</v>
      </c>
      <c r="D31" s="66">
        <v>25</v>
      </c>
      <c r="E31" s="66">
        <v>-262</v>
      </c>
      <c r="F31" s="66">
        <v>-292</v>
      </c>
      <c r="G31" s="66">
        <v>-858</v>
      </c>
      <c r="H31" s="66">
        <v>-15</v>
      </c>
      <c r="I31" s="66">
        <v>-593</v>
      </c>
      <c r="J31" s="66">
        <v>-417</v>
      </c>
      <c r="K31" s="66">
        <v>-844</v>
      </c>
      <c r="L31" s="66">
        <v>-1399</v>
      </c>
      <c r="M31" s="123"/>
      <c r="N31" s="123"/>
      <c r="O31" s="123"/>
      <c r="P31" s="123"/>
    </row>
    <row r="32" spans="2:16" x14ac:dyDescent="0.35">
      <c r="B32" s="65" t="s">
        <v>130</v>
      </c>
      <c r="C32" s="65">
        <v>5</v>
      </c>
      <c r="D32" s="65">
        <v>6</v>
      </c>
      <c r="E32" s="65">
        <v>19</v>
      </c>
      <c r="F32" s="65">
        <v>36</v>
      </c>
      <c r="G32" s="65">
        <v>29</v>
      </c>
      <c r="H32" s="65">
        <v>38</v>
      </c>
      <c r="I32" s="65">
        <v>6</v>
      </c>
      <c r="J32" s="65">
        <v>11</v>
      </c>
      <c r="K32" s="65">
        <v>47</v>
      </c>
      <c r="L32" s="65">
        <v>97</v>
      </c>
      <c r="M32" s="123"/>
      <c r="N32" s="123"/>
      <c r="O32" s="123"/>
      <c r="P32" s="123"/>
    </row>
    <row r="33" spans="2:16" x14ac:dyDescent="0.35">
      <c r="B33" s="65" t="s">
        <v>131</v>
      </c>
      <c r="C33" s="65">
        <v>0</v>
      </c>
      <c r="D33" s="65">
        <v>389</v>
      </c>
      <c r="E33" s="65">
        <v>495</v>
      </c>
      <c r="F33" s="65">
        <v>369</v>
      </c>
      <c r="G33" s="65">
        <v>267</v>
      </c>
      <c r="H33" s="65">
        <v>40</v>
      </c>
      <c r="I33" s="65">
        <v>32</v>
      </c>
      <c r="J33" s="65">
        <v>202</v>
      </c>
      <c r="K33" s="65">
        <v>322</v>
      </c>
      <c r="L33" s="65">
        <v>38</v>
      </c>
      <c r="M33" s="123"/>
      <c r="N33" s="123"/>
      <c r="O33" s="123"/>
      <c r="P33" s="123"/>
    </row>
    <row r="34" spans="2:16" x14ac:dyDescent="0.35">
      <c r="B34" s="65" t="s">
        <v>132</v>
      </c>
      <c r="C34" s="65">
        <v>0</v>
      </c>
      <c r="D34" s="65">
        <v>-345</v>
      </c>
      <c r="E34" s="65">
        <v>-456</v>
      </c>
      <c r="F34" s="65">
        <v>-344</v>
      </c>
      <c r="G34" s="65">
        <v>-298</v>
      </c>
      <c r="H34" s="65">
        <v>-27</v>
      </c>
      <c r="I34" s="65">
        <v>-137</v>
      </c>
      <c r="J34" s="65">
        <v>-20</v>
      </c>
      <c r="K34" s="65">
        <v>-127</v>
      </c>
      <c r="L34" s="65">
        <v>-43</v>
      </c>
      <c r="M34" s="123"/>
      <c r="N34" s="123"/>
      <c r="O34" s="123"/>
      <c r="P34" s="123"/>
    </row>
    <row r="35" spans="2:16" x14ac:dyDescent="0.35">
      <c r="B35" s="65" t="s">
        <v>133</v>
      </c>
      <c r="C35" s="65">
        <v>-2</v>
      </c>
      <c r="D35" s="65">
        <v>-2</v>
      </c>
      <c r="E35" s="65">
        <v>-3</v>
      </c>
      <c r="F35" s="65">
        <v>-5</v>
      </c>
      <c r="G35" s="65">
        <v>-8</v>
      </c>
      <c r="H35" s="65">
        <v>-16</v>
      </c>
      <c r="I35" s="65">
        <v>-19</v>
      </c>
      <c r="J35" s="65">
        <v>-18</v>
      </c>
      <c r="K35" s="65">
        <v>-35</v>
      </c>
      <c r="L35" s="65">
        <v>-37</v>
      </c>
      <c r="M35" s="123"/>
      <c r="N35" s="123"/>
      <c r="O35" s="123"/>
      <c r="P35" s="123"/>
    </row>
    <row r="36" spans="2:16" x14ac:dyDescent="0.35">
      <c r="B36" s="65" t="s">
        <v>134</v>
      </c>
      <c r="C36" s="65">
        <v>-407</v>
      </c>
      <c r="D36" s="65">
        <v>0</v>
      </c>
      <c r="E36" s="65">
        <v>-272</v>
      </c>
      <c r="F36" s="65">
        <v>-300</v>
      </c>
      <c r="G36" s="65">
        <v>-682</v>
      </c>
      <c r="H36" s="65">
        <v>0</v>
      </c>
      <c r="I36" s="65">
        <v>-465</v>
      </c>
      <c r="J36" s="65">
        <v>-574</v>
      </c>
      <c r="K36" s="65">
        <v>-1013</v>
      </c>
      <c r="L36" s="65">
        <v>-1397</v>
      </c>
      <c r="M36" s="123"/>
      <c r="N36" s="123"/>
      <c r="O36" s="123"/>
      <c r="P36" s="123"/>
    </row>
    <row r="37" spans="2:16" x14ac:dyDescent="0.35">
      <c r="B37" s="65" t="s">
        <v>135</v>
      </c>
      <c r="C37" s="65">
        <v>0</v>
      </c>
      <c r="D37" s="65">
        <v>0</v>
      </c>
      <c r="E37" s="65">
        <v>0</v>
      </c>
      <c r="F37" s="65">
        <v>0</v>
      </c>
      <c r="G37" s="65">
        <v>-40</v>
      </c>
      <c r="H37" s="65">
        <v>-39</v>
      </c>
      <c r="I37" s="65">
        <v>-17</v>
      </c>
      <c r="J37" s="65">
        <v>-19</v>
      </c>
      <c r="K37" s="65">
        <v>-37</v>
      </c>
      <c r="L37" s="65">
        <v>-56</v>
      </c>
      <c r="M37" s="123"/>
      <c r="N37" s="123"/>
      <c r="O37" s="123"/>
      <c r="P37" s="123"/>
    </row>
    <row r="38" spans="2:16" x14ac:dyDescent="0.35">
      <c r="B38" s="65" t="s">
        <v>136</v>
      </c>
      <c r="C38" s="65">
        <v>-61</v>
      </c>
      <c r="D38" s="65">
        <v>-23</v>
      </c>
      <c r="E38" s="65">
        <v>-45</v>
      </c>
      <c r="F38" s="65">
        <v>-48</v>
      </c>
      <c r="G38" s="65">
        <v>-126</v>
      </c>
      <c r="H38" s="65">
        <v>-11</v>
      </c>
      <c r="I38" s="65">
        <v>5</v>
      </c>
      <c r="J38" s="65">
        <v>0</v>
      </c>
      <c r="K38" s="65">
        <v>0</v>
      </c>
      <c r="L38" s="65">
        <v>0</v>
      </c>
      <c r="M38" s="123"/>
      <c r="N38" s="123"/>
      <c r="O38" s="123"/>
      <c r="P38" s="123"/>
    </row>
    <row r="39" spans="2:16" x14ac:dyDescent="0.35">
      <c r="B39" s="66" t="s">
        <v>30</v>
      </c>
      <c r="C39" s="66">
        <v>-4</v>
      </c>
      <c r="D39" s="66">
        <v>-10</v>
      </c>
      <c r="E39" s="66">
        <v>75</v>
      </c>
      <c r="F39" s="66">
        <v>623</v>
      </c>
      <c r="G39" s="66">
        <v>-673</v>
      </c>
      <c r="H39" s="66">
        <v>51</v>
      </c>
      <c r="I39" s="66">
        <v>-50</v>
      </c>
      <c r="J39" s="66">
        <v>8</v>
      </c>
      <c r="K39" s="66">
        <v>45</v>
      </c>
      <c r="L39" s="66">
        <v>121</v>
      </c>
      <c r="M39" s="123"/>
      <c r="N39" s="123"/>
      <c r="O39" s="123"/>
      <c r="P39" s="123"/>
    </row>
    <row r="40" spans="2:16" x14ac:dyDescent="0.35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123"/>
      <c r="N40" s="123"/>
      <c r="O40" s="123"/>
      <c r="P40" s="123"/>
    </row>
    <row r="41" spans="2:16" x14ac:dyDescent="0.35">
      <c r="B41" s="254"/>
      <c r="C41" s="254"/>
      <c r="D41" s="254"/>
      <c r="E41" s="254"/>
      <c r="F41" s="254"/>
      <c r="G41" s="254"/>
      <c r="H41" s="254"/>
      <c r="I41" s="254"/>
      <c r="J41" s="254"/>
      <c r="K41" s="254"/>
      <c r="L41" s="254"/>
      <c r="M41" s="123"/>
      <c r="N41" s="123"/>
      <c r="O41" s="123"/>
      <c r="P41" s="123"/>
    </row>
    <row r="42" spans="2:16" x14ac:dyDescent="0.35">
      <c r="B42" s="123"/>
      <c r="C42" s="123"/>
      <c r="D42" s="123"/>
      <c r="E42" s="123"/>
      <c r="K42" s="123"/>
      <c r="L42" s="123"/>
      <c r="M42" s="123"/>
      <c r="N42" s="123"/>
      <c r="O42" s="123"/>
      <c r="P42" s="123"/>
    </row>
    <row r="43" spans="2:16" x14ac:dyDescent="0.35">
      <c r="B43" s="123"/>
      <c r="C43" s="123"/>
      <c r="D43" s="123"/>
      <c r="E43" s="123"/>
      <c r="K43" s="123"/>
      <c r="L43" s="123"/>
      <c r="M43" s="123"/>
      <c r="N43" s="123"/>
      <c r="O43" s="123"/>
      <c r="P43" s="123"/>
    </row>
    <row r="44" spans="2:16" x14ac:dyDescent="0.35">
      <c r="B44" s="123"/>
      <c r="C44" s="123"/>
      <c r="D44" s="123"/>
      <c r="E44" s="123"/>
      <c r="K44" s="123"/>
      <c r="L44" s="123"/>
      <c r="M44" s="123"/>
      <c r="N44" s="123"/>
      <c r="O44" s="123"/>
      <c r="P44" s="123"/>
    </row>
    <row r="45" spans="2:16" x14ac:dyDescent="0.35">
      <c r="B45" s="123"/>
      <c r="C45" s="123"/>
      <c r="D45" s="123"/>
      <c r="E45" s="123"/>
      <c r="K45" s="123"/>
      <c r="L45" s="123"/>
      <c r="M45" s="123"/>
      <c r="N45" s="123"/>
      <c r="O45" s="123"/>
      <c r="P45" s="123"/>
    </row>
    <row r="46" spans="2:16" x14ac:dyDescent="0.35">
      <c r="B46" s="123"/>
      <c r="C46" s="123"/>
      <c r="D46" s="123"/>
      <c r="E46" s="123"/>
      <c r="K46" s="123"/>
      <c r="L46" s="123"/>
      <c r="M46" s="123"/>
      <c r="N46" s="123"/>
      <c r="O46" s="123"/>
      <c r="P46" s="123"/>
    </row>
    <row r="47" spans="2:16" x14ac:dyDescent="0.35">
      <c r="B47" s="123"/>
      <c r="C47" s="123"/>
      <c r="D47" s="123"/>
      <c r="E47" s="123"/>
      <c r="K47" s="123"/>
      <c r="L47" s="123"/>
      <c r="M47" s="123"/>
      <c r="N47" s="123"/>
      <c r="O47" s="123"/>
      <c r="P47" s="123"/>
    </row>
    <row r="48" spans="2:16" x14ac:dyDescent="0.35">
      <c r="B48" s="123"/>
      <c r="C48" s="123"/>
      <c r="D48" s="123"/>
      <c r="E48" s="123"/>
      <c r="K48" s="123"/>
      <c r="L48" s="123"/>
      <c r="M48" s="123"/>
      <c r="N48" s="123"/>
      <c r="O48" s="123"/>
      <c r="P48" s="123"/>
    </row>
    <row r="49" spans="2:16" x14ac:dyDescent="0.35">
      <c r="B49" s="123"/>
      <c r="C49" s="123"/>
      <c r="D49" s="123"/>
      <c r="E49" s="123"/>
      <c r="K49" s="123"/>
      <c r="L49" s="123"/>
      <c r="M49" s="123"/>
      <c r="N49" s="123"/>
      <c r="O49" s="123"/>
      <c r="P49" s="123"/>
    </row>
    <row r="50" spans="2:16" x14ac:dyDescent="0.35">
      <c r="B50" s="123"/>
      <c r="C50" s="123"/>
      <c r="D50" s="123"/>
      <c r="E50" s="123"/>
      <c r="K50" s="123"/>
      <c r="L50" s="123"/>
      <c r="M50" s="123"/>
      <c r="N50" s="123"/>
      <c r="O50" s="123"/>
      <c r="P50" s="123"/>
    </row>
    <row r="51" spans="2:16" x14ac:dyDescent="0.35">
      <c r="B51" s="123"/>
      <c r="C51" s="123"/>
      <c r="D51" s="123"/>
      <c r="E51" s="123"/>
      <c r="K51" s="123"/>
      <c r="L51" s="123"/>
      <c r="M51" s="123"/>
      <c r="N51" s="123"/>
      <c r="O51" s="123"/>
      <c r="P51" s="123"/>
    </row>
    <row r="52" spans="2:16" x14ac:dyDescent="0.35">
      <c r="B52" s="123"/>
      <c r="C52" s="123"/>
      <c r="D52" s="123"/>
      <c r="E52" s="123"/>
      <c r="K52" s="123"/>
      <c r="L52" s="123"/>
      <c r="M52" s="123"/>
      <c r="N52" s="123"/>
      <c r="O52" s="123"/>
      <c r="P52" s="123"/>
    </row>
    <row r="53" spans="2:16" x14ac:dyDescent="0.35">
      <c r="B53" s="123"/>
      <c r="C53" s="123"/>
      <c r="D53" s="123"/>
      <c r="E53" s="123"/>
      <c r="K53" s="123"/>
      <c r="L53" s="123"/>
      <c r="M53" s="123"/>
      <c r="N53" s="123"/>
      <c r="O53" s="123"/>
      <c r="P53" s="123"/>
    </row>
    <row r="54" spans="2:16" x14ac:dyDescent="0.35">
      <c r="B54" s="123"/>
      <c r="C54" s="123"/>
      <c r="D54" s="123"/>
      <c r="E54" s="123"/>
      <c r="K54" s="123"/>
      <c r="L54" s="123"/>
      <c r="M54" s="123"/>
      <c r="N54" s="123"/>
      <c r="O54" s="123"/>
      <c r="P54" s="123"/>
    </row>
    <row r="55" spans="2:16" x14ac:dyDescent="0.35">
      <c r="B55" s="123"/>
      <c r="C55" s="123"/>
      <c r="D55" s="123"/>
      <c r="E55" s="123"/>
      <c r="K55" s="123"/>
      <c r="L55" s="123"/>
      <c r="M55" s="123"/>
      <c r="N55" s="123"/>
      <c r="O55" s="123"/>
      <c r="P55" s="123"/>
    </row>
    <row r="56" spans="2:16" x14ac:dyDescent="0.35">
      <c r="B56" s="123"/>
      <c r="C56" s="123"/>
      <c r="D56" s="123"/>
      <c r="E56" s="123"/>
      <c r="K56" s="123"/>
      <c r="L56" s="123"/>
      <c r="M56" s="123"/>
      <c r="N56" s="123"/>
      <c r="O56" s="123"/>
      <c r="P56" s="123"/>
    </row>
    <row r="57" spans="2:16" x14ac:dyDescent="0.35">
      <c r="B57" s="123"/>
      <c r="C57" s="123"/>
      <c r="D57" s="123"/>
      <c r="E57" s="123"/>
      <c r="K57" s="123"/>
      <c r="L57" s="123"/>
      <c r="M57" s="123"/>
      <c r="N57" s="123"/>
      <c r="O57" s="123"/>
      <c r="P57" s="123"/>
    </row>
    <row r="58" spans="2:16" x14ac:dyDescent="0.35">
      <c r="B58" s="123"/>
      <c r="C58" s="123"/>
      <c r="D58" s="123"/>
      <c r="E58" s="123"/>
      <c r="K58" s="123"/>
      <c r="L58" s="123"/>
      <c r="M58" s="123"/>
      <c r="N58" s="123"/>
      <c r="O58" s="123"/>
      <c r="P58" s="123"/>
    </row>
    <row r="59" spans="2:16" x14ac:dyDescent="0.35">
      <c r="B59" s="123"/>
      <c r="C59" s="123"/>
      <c r="D59" s="123"/>
      <c r="E59" s="123"/>
      <c r="K59" s="123"/>
      <c r="L59" s="123"/>
      <c r="M59" s="123"/>
      <c r="N59" s="123"/>
      <c r="O59" s="123"/>
      <c r="P59" s="123"/>
    </row>
    <row r="60" spans="2:16" x14ac:dyDescent="0.35">
      <c r="B60" s="123"/>
      <c r="C60" s="123"/>
      <c r="D60" s="123"/>
      <c r="E60" s="123"/>
      <c r="K60" s="123"/>
      <c r="L60" s="123"/>
      <c r="M60" s="123"/>
      <c r="N60" s="123"/>
      <c r="O60" s="123"/>
      <c r="P60" s="123"/>
    </row>
    <row r="61" spans="2:16" x14ac:dyDescent="0.35">
      <c r="B61" s="123"/>
      <c r="C61" s="123"/>
      <c r="D61" s="123"/>
      <c r="E61" s="123"/>
      <c r="K61" s="123"/>
      <c r="L61" s="123"/>
      <c r="M61" s="123"/>
      <c r="N61" s="123"/>
      <c r="O61" s="123"/>
      <c r="P61" s="123"/>
    </row>
    <row r="62" spans="2:16" x14ac:dyDescent="0.35">
      <c r="B62" s="123"/>
      <c r="C62" s="123"/>
      <c r="D62" s="123"/>
      <c r="E62" s="123"/>
      <c r="K62" s="123"/>
      <c r="L62" s="123"/>
      <c r="M62" s="123"/>
      <c r="N62" s="123"/>
      <c r="O62" s="123"/>
      <c r="P62" s="123"/>
    </row>
    <row r="63" spans="2:16" x14ac:dyDescent="0.35">
      <c r="B63" s="123"/>
      <c r="C63" s="123"/>
      <c r="D63" s="123"/>
      <c r="E63" s="123"/>
      <c r="K63" s="123"/>
      <c r="L63" s="123"/>
      <c r="M63" s="123"/>
      <c r="N63" s="123"/>
      <c r="O63" s="123"/>
      <c r="P63" s="123"/>
    </row>
    <row r="64" spans="2:16" x14ac:dyDescent="0.35">
      <c r="B64" s="123"/>
      <c r="C64" s="123"/>
      <c r="D64" s="123"/>
      <c r="E64" s="123"/>
      <c r="K64" s="123"/>
      <c r="L64" s="123"/>
      <c r="M64" s="123"/>
      <c r="N64" s="123"/>
      <c r="O64" s="123"/>
      <c r="P64" s="123"/>
    </row>
    <row r="65" spans="2:16" x14ac:dyDescent="0.35"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123"/>
      <c r="N65" s="123"/>
      <c r="O65" s="123"/>
      <c r="P65" s="123"/>
    </row>
    <row r="66" spans="2:16" x14ac:dyDescent="0.35"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123"/>
      <c r="N66" s="123"/>
      <c r="O66" s="123"/>
      <c r="P66" s="123"/>
    </row>
    <row r="67" spans="2:16" x14ac:dyDescent="0.35"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123"/>
      <c r="N67" s="123"/>
      <c r="O67" s="123"/>
      <c r="P67" s="123"/>
    </row>
    <row r="68" spans="2:16" x14ac:dyDescent="0.35"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123"/>
      <c r="N68" s="123"/>
      <c r="O68" s="123"/>
      <c r="P68" s="123"/>
    </row>
    <row r="69" spans="2:16" x14ac:dyDescent="0.35"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123"/>
      <c r="N69" s="123"/>
      <c r="O69" s="123"/>
      <c r="P69" s="123"/>
    </row>
    <row r="70" spans="2:16" x14ac:dyDescent="0.35"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123"/>
      <c r="N70" s="123"/>
      <c r="O70" s="123"/>
      <c r="P70" s="123"/>
    </row>
    <row r="71" spans="2:16" x14ac:dyDescent="0.35"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123"/>
      <c r="N71" s="123"/>
      <c r="O71" s="123"/>
      <c r="P71" s="123"/>
    </row>
    <row r="72" spans="2:16" x14ac:dyDescent="0.35"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123"/>
      <c r="N72" s="123"/>
      <c r="O72" s="123"/>
      <c r="P72" s="123"/>
    </row>
    <row r="73" spans="2:16" x14ac:dyDescent="0.35"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123"/>
      <c r="N73" s="123"/>
      <c r="O73" s="123"/>
      <c r="P73" s="123"/>
    </row>
    <row r="74" spans="2:16" x14ac:dyDescent="0.35"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123"/>
      <c r="N74" s="123"/>
      <c r="O74" s="123"/>
      <c r="P74" s="123"/>
    </row>
    <row r="75" spans="2:16" x14ac:dyDescent="0.35"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123"/>
      <c r="N75" s="123"/>
      <c r="O75" s="123"/>
      <c r="P75" s="123"/>
    </row>
    <row r="76" spans="2:16" x14ac:dyDescent="0.35"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23"/>
      <c r="N76" s="123"/>
      <c r="O76" s="123"/>
      <c r="P76" s="123"/>
    </row>
    <row r="77" spans="2:16" x14ac:dyDescent="0.35"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123"/>
      <c r="N77" s="123"/>
      <c r="O77" s="123"/>
      <c r="P77" s="123"/>
    </row>
    <row r="78" spans="2:16" x14ac:dyDescent="0.35"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123"/>
      <c r="N78" s="123"/>
      <c r="O78" s="123"/>
      <c r="P78" s="123"/>
    </row>
    <row r="79" spans="2:16" x14ac:dyDescent="0.35"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123"/>
      <c r="N79" s="123"/>
      <c r="O79" s="123"/>
      <c r="P79" s="123"/>
    </row>
    <row r="80" spans="2:16" x14ac:dyDescent="0.35"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123"/>
      <c r="N80" s="123"/>
      <c r="O80" s="123"/>
      <c r="P80" s="123"/>
    </row>
    <row r="81" spans="2:16" x14ac:dyDescent="0.35"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123"/>
      <c r="N81" s="123"/>
      <c r="O81" s="123"/>
      <c r="P81" s="123"/>
    </row>
    <row r="82" spans="2:16" x14ac:dyDescent="0.35"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123"/>
      <c r="N82" s="123"/>
      <c r="O82" s="123"/>
      <c r="P82" s="123"/>
    </row>
    <row r="83" spans="2:16" x14ac:dyDescent="0.35"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123"/>
      <c r="N83" s="123"/>
      <c r="O83" s="123"/>
      <c r="P83" s="123"/>
    </row>
    <row r="84" spans="2:16" x14ac:dyDescent="0.35"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123"/>
      <c r="N84" s="123"/>
      <c r="O84" s="123"/>
      <c r="P84" s="123"/>
    </row>
    <row r="85" spans="2:16" x14ac:dyDescent="0.35"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123"/>
      <c r="N85" s="123"/>
      <c r="O85" s="123"/>
      <c r="P85" s="123"/>
    </row>
    <row r="86" spans="2:16" x14ac:dyDescent="0.35"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123"/>
      <c r="N86" s="123"/>
      <c r="O86" s="123"/>
      <c r="P86" s="123"/>
    </row>
    <row r="87" spans="2:16" x14ac:dyDescent="0.35"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123"/>
      <c r="N87" s="123"/>
      <c r="O87" s="123"/>
      <c r="P87" s="123"/>
    </row>
    <row r="88" spans="2:16" x14ac:dyDescent="0.35"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123"/>
      <c r="N88" s="123"/>
      <c r="O88" s="123"/>
      <c r="P88" s="123"/>
    </row>
    <row r="89" spans="2:16" x14ac:dyDescent="0.35"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123"/>
      <c r="N89" s="123"/>
      <c r="O89" s="123"/>
      <c r="P89" s="123"/>
    </row>
    <row r="90" spans="2:16" x14ac:dyDescent="0.35"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123"/>
      <c r="N90" s="123"/>
      <c r="O90" s="123"/>
      <c r="P90" s="123"/>
    </row>
    <row r="91" spans="2:16" x14ac:dyDescent="0.35"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123"/>
      <c r="N91" s="123"/>
      <c r="O91" s="123"/>
      <c r="P91" s="123"/>
    </row>
    <row r="92" spans="2:16" x14ac:dyDescent="0.35"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123"/>
      <c r="N92" s="123"/>
      <c r="O92" s="123"/>
      <c r="P92" s="123"/>
    </row>
    <row r="93" spans="2:16" x14ac:dyDescent="0.35"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123"/>
      <c r="N93" s="123"/>
      <c r="O93" s="123"/>
      <c r="P93" s="123"/>
    </row>
    <row r="94" spans="2:16" x14ac:dyDescent="0.35"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123"/>
      <c r="N94" s="123"/>
      <c r="O94" s="123"/>
      <c r="P94" s="123"/>
    </row>
    <row r="95" spans="2:16" x14ac:dyDescent="0.35"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123"/>
      <c r="N95" s="123"/>
      <c r="O95" s="123"/>
      <c r="P95" s="123"/>
    </row>
    <row r="96" spans="2:16" x14ac:dyDescent="0.35"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123"/>
      <c r="N96" s="123"/>
      <c r="O96" s="123"/>
      <c r="P96" s="123"/>
    </row>
    <row r="97" spans="2:16" x14ac:dyDescent="0.35"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123"/>
      <c r="N97" s="123"/>
      <c r="O97" s="123"/>
      <c r="P97" s="123"/>
    </row>
    <row r="98" spans="2:16" x14ac:dyDescent="0.35"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123"/>
      <c r="N98" s="123"/>
      <c r="O98" s="123"/>
      <c r="P98" s="123"/>
    </row>
    <row r="99" spans="2:16" x14ac:dyDescent="0.35"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123"/>
      <c r="N99" s="123"/>
      <c r="O99" s="123"/>
      <c r="P99" s="123"/>
    </row>
    <row r="100" spans="2:16" x14ac:dyDescent="0.35"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123"/>
      <c r="N100" s="123"/>
      <c r="O100" s="123"/>
      <c r="P100" s="123"/>
    </row>
    <row r="101" spans="2:16" x14ac:dyDescent="0.35"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123"/>
      <c r="N101" s="123"/>
      <c r="O101" s="123"/>
      <c r="P101" s="123"/>
    </row>
    <row r="102" spans="2:16" x14ac:dyDescent="0.35"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43"/>
    </row>
    <row r="103" spans="2:16" x14ac:dyDescent="0.35"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123"/>
    </row>
    <row r="104" spans="2:16" x14ac:dyDescent="0.35"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123"/>
    </row>
    <row r="105" spans="2:16" x14ac:dyDescent="0.35"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123"/>
    </row>
    <row r="106" spans="2:16" x14ac:dyDescent="0.35"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123"/>
    </row>
    <row r="107" spans="2:16" x14ac:dyDescent="0.35"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123"/>
    </row>
    <row r="108" spans="2:16" x14ac:dyDescent="0.35">
      <c r="B108" s="123"/>
      <c r="C108" s="123"/>
      <c r="D108" s="123"/>
      <c r="E108" s="123"/>
      <c r="K108" s="123"/>
      <c r="L108" s="123"/>
      <c r="M108" s="123"/>
    </row>
    <row r="109" spans="2:16" x14ac:dyDescent="0.35">
      <c r="F109" s="43"/>
      <c r="G109" s="43"/>
      <c r="H109" s="43"/>
      <c r="I109" s="43"/>
      <c r="J109" s="43"/>
    </row>
  </sheetData>
  <mergeCells count="2">
    <mergeCell ref="B2:C7"/>
    <mergeCell ref="D1:L8"/>
  </mergeCells>
  <pageMargins left="0.51181102362204722" right="0.51181102362204722" top="0.35433070866141736" bottom="0.35433070866141736" header="0.31496062992125984" footer="0.31496062992125984"/>
  <pageSetup paperSize="9" scale="95" orientation="landscape" r:id="rId1"/>
  <headerFooter>
    <oddHeader xml:space="preserve">&amp;R </oddHeader>
    <oddFooter>&amp;RBy Nikhil Kulkarni MBA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4F3A-9AE2-4B33-99CF-B018148CE120}">
  <sheetPr>
    <tabColor theme="7" tint="-0.249977111117893"/>
  </sheetPr>
  <dimension ref="B1:V109"/>
  <sheetViews>
    <sheetView showGridLines="0" tabSelected="1" view="pageBreakPreview" topLeftCell="A15" zoomScale="55" zoomScaleNormal="59" zoomScaleSheetLayoutView="55" workbookViewId="0">
      <selection activeCell="G72" sqref="G72"/>
    </sheetView>
  </sheetViews>
  <sheetFormatPr defaultRowHeight="14.5" x14ac:dyDescent="0.35"/>
  <cols>
    <col min="1" max="1" width="1.81640625" customWidth="1"/>
    <col min="2" max="2" width="11.26953125" style="16" customWidth="1"/>
    <col min="3" max="3" width="11.26953125" customWidth="1"/>
    <col min="4" max="4" width="11.26953125" style="19" customWidth="1"/>
    <col min="5" max="5" width="9.7265625" bestFit="1" customWidth="1"/>
    <col min="6" max="6" width="10.36328125" style="124" customWidth="1"/>
    <col min="7" max="7" width="13.90625" style="123" customWidth="1"/>
    <col min="8" max="8" width="14.08984375" style="123" customWidth="1"/>
    <col min="9" max="10" width="8.7265625" style="123"/>
    <col min="11" max="11" width="12.7265625" customWidth="1"/>
    <col min="14" max="14" width="8.81640625" bestFit="1" customWidth="1"/>
    <col min="15" max="17" width="8.90625" bestFit="1" customWidth="1"/>
    <col min="18" max="18" width="14.36328125" bestFit="1" customWidth="1"/>
    <col min="19" max="19" width="12" bestFit="1" customWidth="1"/>
    <col min="20" max="22" width="8.81640625" bestFit="1" customWidth="1"/>
  </cols>
  <sheetData>
    <row r="1" spans="2:17" x14ac:dyDescent="0.35">
      <c r="F1" s="16"/>
      <c r="G1"/>
      <c r="H1"/>
      <c r="I1"/>
      <c r="J1"/>
    </row>
    <row r="2" spans="2:17" x14ac:dyDescent="0.35">
      <c r="B2" s="217"/>
      <c r="C2" s="217"/>
      <c r="D2" s="227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E2" s="227"/>
      <c r="F2" s="227"/>
      <c r="G2" s="227"/>
      <c r="H2" s="227"/>
      <c r="I2" s="227"/>
      <c r="J2" s="227"/>
      <c r="K2" s="227"/>
    </row>
    <row r="3" spans="2:17" x14ac:dyDescent="0.35">
      <c r="B3" s="217"/>
      <c r="C3" s="217"/>
      <c r="D3" s="227"/>
      <c r="E3" s="227"/>
      <c r="F3" s="227"/>
      <c r="G3" s="227"/>
      <c r="H3" s="227"/>
      <c r="I3" s="227"/>
      <c r="J3" s="227"/>
      <c r="K3" s="227"/>
    </row>
    <row r="4" spans="2:17" x14ac:dyDescent="0.35">
      <c r="B4" s="217"/>
      <c r="C4" s="217"/>
      <c r="D4" s="227"/>
      <c r="E4" s="227"/>
      <c r="F4" s="227"/>
      <c r="G4" s="227"/>
      <c r="H4" s="227"/>
      <c r="I4" s="227"/>
      <c r="J4" s="227"/>
      <c r="K4" s="227"/>
    </row>
    <row r="5" spans="2:17" x14ac:dyDescent="0.35">
      <c r="B5" s="217"/>
      <c r="C5" s="217"/>
      <c r="D5" s="227"/>
      <c r="E5" s="227"/>
      <c r="F5" s="227"/>
      <c r="G5" s="227"/>
      <c r="H5" s="227"/>
      <c r="I5" s="227"/>
      <c r="J5" s="227"/>
      <c r="K5" s="227"/>
      <c r="N5" s="123"/>
      <c r="O5" s="123"/>
      <c r="P5" s="123"/>
      <c r="Q5" s="123"/>
    </row>
    <row r="6" spans="2:17" x14ac:dyDescent="0.35">
      <c r="B6" s="217"/>
      <c r="C6" s="217"/>
      <c r="D6" s="227"/>
      <c r="E6" s="227"/>
      <c r="F6" s="227"/>
      <c r="G6" s="227"/>
      <c r="H6" s="227"/>
      <c r="I6" s="227"/>
      <c r="J6" s="227"/>
      <c r="K6" s="227"/>
      <c r="N6" s="123"/>
      <c r="O6" s="123"/>
      <c r="P6" s="123"/>
      <c r="Q6" s="123"/>
    </row>
    <row r="7" spans="2:17" x14ac:dyDescent="0.35">
      <c r="F7" s="16"/>
      <c r="G7"/>
      <c r="H7"/>
      <c r="K7" s="123"/>
      <c r="L7" s="123"/>
      <c r="M7" s="123"/>
      <c r="N7" s="123"/>
      <c r="O7" s="123"/>
      <c r="P7" s="123"/>
      <c r="Q7" s="123"/>
    </row>
    <row r="8" spans="2:17" x14ac:dyDescent="0.35">
      <c r="B8" s="217" t="str">
        <f>"Beta Calculation - " &amp;'Data Sheet'!B1</f>
        <v>Beta Calculation - EICHER MOTORS LTD</v>
      </c>
      <c r="C8" s="217"/>
      <c r="D8" s="217"/>
      <c r="F8" s="16"/>
      <c r="G8"/>
      <c r="K8" s="123"/>
      <c r="L8" s="123"/>
      <c r="M8" s="123"/>
      <c r="N8" s="123"/>
      <c r="O8" s="123"/>
      <c r="P8" s="123"/>
      <c r="Q8" s="123"/>
    </row>
    <row r="9" spans="2:17" ht="15.5" x14ac:dyDescent="0.35">
      <c r="B9" s="222" t="str">
        <f>'Data Sheet'!B1</f>
        <v>EICHER MOTORS LTD</v>
      </c>
      <c r="C9" s="222"/>
      <c r="D9" s="222"/>
      <c r="E9" s="123"/>
      <c r="F9" s="222" t="s">
        <v>151</v>
      </c>
      <c r="G9" s="222"/>
      <c r="I9" s="223" t="s">
        <v>177</v>
      </c>
      <c r="J9" s="223"/>
      <c r="K9" s="192"/>
      <c r="L9" s="123"/>
      <c r="M9" s="123"/>
      <c r="N9" s="123"/>
      <c r="O9" s="123"/>
      <c r="P9" s="123"/>
      <c r="Q9" s="123"/>
    </row>
    <row r="10" spans="2:17" x14ac:dyDescent="0.35">
      <c r="B10" s="177" t="s">
        <v>148</v>
      </c>
      <c r="C10" s="178" t="s">
        <v>44</v>
      </c>
      <c r="D10" s="179" t="s">
        <v>150</v>
      </c>
      <c r="E10" s="306"/>
      <c r="F10" s="177" t="s">
        <v>44</v>
      </c>
      <c r="G10" s="180" t="s">
        <v>149</v>
      </c>
      <c r="H10" s="308"/>
      <c r="I10" s="311"/>
      <c r="K10" s="308"/>
      <c r="L10" s="311"/>
      <c r="M10" s="123" t="s">
        <v>176</v>
      </c>
      <c r="N10" s="303">
        <f>O41</f>
        <v>1.0966639159072689</v>
      </c>
      <c r="O10" s="123"/>
      <c r="P10" s="123"/>
      <c r="Q10" s="123"/>
    </row>
    <row r="11" spans="2:17" x14ac:dyDescent="0.35">
      <c r="B11" s="67">
        <v>45690</v>
      </c>
      <c r="C11" s="68">
        <v>5372.55</v>
      </c>
      <c r="D11" s="76"/>
      <c r="E11" s="307"/>
      <c r="F11" s="63">
        <v>23559.95</v>
      </c>
      <c r="G11" s="59"/>
      <c r="H11" s="308"/>
      <c r="I11" s="311"/>
      <c r="K11" s="308"/>
      <c r="L11" s="311"/>
      <c r="M11" s="123"/>
      <c r="N11" s="123"/>
      <c r="O11" s="123"/>
      <c r="P11" s="123"/>
      <c r="Q11" s="123"/>
    </row>
    <row r="12" spans="2:17" x14ac:dyDescent="0.35">
      <c r="B12" s="148">
        <v>45697</v>
      </c>
      <c r="C12" s="149">
        <v>4703.3500000000004</v>
      </c>
      <c r="D12" s="5">
        <f>C12/C11-1</f>
        <v>-0.12455910135782822</v>
      </c>
      <c r="E12" s="307"/>
      <c r="F12" s="16">
        <v>22929.25</v>
      </c>
      <c r="G12" s="5">
        <f>F12/F11-1</f>
        <v>-2.6770005878620329E-2</v>
      </c>
      <c r="H12" s="308"/>
      <c r="I12" s="91" t="s">
        <v>178</v>
      </c>
      <c r="J12"/>
      <c r="K12" s="19">
        <f>N10</f>
        <v>1.0966639159072689</v>
      </c>
      <c r="L12" s="311"/>
      <c r="M12" s="123"/>
      <c r="N12" s="123"/>
      <c r="O12" s="123"/>
      <c r="P12" s="123"/>
      <c r="Q12" s="123"/>
    </row>
    <row r="13" spans="2:17" x14ac:dyDescent="0.35">
      <c r="B13" s="67">
        <v>45704</v>
      </c>
      <c r="C13" s="68">
        <v>4962.45</v>
      </c>
      <c r="D13" s="60">
        <f t="shared" ref="D13:D62" si="0">C13/C12-1</f>
        <v>5.5088394442259103E-2</v>
      </c>
      <c r="E13" s="307"/>
      <c r="F13" s="63">
        <v>22795.9</v>
      </c>
      <c r="G13" s="60">
        <f t="shared" ref="G13:G62" si="1">F13/F12-1</f>
        <v>-5.8157157342695331E-3</v>
      </c>
      <c r="H13" s="308"/>
      <c r="I13" s="80" t="s">
        <v>179</v>
      </c>
      <c r="J13" s="59"/>
      <c r="K13" s="64">
        <v>0.75</v>
      </c>
      <c r="L13" s="311"/>
      <c r="M13" s="123"/>
      <c r="N13" s="123"/>
      <c r="O13" s="123"/>
      <c r="P13" s="123"/>
      <c r="Q13" s="123"/>
    </row>
    <row r="14" spans="2:17" x14ac:dyDescent="0.35">
      <c r="B14" s="67">
        <v>45711</v>
      </c>
      <c r="C14" s="68">
        <v>4773.6000000000004</v>
      </c>
      <c r="D14" s="60">
        <f t="shared" si="0"/>
        <v>-3.8055799050871975E-2</v>
      </c>
      <c r="E14" s="307"/>
      <c r="F14" s="63">
        <v>22124.7</v>
      </c>
      <c r="G14" s="60">
        <f t="shared" si="1"/>
        <v>-2.9443891226053842E-2</v>
      </c>
      <c r="H14" s="308"/>
      <c r="I14" s="80"/>
      <c r="J14" s="59"/>
      <c r="K14" s="79"/>
      <c r="L14" s="311"/>
      <c r="M14" s="123"/>
      <c r="N14" s="123"/>
      <c r="O14" s="123"/>
      <c r="P14" s="123"/>
      <c r="Q14" s="123"/>
    </row>
    <row r="15" spans="2:17" x14ac:dyDescent="0.35">
      <c r="B15" s="67">
        <v>45718</v>
      </c>
      <c r="C15" s="68">
        <v>5100.7</v>
      </c>
      <c r="D15" s="60">
        <f t="shared" si="0"/>
        <v>6.8522708228590412E-2</v>
      </c>
      <c r="E15" s="307"/>
      <c r="F15" s="63">
        <v>22552.5</v>
      </c>
      <c r="G15" s="60">
        <f t="shared" si="1"/>
        <v>1.9335855401429125E-2</v>
      </c>
      <c r="H15" s="308"/>
      <c r="I15" s="80" t="s">
        <v>181</v>
      </c>
      <c r="J15" s="59"/>
      <c r="K15" s="76">
        <v>1</v>
      </c>
      <c r="L15" s="311"/>
      <c r="M15" s="123"/>
      <c r="N15" s="123"/>
      <c r="O15" s="123"/>
      <c r="P15" s="123"/>
      <c r="Q15" s="123"/>
    </row>
    <row r="16" spans="2:17" x14ac:dyDescent="0.35">
      <c r="B16" s="67">
        <v>45725</v>
      </c>
      <c r="C16" s="68">
        <v>5015.25</v>
      </c>
      <c r="D16" s="60">
        <f t="shared" si="0"/>
        <v>-1.6752602583959053E-2</v>
      </c>
      <c r="E16" s="307"/>
      <c r="F16" s="63">
        <v>22397.200000000001</v>
      </c>
      <c r="G16" s="60">
        <f t="shared" si="1"/>
        <v>-6.8861545283227521E-3</v>
      </c>
      <c r="H16" s="308"/>
      <c r="I16" s="309" t="s">
        <v>180</v>
      </c>
      <c r="J16" s="254"/>
      <c r="K16" s="312">
        <v>0.25</v>
      </c>
      <c r="L16" s="311"/>
      <c r="M16" s="123"/>
      <c r="N16" s="123"/>
      <c r="O16" s="123"/>
      <c r="P16" s="123"/>
      <c r="Q16" s="123"/>
    </row>
    <row r="17" spans="2:17" x14ac:dyDescent="0.35">
      <c r="B17" s="67">
        <v>45732</v>
      </c>
      <c r="C17" s="68">
        <v>5305.95</v>
      </c>
      <c r="D17" s="60">
        <f t="shared" si="0"/>
        <v>5.7963212202781556E-2</v>
      </c>
      <c r="E17" s="307"/>
      <c r="F17" s="63">
        <v>23350.400000000001</v>
      </c>
      <c r="G17" s="60">
        <f t="shared" si="1"/>
        <v>4.2558891289982803E-2</v>
      </c>
      <c r="H17" s="308"/>
      <c r="I17" s="311"/>
      <c r="K17" s="308"/>
      <c r="L17" s="311"/>
      <c r="M17" s="123"/>
      <c r="N17" s="123"/>
      <c r="O17" s="123"/>
      <c r="P17" s="123"/>
      <c r="Q17" s="123"/>
    </row>
    <row r="18" spans="2:17" x14ac:dyDescent="0.35">
      <c r="B18" s="67">
        <v>45739</v>
      </c>
      <c r="C18" s="68">
        <v>5347.7</v>
      </c>
      <c r="D18" s="60">
        <f t="shared" si="0"/>
        <v>7.8685249578303029E-3</v>
      </c>
      <c r="E18" s="307"/>
      <c r="F18" s="63">
        <v>23519.35</v>
      </c>
      <c r="G18" s="60">
        <f t="shared" si="1"/>
        <v>7.2354220912702605E-3</v>
      </c>
      <c r="H18" s="308"/>
      <c r="I18" s="311"/>
      <c r="K18" s="308"/>
      <c r="L18" s="311"/>
      <c r="M18" s="123"/>
      <c r="N18" s="123"/>
      <c r="O18" s="123"/>
      <c r="P18" s="123"/>
      <c r="Q18" s="123"/>
    </row>
    <row r="19" spans="2:17" x14ac:dyDescent="0.35">
      <c r="B19" s="67">
        <v>45746</v>
      </c>
      <c r="C19" s="68">
        <v>5247.9</v>
      </c>
      <c r="D19" s="60">
        <f t="shared" si="0"/>
        <v>-1.8662228621650456E-2</v>
      </c>
      <c r="E19" s="307"/>
      <c r="F19" s="63">
        <v>22904.45</v>
      </c>
      <c r="G19" s="60">
        <f t="shared" si="1"/>
        <v>-2.6144430011883713E-2</v>
      </c>
      <c r="H19" s="308"/>
      <c r="I19" s="313" t="s">
        <v>182</v>
      </c>
      <c r="J19" s="314"/>
      <c r="K19" s="315">
        <f>(K12*K13)+(K15*K16)</f>
        <v>1.0724979369304517</v>
      </c>
      <c r="L19" s="311"/>
      <c r="M19" s="123"/>
      <c r="N19" s="123"/>
      <c r="O19" s="123"/>
      <c r="P19" s="123"/>
      <c r="Q19" s="123"/>
    </row>
    <row r="20" spans="2:17" x14ac:dyDescent="0.35">
      <c r="B20" s="67">
        <v>45753</v>
      </c>
      <c r="C20" s="68">
        <v>5350.9</v>
      </c>
      <c r="D20" s="60">
        <f t="shared" si="0"/>
        <v>1.9626898378398927E-2</v>
      </c>
      <c r="E20" s="307"/>
      <c r="F20" s="63">
        <v>22828.55</v>
      </c>
      <c r="G20" s="60">
        <f t="shared" si="1"/>
        <v>-3.3137665388167648E-3</v>
      </c>
      <c r="H20" s="308"/>
      <c r="I20" s="309"/>
      <c r="J20" s="254"/>
      <c r="K20" s="310"/>
      <c r="L20" s="311"/>
      <c r="M20" s="123"/>
      <c r="N20" s="151"/>
      <c r="O20" s="123"/>
      <c r="P20" s="123"/>
      <c r="Q20" s="123"/>
    </row>
    <row r="21" spans="2:17" x14ac:dyDescent="0.35">
      <c r="B21" s="67">
        <v>45760</v>
      </c>
      <c r="C21" s="68">
        <v>5678.5</v>
      </c>
      <c r="D21" s="60">
        <f t="shared" si="0"/>
        <v>6.1223345605412316E-2</v>
      </c>
      <c r="E21" s="307"/>
      <c r="F21" s="63">
        <v>23851.65</v>
      </c>
      <c r="G21" s="60">
        <f t="shared" si="1"/>
        <v>4.4816687875489425E-2</v>
      </c>
      <c r="H21" s="308"/>
      <c r="I21" s="311"/>
      <c r="K21" s="308"/>
      <c r="L21" s="311"/>
      <c r="M21" s="123"/>
      <c r="N21" s="123"/>
      <c r="O21" s="123"/>
      <c r="P21" s="123"/>
      <c r="Q21" s="123"/>
    </row>
    <row r="22" spans="2:17" x14ac:dyDescent="0.35">
      <c r="B22" s="67">
        <v>45767</v>
      </c>
      <c r="C22" s="68">
        <v>5575.5</v>
      </c>
      <c r="D22" s="60">
        <f t="shared" si="0"/>
        <v>-1.813859293827591E-2</v>
      </c>
      <c r="E22" s="307"/>
      <c r="F22" s="63">
        <v>24039.35</v>
      </c>
      <c r="G22" s="60">
        <f t="shared" si="1"/>
        <v>7.86947653516612E-3</v>
      </c>
      <c r="H22" s="308"/>
      <c r="I22" s="311"/>
      <c r="K22" s="308"/>
      <c r="L22" s="311"/>
      <c r="M22" s="123"/>
      <c r="N22" s="123"/>
      <c r="O22" s="123"/>
      <c r="P22" s="123"/>
      <c r="Q22" s="123"/>
    </row>
    <row r="23" spans="2:17" x14ac:dyDescent="0.35">
      <c r="B23" s="67">
        <v>45774</v>
      </c>
      <c r="C23" s="68">
        <v>5437.5</v>
      </c>
      <c r="D23" s="60">
        <f t="shared" si="0"/>
        <v>-2.4751143395211228E-2</v>
      </c>
      <c r="E23" s="307"/>
      <c r="F23" s="63">
        <v>24346.7</v>
      </c>
      <c r="G23" s="60">
        <f t="shared" si="1"/>
        <v>1.2785287455775673E-2</v>
      </c>
      <c r="H23" s="308"/>
      <c r="I23" s="311"/>
      <c r="K23" s="308"/>
      <c r="L23" s="311"/>
      <c r="M23" s="123"/>
      <c r="N23" s="123"/>
      <c r="O23" s="123"/>
      <c r="P23" s="123"/>
      <c r="Q23" s="123"/>
    </row>
    <row r="24" spans="2:17" x14ac:dyDescent="0.35">
      <c r="B24" s="67">
        <v>45781</v>
      </c>
      <c r="C24" s="68">
        <v>5324</v>
      </c>
      <c r="D24" s="60">
        <f t="shared" si="0"/>
        <v>-2.0873563218390845E-2</v>
      </c>
      <c r="E24" s="307"/>
      <c r="F24" s="63">
        <v>24008</v>
      </c>
      <c r="G24" s="60">
        <f t="shared" si="1"/>
        <v>-1.391153626569519E-2</v>
      </c>
      <c r="H24" s="308"/>
      <c r="I24" s="311"/>
      <c r="K24" s="308"/>
      <c r="L24" s="311"/>
      <c r="M24" s="123"/>
      <c r="N24" s="123" t="s">
        <v>152</v>
      </c>
      <c r="O24" s="123"/>
      <c r="P24" s="123"/>
      <c r="Q24" s="123"/>
    </row>
    <row r="25" spans="2:17" x14ac:dyDescent="0.35">
      <c r="B25" s="67">
        <v>45788</v>
      </c>
      <c r="C25" s="68">
        <v>5509.5</v>
      </c>
      <c r="D25" s="60">
        <f t="shared" si="0"/>
        <v>3.4842223891810686E-2</v>
      </c>
      <c r="E25" s="307"/>
      <c r="F25" s="63">
        <v>25019.8</v>
      </c>
      <c r="G25" s="60">
        <f t="shared" si="1"/>
        <v>4.2144285238253865E-2</v>
      </c>
      <c r="H25" s="308"/>
      <c r="I25" s="311"/>
      <c r="K25" s="308"/>
      <c r="L25" s="311"/>
      <c r="M25" s="123"/>
      <c r="N25" s="123"/>
      <c r="O25" s="123"/>
      <c r="P25" s="123"/>
      <c r="Q25" s="123"/>
    </row>
    <row r="26" spans="2:17" x14ac:dyDescent="0.35">
      <c r="B26" s="67">
        <v>45795</v>
      </c>
      <c r="C26" s="68">
        <v>5400</v>
      </c>
      <c r="D26" s="60">
        <f t="shared" si="0"/>
        <v>-1.9874761775115712E-2</v>
      </c>
      <c r="E26" s="307"/>
      <c r="F26" s="63">
        <v>24853.15</v>
      </c>
      <c r="G26" s="60">
        <f t="shared" si="1"/>
        <v>-6.660724706032739E-3</v>
      </c>
      <c r="H26" s="308"/>
      <c r="I26" s="311"/>
      <c r="K26" s="308"/>
      <c r="L26" s="311"/>
      <c r="M26" s="123"/>
      <c r="N26" s="304" t="s">
        <v>153</v>
      </c>
      <c r="O26" s="304"/>
      <c r="P26" s="123"/>
      <c r="Q26" s="123"/>
    </row>
    <row r="27" spans="2:17" x14ac:dyDescent="0.35">
      <c r="B27" s="67">
        <v>45802</v>
      </c>
      <c r="C27" s="68">
        <v>5333.5</v>
      </c>
      <c r="D27" s="60">
        <f t="shared" si="0"/>
        <v>-1.2314814814814778E-2</v>
      </c>
      <c r="E27" s="307"/>
      <c r="F27" s="63">
        <v>24750.7</v>
      </c>
      <c r="G27" s="60">
        <f t="shared" si="1"/>
        <v>-4.1222138843567402E-3</v>
      </c>
      <c r="H27" s="308"/>
      <c r="I27" s="311"/>
      <c r="K27" s="308"/>
      <c r="L27" s="311"/>
      <c r="M27" s="123"/>
      <c r="N27" s="123" t="s">
        <v>154</v>
      </c>
      <c r="O27" s="123">
        <v>0.53119241179402799</v>
      </c>
      <c r="P27" s="123"/>
      <c r="Q27" s="123"/>
    </row>
    <row r="28" spans="2:17" x14ac:dyDescent="0.35">
      <c r="B28" s="67">
        <v>45809</v>
      </c>
      <c r="C28" s="68">
        <v>5394</v>
      </c>
      <c r="D28" s="60">
        <f t="shared" si="0"/>
        <v>1.1343395518889965E-2</v>
      </c>
      <c r="E28" s="307"/>
      <c r="F28" s="63">
        <v>25003.05</v>
      </c>
      <c r="G28" s="60">
        <f t="shared" si="1"/>
        <v>1.0195671233540704E-2</v>
      </c>
      <c r="H28" s="308"/>
      <c r="I28" s="311"/>
      <c r="K28" s="308"/>
      <c r="L28" s="311"/>
      <c r="M28" s="123"/>
      <c r="N28" s="123" t="s">
        <v>155</v>
      </c>
      <c r="O28" s="123">
        <v>0.28216537834755617</v>
      </c>
      <c r="P28" s="123"/>
      <c r="Q28" s="123"/>
    </row>
    <row r="29" spans="2:17" x14ac:dyDescent="0.35">
      <c r="B29" s="67">
        <v>45816</v>
      </c>
      <c r="C29" s="68">
        <v>5319</v>
      </c>
      <c r="D29" s="60">
        <f t="shared" si="0"/>
        <v>-1.3904338153503892E-2</v>
      </c>
      <c r="E29" s="307"/>
      <c r="F29" s="63">
        <v>24718.6</v>
      </c>
      <c r="G29" s="60">
        <f t="shared" si="1"/>
        <v>-1.1376612053329516E-2</v>
      </c>
      <c r="H29" s="308"/>
      <c r="I29" s="311"/>
      <c r="K29" s="308"/>
      <c r="L29" s="311"/>
      <c r="M29" s="123"/>
      <c r="N29" s="123" t="s">
        <v>156</v>
      </c>
      <c r="O29" s="123">
        <v>0.26751569219138382</v>
      </c>
      <c r="P29" s="123"/>
      <c r="Q29" s="123"/>
    </row>
    <row r="30" spans="2:17" x14ac:dyDescent="0.35">
      <c r="B30" s="67">
        <v>45823</v>
      </c>
      <c r="C30" s="68">
        <v>5525</v>
      </c>
      <c r="D30" s="60">
        <f t="shared" si="0"/>
        <v>3.8729084414363513E-2</v>
      </c>
      <c r="E30" s="307"/>
      <c r="F30" s="63">
        <v>25112.400000000001</v>
      </c>
      <c r="G30" s="60">
        <f t="shared" si="1"/>
        <v>1.5931322971365791E-2</v>
      </c>
      <c r="H30" s="308"/>
      <c r="I30" s="311"/>
      <c r="K30" s="308"/>
      <c r="L30" s="311"/>
      <c r="M30" s="123"/>
      <c r="N30" s="123" t="s">
        <v>157</v>
      </c>
      <c r="O30" s="123">
        <v>2.9910687960773112E-2</v>
      </c>
      <c r="P30" s="123"/>
      <c r="Q30" s="123"/>
    </row>
    <row r="31" spans="2:17" x14ac:dyDescent="0.35">
      <c r="B31" s="67">
        <v>45830</v>
      </c>
      <c r="C31" s="68">
        <v>5660</v>
      </c>
      <c r="D31" s="60">
        <f t="shared" si="0"/>
        <v>2.4434389140271406E-2</v>
      </c>
      <c r="E31" s="307"/>
      <c r="F31" s="63">
        <v>25637.8</v>
      </c>
      <c r="G31" s="60">
        <f t="shared" si="1"/>
        <v>2.092193498032846E-2</v>
      </c>
      <c r="H31" s="308"/>
      <c r="I31" s="311"/>
      <c r="K31" s="308"/>
      <c r="L31" s="311"/>
      <c r="M31" s="123"/>
      <c r="N31" s="123" t="s">
        <v>158</v>
      </c>
      <c r="O31" s="123">
        <v>51</v>
      </c>
      <c r="P31" s="123"/>
      <c r="Q31" s="123"/>
    </row>
    <row r="32" spans="2:17" x14ac:dyDescent="0.35">
      <c r="B32" s="67">
        <v>45837</v>
      </c>
      <c r="C32" s="68">
        <v>5629</v>
      </c>
      <c r="D32" s="60">
        <f t="shared" si="0"/>
        <v>-5.4770318021201136E-3</v>
      </c>
      <c r="E32" s="307"/>
      <c r="F32" s="63">
        <v>25461</v>
      </c>
      <c r="G32" s="60">
        <f t="shared" si="1"/>
        <v>-6.8960675252947023E-3</v>
      </c>
      <c r="H32" s="308"/>
      <c r="I32" s="311"/>
      <c r="K32" s="308"/>
      <c r="L32" s="311"/>
      <c r="M32" s="123"/>
      <c r="N32" s="123"/>
      <c r="O32" s="123"/>
      <c r="P32" s="123"/>
      <c r="Q32" s="123"/>
    </row>
    <row r="33" spans="2:22" ht="15" thickBot="1" x14ac:dyDescent="0.4">
      <c r="B33" s="67">
        <v>45844</v>
      </c>
      <c r="C33" s="68">
        <v>5612.5</v>
      </c>
      <c r="D33" s="60">
        <f t="shared" si="0"/>
        <v>-2.9312488896784394E-3</v>
      </c>
      <c r="E33" s="307"/>
      <c r="F33" s="63">
        <v>25149.85</v>
      </c>
      <c r="G33" s="60">
        <f t="shared" si="1"/>
        <v>-1.2220651192019205E-2</v>
      </c>
      <c r="H33" s="308" t="s">
        <v>265</v>
      </c>
      <c r="I33" s="311"/>
      <c r="K33" s="308"/>
      <c r="L33" s="311"/>
      <c r="M33" s="123"/>
      <c r="N33" s="123" t="s">
        <v>159</v>
      </c>
      <c r="O33" s="123"/>
      <c r="P33" s="123"/>
      <c r="Q33" s="123"/>
    </row>
    <row r="34" spans="2:22" x14ac:dyDescent="0.35">
      <c r="B34" s="67">
        <v>45851</v>
      </c>
      <c r="C34" s="68">
        <v>5627.5</v>
      </c>
      <c r="D34" s="60">
        <f t="shared" si="0"/>
        <v>2.6726057906458767E-3</v>
      </c>
      <c r="E34" s="307"/>
      <c r="F34" s="63">
        <v>24968.400000000001</v>
      </c>
      <c r="G34" s="60">
        <f t="shared" si="1"/>
        <v>-7.214754759968578E-3</v>
      </c>
      <c r="H34" s="308"/>
      <c r="I34" s="311"/>
      <c r="K34" s="308"/>
      <c r="L34" s="311"/>
      <c r="M34" s="123"/>
      <c r="N34" s="305"/>
      <c r="O34" s="305" t="s">
        <v>163</v>
      </c>
      <c r="P34" s="305" t="s">
        <v>164</v>
      </c>
      <c r="Q34" s="305" t="s">
        <v>165</v>
      </c>
      <c r="R34" s="21" t="s">
        <v>166</v>
      </c>
      <c r="S34" s="21" t="s">
        <v>167</v>
      </c>
    </row>
    <row r="35" spans="2:22" x14ac:dyDescent="0.35">
      <c r="B35" s="67">
        <v>45858</v>
      </c>
      <c r="C35" s="68">
        <v>5433</v>
      </c>
      <c r="D35" s="60">
        <f t="shared" si="0"/>
        <v>-3.4562416703687204E-2</v>
      </c>
      <c r="E35" s="307"/>
      <c r="F35" s="63">
        <v>24837</v>
      </c>
      <c r="G35" s="60">
        <f t="shared" si="1"/>
        <v>-5.2626519921180615E-3</v>
      </c>
      <c r="H35" s="308"/>
      <c r="I35" s="311"/>
      <c r="K35" s="308"/>
      <c r="L35" s="311"/>
      <c r="M35" s="123"/>
      <c r="N35" s="123" t="s">
        <v>160</v>
      </c>
      <c r="O35" s="123">
        <v>1</v>
      </c>
      <c r="P35" s="123">
        <v>1.7231703302928211E-2</v>
      </c>
      <c r="Q35" s="123">
        <v>1.7231703302928211E-2</v>
      </c>
      <c r="R35">
        <v>19.260848003127496</v>
      </c>
      <c r="S35">
        <v>6.0595236841538059E-5</v>
      </c>
    </row>
    <row r="36" spans="2:22" x14ac:dyDescent="0.35">
      <c r="B36" s="67">
        <v>45865</v>
      </c>
      <c r="C36" s="68">
        <v>5528</v>
      </c>
      <c r="D36" s="60">
        <f t="shared" si="0"/>
        <v>1.7485735321185247E-2</v>
      </c>
      <c r="E36" s="307"/>
      <c r="F36" s="63">
        <v>24565.35</v>
      </c>
      <c r="G36" s="60">
        <f t="shared" si="1"/>
        <v>-1.0937311269477057E-2</v>
      </c>
      <c r="H36" s="308"/>
      <c r="I36" s="311"/>
      <c r="K36" s="308"/>
      <c r="L36" s="311"/>
      <c r="M36" s="123"/>
      <c r="N36" s="123" t="s">
        <v>161</v>
      </c>
      <c r="O36" s="123">
        <v>49</v>
      </c>
      <c r="P36" s="123">
        <v>4.383781346005014E-2</v>
      </c>
      <c r="Q36" s="123">
        <v>8.9464925428673757E-4</v>
      </c>
    </row>
    <row r="37" spans="2:22" ht="15" thickBot="1" x14ac:dyDescent="0.4">
      <c r="B37" s="67">
        <v>45872</v>
      </c>
      <c r="C37" s="68">
        <v>5663</v>
      </c>
      <c r="D37" s="60">
        <f t="shared" si="0"/>
        <v>2.4421128798842284E-2</v>
      </c>
      <c r="E37" s="307"/>
      <c r="F37" s="63">
        <v>24363.3</v>
      </c>
      <c r="G37" s="60">
        <f t="shared" si="1"/>
        <v>-8.2249998473459263E-3</v>
      </c>
      <c r="H37" s="308"/>
      <c r="I37" s="311"/>
      <c r="K37" s="308"/>
      <c r="L37" s="311"/>
      <c r="M37" s="123"/>
      <c r="N37" s="123" t="s">
        <v>21</v>
      </c>
      <c r="O37" s="123">
        <v>50</v>
      </c>
      <c r="P37" s="123">
        <v>6.1069516762978351E-2</v>
      </c>
      <c r="Q37" s="123"/>
      <c r="R37" s="20"/>
      <c r="S37" s="20"/>
    </row>
    <row r="38" spans="2:22" ht="15" thickBot="1" x14ac:dyDescent="0.4">
      <c r="B38" s="67">
        <v>45879</v>
      </c>
      <c r="C38" s="68">
        <v>5764</v>
      </c>
      <c r="D38" s="60">
        <f t="shared" si="0"/>
        <v>1.7835069751015453E-2</v>
      </c>
      <c r="E38" s="307"/>
      <c r="F38" s="63">
        <v>24631.3</v>
      </c>
      <c r="G38" s="60">
        <f t="shared" si="1"/>
        <v>1.100015186776826E-2</v>
      </c>
      <c r="H38" s="308"/>
      <c r="I38" s="311"/>
      <c r="K38" s="308"/>
      <c r="L38" s="311"/>
      <c r="M38" s="123"/>
      <c r="N38" s="123"/>
      <c r="O38" s="123"/>
      <c r="P38" s="123"/>
      <c r="Q38" s="123"/>
    </row>
    <row r="39" spans="2:22" x14ac:dyDescent="0.35">
      <c r="B39" s="67">
        <v>45886</v>
      </c>
      <c r="C39" s="68">
        <v>5924.5</v>
      </c>
      <c r="D39" s="60">
        <f t="shared" si="0"/>
        <v>2.7845246356696718E-2</v>
      </c>
      <c r="E39" s="307"/>
      <c r="F39" s="63">
        <v>24870.1</v>
      </c>
      <c r="G39" s="60">
        <f t="shared" si="1"/>
        <v>9.6949815884666002E-3</v>
      </c>
      <c r="H39" s="308"/>
      <c r="I39" s="311"/>
      <c r="K39" s="308"/>
      <c r="L39" s="311"/>
      <c r="M39" s="123"/>
      <c r="N39" s="305"/>
      <c r="O39" s="305" t="s">
        <v>168</v>
      </c>
      <c r="P39" s="305" t="s">
        <v>157</v>
      </c>
      <c r="Q39" s="305" t="s">
        <v>169</v>
      </c>
      <c r="R39" s="21" t="s">
        <v>170</v>
      </c>
      <c r="S39" s="21" t="s">
        <v>171</v>
      </c>
      <c r="T39" s="21" t="s">
        <v>172</v>
      </c>
      <c r="U39" s="21" t="s">
        <v>173</v>
      </c>
      <c r="V39" s="21" t="s">
        <v>174</v>
      </c>
    </row>
    <row r="40" spans="2:22" x14ac:dyDescent="0.35">
      <c r="B40" s="67">
        <v>45893</v>
      </c>
      <c r="C40" s="68">
        <v>6103</v>
      </c>
      <c r="D40" s="60">
        <f t="shared" si="0"/>
        <v>3.0129124820659881E-2</v>
      </c>
      <c r="E40" s="307"/>
      <c r="F40" s="63">
        <v>24426.85</v>
      </c>
      <c r="G40" s="60">
        <f t="shared" si="1"/>
        <v>-1.7822606262138052E-2</v>
      </c>
      <c r="H40" s="308"/>
      <c r="I40" s="311"/>
      <c r="K40" s="308"/>
      <c r="L40" s="311"/>
      <c r="M40" s="123"/>
      <c r="N40" s="123" t="s">
        <v>162</v>
      </c>
      <c r="O40" s="123">
        <v>4.6356035957475427E-3</v>
      </c>
      <c r="P40" s="123">
        <v>4.2038401439459605E-3</v>
      </c>
      <c r="Q40" s="123">
        <v>1.1027069148724349</v>
      </c>
      <c r="R40">
        <v>0.27554104142255087</v>
      </c>
      <c r="S40">
        <v>-3.8123294583760738E-3</v>
      </c>
      <c r="T40">
        <v>1.308353664987116E-2</v>
      </c>
      <c r="U40">
        <v>-3.8123294583760738E-3</v>
      </c>
      <c r="V40">
        <v>1.308353664987116E-2</v>
      </c>
    </row>
    <row r="41" spans="2:22" ht="15" thickBot="1" x14ac:dyDescent="0.4">
      <c r="B41" s="67">
        <v>45900</v>
      </c>
      <c r="C41" s="68">
        <v>6580.5</v>
      </c>
      <c r="D41" s="60">
        <f t="shared" si="0"/>
        <v>7.8240209732918231E-2</v>
      </c>
      <c r="E41" s="307"/>
      <c r="F41" s="63">
        <v>24741</v>
      </c>
      <c r="G41" s="60">
        <f t="shared" si="1"/>
        <v>1.2860847796584585E-2</v>
      </c>
      <c r="H41" s="308"/>
      <c r="I41" s="311"/>
      <c r="K41" s="308"/>
      <c r="L41" s="311"/>
      <c r="M41" s="123"/>
      <c r="N41" s="123" t="s">
        <v>175</v>
      </c>
      <c r="O41" s="123">
        <v>1.0966639159072689</v>
      </c>
      <c r="P41" s="123">
        <v>0.24988250552236285</v>
      </c>
      <c r="Q41" s="123">
        <v>4.3887182642689027</v>
      </c>
      <c r="R41" s="20">
        <v>6.0595236841539068E-5</v>
      </c>
      <c r="S41" s="20">
        <v>0.59450622061771818</v>
      </c>
      <c r="T41" s="20">
        <v>1.5988216111968194</v>
      </c>
      <c r="U41" s="20">
        <v>0.59450622061771818</v>
      </c>
      <c r="V41" s="20">
        <v>1.5988216111968194</v>
      </c>
    </row>
    <row r="42" spans="2:22" x14ac:dyDescent="0.35">
      <c r="B42" s="67">
        <v>45907</v>
      </c>
      <c r="C42" s="68">
        <v>6875</v>
      </c>
      <c r="D42" s="60">
        <f t="shared" si="0"/>
        <v>4.4753438188587458E-2</v>
      </c>
      <c r="E42" s="307"/>
      <c r="F42" s="63">
        <v>25114</v>
      </c>
      <c r="G42" s="60">
        <f t="shared" si="1"/>
        <v>1.5076189321369338E-2</v>
      </c>
      <c r="H42" s="308"/>
      <c r="I42" s="311"/>
      <c r="K42" s="308"/>
      <c r="L42" s="311"/>
      <c r="M42" s="123"/>
      <c r="N42" s="123"/>
      <c r="O42" s="123"/>
      <c r="P42" s="123"/>
      <c r="Q42" s="123"/>
    </row>
    <row r="43" spans="2:22" x14ac:dyDescent="0.35">
      <c r="B43" s="67">
        <v>45914</v>
      </c>
      <c r="C43" s="68">
        <v>6973.5</v>
      </c>
      <c r="D43" s="60">
        <f t="shared" si="0"/>
        <v>1.4327272727272744E-2</v>
      </c>
      <c r="E43" s="307"/>
      <c r="F43" s="63">
        <v>25327.05</v>
      </c>
      <c r="G43" s="60">
        <f t="shared" si="1"/>
        <v>8.4833160786812467E-3</v>
      </c>
      <c r="H43" s="308"/>
      <c r="I43" s="311"/>
      <c r="K43" s="308"/>
      <c r="L43" s="311"/>
      <c r="M43" s="123"/>
      <c r="N43" s="123"/>
      <c r="O43" s="123"/>
      <c r="P43" s="123"/>
      <c r="Q43" s="123"/>
    </row>
    <row r="44" spans="2:22" x14ac:dyDescent="0.35">
      <c r="B44" s="67">
        <v>45921</v>
      </c>
      <c r="C44" s="68">
        <v>7047</v>
      </c>
      <c r="D44" s="60">
        <f t="shared" si="0"/>
        <v>1.0539901053990164E-2</v>
      </c>
      <c r="E44" s="307"/>
      <c r="F44" s="63">
        <v>24654.7</v>
      </c>
      <c r="G44" s="60">
        <f t="shared" si="1"/>
        <v>-2.6546715863079107E-2</v>
      </c>
      <c r="H44" s="308"/>
      <c r="I44" s="311"/>
      <c r="K44" s="308"/>
      <c r="L44" s="311"/>
      <c r="M44" s="123"/>
      <c r="N44" s="123"/>
      <c r="O44" s="123"/>
      <c r="P44" s="123"/>
      <c r="Q44" s="123"/>
    </row>
    <row r="45" spans="2:22" x14ac:dyDescent="0.35">
      <c r="B45" s="67">
        <v>45928</v>
      </c>
      <c r="C45" s="68">
        <v>6941</v>
      </c>
      <c r="D45" s="60">
        <f t="shared" si="0"/>
        <v>-1.5041861785156763E-2</v>
      </c>
      <c r="E45" s="307"/>
      <c r="F45" s="63">
        <v>24894.25</v>
      </c>
      <c r="G45" s="60">
        <f t="shared" si="1"/>
        <v>9.7162001565624934E-3</v>
      </c>
      <c r="H45" s="308"/>
      <c r="I45" s="311"/>
      <c r="K45" s="308"/>
      <c r="L45" s="311"/>
      <c r="M45" s="123"/>
      <c r="N45" s="123"/>
      <c r="O45" s="123"/>
      <c r="P45" s="123"/>
      <c r="Q45" s="123"/>
    </row>
    <row r="46" spans="2:22" x14ac:dyDescent="0.35">
      <c r="B46" s="67">
        <v>45935</v>
      </c>
      <c r="C46" s="68">
        <v>6965</v>
      </c>
      <c r="D46" s="60">
        <f t="shared" si="0"/>
        <v>3.457715026653263E-3</v>
      </c>
      <c r="E46" s="307"/>
      <c r="F46" s="63">
        <v>25285.35</v>
      </c>
      <c r="G46" s="60">
        <f t="shared" si="1"/>
        <v>1.5710455225604214E-2</v>
      </c>
      <c r="H46" s="308"/>
      <c r="I46" s="311"/>
      <c r="K46" s="308"/>
      <c r="L46" s="311"/>
      <c r="M46" s="123"/>
      <c r="N46" s="123"/>
      <c r="O46" s="123"/>
      <c r="P46" s="123"/>
      <c r="Q46" s="123"/>
    </row>
    <row r="47" spans="2:22" x14ac:dyDescent="0.35">
      <c r="B47" s="67">
        <v>45942</v>
      </c>
      <c r="C47" s="68">
        <v>7042.5</v>
      </c>
      <c r="D47" s="60">
        <f t="shared" si="0"/>
        <v>1.1127063890882916E-2</v>
      </c>
      <c r="E47" s="307"/>
      <c r="F47" s="63">
        <v>25709.85</v>
      </c>
      <c r="G47" s="60">
        <f t="shared" si="1"/>
        <v>1.6788377459675319E-2</v>
      </c>
      <c r="H47" s="308"/>
      <c r="I47" s="311"/>
      <c r="K47" s="308"/>
      <c r="L47" s="311"/>
      <c r="M47" s="123"/>
      <c r="N47" s="123"/>
      <c r="O47" s="123"/>
      <c r="P47" s="123"/>
      <c r="Q47" s="123"/>
    </row>
    <row r="48" spans="2:22" x14ac:dyDescent="0.35">
      <c r="B48" s="67">
        <v>45949</v>
      </c>
      <c r="C48" s="68">
        <v>6840</v>
      </c>
      <c r="D48" s="60">
        <f t="shared" si="0"/>
        <v>-2.8753993610223683E-2</v>
      </c>
      <c r="E48" s="307"/>
      <c r="F48" s="63">
        <v>25795.15</v>
      </c>
      <c r="G48" s="60">
        <f t="shared" si="1"/>
        <v>3.3177945417808274E-3</v>
      </c>
      <c r="H48" s="308"/>
      <c r="I48" s="311"/>
      <c r="K48" s="308"/>
      <c r="L48" s="311"/>
      <c r="M48" s="123"/>
      <c r="N48" s="123"/>
      <c r="O48" s="123"/>
      <c r="P48" s="123"/>
      <c r="Q48" s="123"/>
    </row>
    <row r="49" spans="2:17" x14ac:dyDescent="0.35">
      <c r="B49" s="67">
        <v>45956</v>
      </c>
      <c r="C49" s="68">
        <v>7007</v>
      </c>
      <c r="D49" s="60">
        <f t="shared" si="0"/>
        <v>2.4415204678362556E-2</v>
      </c>
      <c r="E49" s="307"/>
      <c r="F49" s="63">
        <v>25722.1</v>
      </c>
      <c r="G49" s="60">
        <f t="shared" si="1"/>
        <v>-2.8319277073404203E-3</v>
      </c>
      <c r="H49" s="308"/>
      <c r="I49" s="311"/>
      <c r="K49" s="308"/>
      <c r="L49" s="311"/>
      <c r="M49" s="123"/>
      <c r="N49" s="123"/>
      <c r="O49" s="123"/>
      <c r="P49" s="123"/>
      <c r="Q49" s="123"/>
    </row>
    <row r="50" spans="2:17" x14ac:dyDescent="0.35">
      <c r="B50" s="67">
        <v>45963</v>
      </c>
      <c r="C50" s="68">
        <v>6886</v>
      </c>
      <c r="D50" s="60">
        <f t="shared" si="0"/>
        <v>-1.7268445839874413E-2</v>
      </c>
      <c r="E50" s="307"/>
      <c r="F50" s="63">
        <v>25492.3</v>
      </c>
      <c r="G50" s="60">
        <f t="shared" si="1"/>
        <v>-8.9339517379996014E-3</v>
      </c>
      <c r="H50" s="308"/>
      <c r="I50" s="311"/>
      <c r="K50" s="308"/>
      <c r="L50" s="311"/>
      <c r="M50" s="123"/>
      <c r="N50" s="123"/>
      <c r="O50" s="123"/>
      <c r="P50" s="123"/>
      <c r="Q50" s="123"/>
    </row>
    <row r="51" spans="2:17" x14ac:dyDescent="0.35">
      <c r="B51" s="156">
        <v>45970</v>
      </c>
      <c r="C51" s="157">
        <v>6695</v>
      </c>
      <c r="D51" s="56">
        <f t="shared" si="0"/>
        <v>-2.7737438280569293E-2</v>
      </c>
      <c r="E51" s="307"/>
      <c r="F51" s="90">
        <v>25910.05</v>
      </c>
      <c r="G51" s="56">
        <f t="shared" si="1"/>
        <v>1.6387301263518728E-2</v>
      </c>
      <c r="H51" s="308"/>
      <c r="I51" s="311"/>
      <c r="K51" s="308"/>
      <c r="L51" s="311"/>
      <c r="M51" s="123"/>
      <c r="N51" s="123"/>
      <c r="O51" s="123"/>
      <c r="P51" s="123"/>
      <c r="Q51" s="123"/>
    </row>
    <row r="52" spans="2:17" x14ac:dyDescent="0.35">
      <c r="B52" s="67">
        <v>45977</v>
      </c>
      <c r="C52" s="68">
        <v>7134.5</v>
      </c>
      <c r="D52" s="60">
        <f t="shared" si="0"/>
        <v>6.5646004480955922E-2</v>
      </c>
      <c r="E52" s="307"/>
      <c r="F52" s="63">
        <v>26068.15</v>
      </c>
      <c r="G52" s="60">
        <f t="shared" si="1"/>
        <v>6.1018793865701415E-3</v>
      </c>
      <c r="H52" s="308"/>
      <c r="I52" s="311"/>
      <c r="K52" s="308"/>
      <c r="L52" s="311"/>
      <c r="M52" s="123"/>
      <c r="N52" s="123"/>
      <c r="O52" s="123"/>
      <c r="P52" s="123"/>
      <c r="Q52" s="123"/>
    </row>
    <row r="53" spans="2:17" x14ac:dyDescent="0.35">
      <c r="B53" s="148">
        <v>45984</v>
      </c>
      <c r="C53" s="149">
        <v>7053.5</v>
      </c>
      <c r="D53" s="5">
        <f t="shared" si="0"/>
        <v>-1.1353283341509535E-2</v>
      </c>
      <c r="E53" s="307"/>
      <c r="F53" s="16">
        <v>26202.95</v>
      </c>
      <c r="G53" s="5">
        <f t="shared" si="1"/>
        <v>5.1710612375637233E-3</v>
      </c>
      <c r="H53" s="308"/>
      <c r="I53" s="311"/>
      <c r="K53" s="308"/>
      <c r="L53" s="311"/>
      <c r="M53" s="123"/>
      <c r="N53" s="123"/>
      <c r="O53" s="123"/>
      <c r="P53" s="123"/>
      <c r="Q53" s="123"/>
    </row>
    <row r="54" spans="2:17" x14ac:dyDescent="0.35">
      <c r="B54" s="67">
        <v>45991</v>
      </c>
      <c r="C54" s="68">
        <v>7208</v>
      </c>
      <c r="D54" s="60">
        <f t="shared" si="0"/>
        <v>2.1904019281207887E-2</v>
      </c>
      <c r="E54" s="307"/>
      <c r="F54" s="63">
        <v>26186.45</v>
      </c>
      <c r="G54" s="60">
        <f t="shared" si="1"/>
        <v>-6.297000910202577E-4</v>
      </c>
      <c r="H54" s="308"/>
      <c r="I54" s="311"/>
      <c r="K54" s="308"/>
      <c r="L54" s="311"/>
      <c r="M54" s="123"/>
      <c r="N54" s="123"/>
      <c r="O54" s="123"/>
      <c r="P54" s="123"/>
      <c r="Q54" s="123"/>
    </row>
    <row r="55" spans="2:17" x14ac:dyDescent="0.35">
      <c r="B55" s="67">
        <v>45998</v>
      </c>
      <c r="C55" s="68">
        <v>7229</v>
      </c>
      <c r="D55" s="60">
        <f t="shared" si="0"/>
        <v>2.9134295227524198E-3</v>
      </c>
      <c r="E55" s="307"/>
      <c r="F55" s="63">
        <v>26046.95</v>
      </c>
      <c r="G55" s="60">
        <f t="shared" si="1"/>
        <v>-5.3271825696113995E-3</v>
      </c>
      <c r="H55" s="308"/>
      <c r="I55" s="311"/>
      <c r="K55" s="308"/>
      <c r="L55" s="311"/>
      <c r="M55" s="123"/>
      <c r="N55" s="123"/>
      <c r="O55" s="123"/>
      <c r="P55" s="123"/>
      <c r="Q55" s="123"/>
    </row>
    <row r="56" spans="2:17" x14ac:dyDescent="0.35">
      <c r="B56" s="67">
        <v>46005</v>
      </c>
      <c r="C56" s="68">
        <v>7217</v>
      </c>
      <c r="D56" s="60">
        <f t="shared" si="0"/>
        <v>-1.6599806335593215E-3</v>
      </c>
      <c r="E56" s="307"/>
      <c r="F56" s="63">
        <v>25966.400000000001</v>
      </c>
      <c r="G56" s="60">
        <f t="shared" si="1"/>
        <v>-3.0924925951022475E-3</v>
      </c>
      <c r="H56" s="308"/>
      <c r="I56" s="311"/>
      <c r="K56" s="308"/>
      <c r="L56" s="311"/>
      <c r="M56" s="123"/>
      <c r="N56" s="123"/>
      <c r="O56" s="123"/>
      <c r="P56" s="123"/>
      <c r="Q56" s="123"/>
    </row>
    <row r="57" spans="2:17" x14ac:dyDescent="0.35">
      <c r="B57" s="131">
        <v>46012</v>
      </c>
      <c r="C57" s="132">
        <v>7324</v>
      </c>
      <c r="D57" s="133">
        <f t="shared" si="0"/>
        <v>1.482610502979087E-2</v>
      </c>
      <c r="E57" s="307"/>
      <c r="F57" s="129">
        <v>26042.3</v>
      </c>
      <c r="G57" s="133">
        <f t="shared" si="1"/>
        <v>2.9230081952060782E-3</v>
      </c>
      <c r="H57" s="308"/>
      <c r="I57" s="311"/>
      <c r="K57" s="308"/>
      <c r="L57" s="311"/>
      <c r="M57" s="123"/>
      <c r="N57" s="123"/>
      <c r="O57" s="123"/>
      <c r="P57" s="123"/>
      <c r="Q57" s="123"/>
    </row>
    <row r="58" spans="2:17" x14ac:dyDescent="0.35">
      <c r="B58" s="168">
        <v>46019</v>
      </c>
      <c r="C58" s="169">
        <v>7334.5</v>
      </c>
      <c r="D58" s="153">
        <f t="shared" si="0"/>
        <v>1.4336428181320748E-3</v>
      </c>
      <c r="E58" s="307"/>
      <c r="F58" s="154">
        <v>26328.55</v>
      </c>
      <c r="G58" s="153">
        <f t="shared" si="1"/>
        <v>1.0991732681061128E-2</v>
      </c>
      <c r="H58" s="308"/>
      <c r="I58" s="311"/>
      <c r="K58" s="308"/>
      <c r="L58" s="311"/>
      <c r="M58" s="123"/>
      <c r="N58" s="123"/>
      <c r="O58" s="123"/>
      <c r="P58" s="123"/>
      <c r="Q58" s="123"/>
    </row>
    <row r="59" spans="2:17" x14ac:dyDescent="0.35">
      <c r="B59" s="67">
        <v>46026</v>
      </c>
      <c r="C59" s="68">
        <v>7507</v>
      </c>
      <c r="D59" s="60">
        <f t="shared" si="0"/>
        <v>2.3518985615924803E-2</v>
      </c>
      <c r="E59" s="307"/>
      <c r="F59" s="63">
        <v>25683.3</v>
      </c>
      <c r="G59" s="60">
        <f t="shared" si="1"/>
        <v>-2.4507616256877029E-2</v>
      </c>
      <c r="H59" s="308"/>
      <c r="I59" s="311"/>
      <c r="K59" s="308"/>
      <c r="L59" s="311"/>
      <c r="M59" s="123"/>
      <c r="N59" s="123"/>
      <c r="O59" s="123"/>
      <c r="P59" s="123"/>
      <c r="Q59" s="123"/>
    </row>
    <row r="60" spans="2:17" x14ac:dyDescent="0.35">
      <c r="B60" s="67">
        <v>46033</v>
      </c>
      <c r="C60" s="68">
        <v>7315</v>
      </c>
      <c r="D60" s="60">
        <f t="shared" si="0"/>
        <v>-2.5576128946316778E-2</v>
      </c>
      <c r="E60" s="307"/>
      <c r="F60" s="63">
        <v>25694.35</v>
      </c>
      <c r="G60" s="60">
        <f t="shared" si="1"/>
        <v>4.3024066222008273E-4</v>
      </c>
      <c r="H60" s="308"/>
      <c r="I60" s="311"/>
      <c r="K60" s="308"/>
      <c r="L60" s="311"/>
      <c r="M60" s="123"/>
      <c r="N60" s="123"/>
      <c r="O60" s="123"/>
      <c r="P60" s="123"/>
      <c r="Q60" s="123"/>
    </row>
    <row r="61" spans="2:17" x14ac:dyDescent="0.35">
      <c r="B61" s="67">
        <v>46040</v>
      </c>
      <c r="C61" s="68">
        <v>6973</v>
      </c>
      <c r="D61" s="60">
        <f t="shared" si="0"/>
        <v>-4.6753246753246769E-2</v>
      </c>
      <c r="E61" s="307"/>
      <c r="F61" s="63">
        <v>25048.65</v>
      </c>
      <c r="G61" s="60">
        <f t="shared" si="1"/>
        <v>-2.5130038315816394E-2</v>
      </c>
      <c r="H61" s="308"/>
      <c r="I61" s="311"/>
      <c r="K61" s="308"/>
      <c r="L61" s="311"/>
      <c r="M61" s="123"/>
      <c r="N61" s="123"/>
      <c r="O61" s="123"/>
      <c r="P61" s="123"/>
      <c r="Q61" s="123"/>
    </row>
    <row r="62" spans="2:17" x14ac:dyDescent="0.35">
      <c r="B62" s="67">
        <v>46047</v>
      </c>
      <c r="C62" s="59">
        <v>7147.5</v>
      </c>
      <c r="D62" s="60">
        <f t="shared" si="0"/>
        <v>2.5025096801950308E-2</v>
      </c>
      <c r="E62" s="307"/>
      <c r="F62" s="63">
        <v>25178.9</v>
      </c>
      <c r="G62" s="60">
        <f t="shared" si="1"/>
        <v>5.1998810315125876E-3</v>
      </c>
      <c r="K62" s="123"/>
      <c r="L62" s="123"/>
      <c r="M62" s="123"/>
      <c r="N62" s="123"/>
      <c r="O62" s="123"/>
      <c r="P62" s="123"/>
      <c r="Q62" s="123"/>
    </row>
    <row r="63" spans="2:17" x14ac:dyDescent="0.35">
      <c r="B63" s="257"/>
      <c r="C63" s="254"/>
      <c r="D63" s="258"/>
      <c r="E63" s="123"/>
      <c r="F63" s="257"/>
      <c r="G63" s="254"/>
      <c r="K63" s="123"/>
      <c r="L63" s="123"/>
      <c r="M63" s="123"/>
      <c r="N63" s="123"/>
      <c r="O63" s="123"/>
      <c r="P63" s="123"/>
      <c r="Q63" s="123"/>
    </row>
    <row r="64" spans="2:17" x14ac:dyDescent="0.35">
      <c r="B64" s="124"/>
      <c r="C64" s="123"/>
      <c r="D64" s="265"/>
      <c r="E64" s="123"/>
      <c r="K64" s="123"/>
      <c r="L64" s="123"/>
      <c r="M64" s="123"/>
      <c r="N64" s="123"/>
      <c r="O64" s="123"/>
      <c r="P64" s="123"/>
      <c r="Q64" s="123"/>
    </row>
    <row r="65" spans="2:17" x14ac:dyDescent="0.35">
      <c r="B65" s="246"/>
      <c r="C65" s="239"/>
      <c r="D65" s="266"/>
      <c r="E65" s="239"/>
      <c r="F65" s="246"/>
      <c r="G65" s="239"/>
      <c r="H65" s="239"/>
      <c r="I65" s="239"/>
      <c r="J65" s="239"/>
      <c r="K65" s="239"/>
      <c r="L65" s="239"/>
      <c r="M65" s="123"/>
      <c r="N65" s="123"/>
      <c r="O65" s="123"/>
      <c r="P65" s="123"/>
      <c r="Q65" s="123"/>
    </row>
    <row r="66" spans="2:17" x14ac:dyDescent="0.35">
      <c r="B66" s="246"/>
      <c r="C66" s="239"/>
      <c r="D66" s="266"/>
      <c r="E66" s="239"/>
      <c r="F66" s="246"/>
      <c r="G66" s="239"/>
      <c r="H66" s="239"/>
      <c r="I66" s="239"/>
      <c r="J66" s="239"/>
      <c r="K66" s="239"/>
      <c r="L66" s="239"/>
      <c r="M66" s="123"/>
      <c r="N66" s="123"/>
      <c r="O66" s="123"/>
      <c r="P66" s="123"/>
      <c r="Q66" s="123"/>
    </row>
    <row r="67" spans="2:17" x14ac:dyDescent="0.35">
      <c r="B67" s="246"/>
      <c r="C67" s="239"/>
      <c r="D67" s="266"/>
      <c r="E67" s="239"/>
      <c r="F67" s="246"/>
      <c r="G67" s="239"/>
      <c r="H67" s="239"/>
      <c r="I67" s="239"/>
      <c r="J67" s="239"/>
      <c r="K67" s="239"/>
      <c r="L67" s="239"/>
      <c r="M67" s="123"/>
      <c r="N67" s="123"/>
      <c r="O67" s="123"/>
      <c r="P67" s="123"/>
      <c r="Q67" s="123"/>
    </row>
    <row r="68" spans="2:17" x14ac:dyDescent="0.35">
      <c r="B68" s="246"/>
      <c r="C68" s="239"/>
      <c r="D68" s="266"/>
      <c r="E68" s="239"/>
      <c r="F68" s="246"/>
      <c r="G68" s="239"/>
      <c r="H68" s="239"/>
      <c r="I68" s="239"/>
      <c r="J68" s="239"/>
      <c r="K68" s="239"/>
      <c r="L68" s="239"/>
      <c r="M68" s="123"/>
      <c r="N68" s="123"/>
      <c r="O68" s="123"/>
      <c r="P68" s="123"/>
      <c r="Q68" s="123"/>
    </row>
    <row r="69" spans="2:17" x14ac:dyDescent="0.35">
      <c r="B69" s="246"/>
      <c r="C69" s="239"/>
      <c r="D69" s="266"/>
      <c r="E69" s="239"/>
      <c r="F69" s="246"/>
      <c r="G69" s="239"/>
      <c r="H69" s="239"/>
      <c r="I69" s="239"/>
      <c r="J69" s="239"/>
      <c r="K69" s="239"/>
      <c r="L69" s="239"/>
      <c r="M69" s="123"/>
      <c r="N69" s="123"/>
      <c r="O69" s="123"/>
      <c r="P69" s="123"/>
      <c r="Q69" s="123"/>
    </row>
    <row r="70" spans="2:17" x14ac:dyDescent="0.35">
      <c r="B70" s="246"/>
      <c r="C70" s="239"/>
      <c r="D70" s="266"/>
      <c r="E70" s="239"/>
      <c r="F70" s="246"/>
      <c r="G70" s="239"/>
      <c r="H70" s="239"/>
      <c r="I70" s="239"/>
      <c r="J70" s="239"/>
      <c r="K70" s="239"/>
      <c r="L70" s="239"/>
      <c r="M70" s="123"/>
      <c r="N70" s="123"/>
      <c r="O70" s="123"/>
      <c r="P70" s="123"/>
      <c r="Q70" s="123"/>
    </row>
    <row r="71" spans="2:17" x14ac:dyDescent="0.35">
      <c r="B71" s="246"/>
      <c r="C71" s="239"/>
      <c r="D71" s="266"/>
      <c r="E71" s="239"/>
      <c r="F71" s="246"/>
      <c r="G71" s="239"/>
      <c r="H71" s="239"/>
      <c r="I71" s="239"/>
      <c r="J71" s="239"/>
      <c r="K71" s="239"/>
      <c r="L71" s="239"/>
      <c r="M71" s="123"/>
      <c r="N71" s="123"/>
      <c r="O71" s="123"/>
      <c r="P71" s="123"/>
      <c r="Q71" s="123"/>
    </row>
    <row r="72" spans="2:17" x14ac:dyDescent="0.35">
      <c r="B72" s="246"/>
      <c r="C72" s="239"/>
      <c r="D72" s="266"/>
      <c r="E72" s="239"/>
      <c r="F72" s="246"/>
      <c r="G72" s="239"/>
      <c r="H72" s="239"/>
      <c r="I72" s="239"/>
      <c r="J72" s="239"/>
      <c r="K72" s="239"/>
      <c r="L72" s="239"/>
      <c r="M72" s="123"/>
      <c r="N72" s="123"/>
      <c r="O72" s="123"/>
      <c r="P72" s="123"/>
      <c r="Q72" s="123"/>
    </row>
    <row r="73" spans="2:17" x14ac:dyDescent="0.35">
      <c r="B73" s="246"/>
      <c r="C73" s="239"/>
      <c r="D73" s="266"/>
      <c r="E73" s="239"/>
      <c r="F73" s="246"/>
      <c r="G73" s="239"/>
      <c r="H73" s="239"/>
      <c r="I73" s="239"/>
      <c r="J73" s="239"/>
      <c r="K73" s="239"/>
      <c r="L73" s="239"/>
      <c r="M73" s="123"/>
      <c r="N73" s="123"/>
      <c r="O73" s="123"/>
      <c r="P73" s="123"/>
      <c r="Q73" s="123"/>
    </row>
    <row r="74" spans="2:17" x14ac:dyDescent="0.35">
      <c r="B74" s="246"/>
      <c r="C74" s="239"/>
      <c r="D74" s="266"/>
      <c r="E74" s="239"/>
      <c r="F74" s="246"/>
      <c r="G74" s="239"/>
      <c r="H74" s="239"/>
      <c r="I74" s="239"/>
      <c r="J74" s="239"/>
      <c r="K74" s="239"/>
      <c r="L74" s="239"/>
      <c r="M74" s="123"/>
      <c r="N74" s="123"/>
      <c r="O74" s="123"/>
      <c r="P74" s="123"/>
      <c r="Q74" s="123"/>
    </row>
    <row r="75" spans="2:17" x14ac:dyDescent="0.35">
      <c r="B75" s="246"/>
      <c r="C75" s="239"/>
      <c r="D75" s="266"/>
      <c r="E75" s="239"/>
      <c r="F75" s="246"/>
      <c r="G75" s="239"/>
      <c r="H75" s="239"/>
      <c r="I75" s="239"/>
      <c r="J75" s="239"/>
      <c r="K75" s="239"/>
      <c r="L75" s="239"/>
      <c r="M75" s="123"/>
      <c r="N75" s="123"/>
      <c r="O75" s="123"/>
      <c r="P75" s="123"/>
      <c r="Q75" s="123"/>
    </row>
    <row r="76" spans="2:17" x14ac:dyDescent="0.35">
      <c r="B76" s="246"/>
      <c r="C76" s="239"/>
      <c r="D76" s="266"/>
      <c r="E76" s="239"/>
      <c r="F76" s="246"/>
      <c r="G76" s="239"/>
      <c r="H76" s="239"/>
      <c r="I76" s="239"/>
      <c r="J76" s="239"/>
      <c r="K76" s="239"/>
      <c r="L76" s="239"/>
      <c r="M76" s="123"/>
      <c r="N76" s="123"/>
      <c r="O76" s="123"/>
      <c r="P76" s="123"/>
      <c r="Q76" s="123"/>
    </row>
    <row r="77" spans="2:17" x14ac:dyDescent="0.35">
      <c r="B77" s="246"/>
      <c r="C77" s="239"/>
      <c r="D77" s="266"/>
      <c r="E77" s="239"/>
      <c r="F77" s="246"/>
      <c r="G77" s="239"/>
      <c r="H77" s="239"/>
      <c r="I77" s="239"/>
      <c r="J77" s="239"/>
      <c r="K77" s="239"/>
      <c r="L77" s="239"/>
      <c r="M77" s="123"/>
      <c r="N77" s="123"/>
      <c r="O77" s="123"/>
      <c r="P77" s="123"/>
      <c r="Q77" s="123"/>
    </row>
    <row r="78" spans="2:17" x14ac:dyDescent="0.35">
      <c r="B78" s="246"/>
      <c r="C78" s="239"/>
      <c r="D78" s="266"/>
      <c r="E78" s="239"/>
      <c r="F78" s="246"/>
      <c r="G78" s="239"/>
      <c r="H78" s="239"/>
      <c r="I78" s="239"/>
      <c r="J78" s="239"/>
      <c r="K78" s="239"/>
      <c r="L78" s="239"/>
      <c r="M78" s="123"/>
      <c r="N78" s="123"/>
      <c r="O78" s="123"/>
      <c r="P78" s="123"/>
      <c r="Q78" s="123"/>
    </row>
    <row r="79" spans="2:17" x14ac:dyDescent="0.35">
      <c r="B79" s="246"/>
      <c r="C79" s="239"/>
      <c r="D79" s="266"/>
      <c r="E79" s="239"/>
      <c r="F79" s="246"/>
      <c r="G79" s="239"/>
      <c r="H79" s="239"/>
      <c r="I79" s="239"/>
      <c r="J79" s="239"/>
      <c r="K79" s="239"/>
      <c r="L79" s="239"/>
      <c r="M79" s="123"/>
      <c r="N79" s="123"/>
      <c r="O79" s="123"/>
      <c r="P79" s="123"/>
      <c r="Q79" s="123"/>
    </row>
    <row r="80" spans="2:17" x14ac:dyDescent="0.35">
      <c r="B80" s="246"/>
      <c r="C80" s="239"/>
      <c r="D80" s="266"/>
      <c r="E80" s="239"/>
      <c r="F80" s="246"/>
      <c r="G80" s="239"/>
      <c r="H80" s="239"/>
      <c r="I80" s="239"/>
      <c r="J80" s="239"/>
      <c r="K80" s="239"/>
      <c r="L80" s="239"/>
      <c r="M80" s="123"/>
      <c r="N80" s="123"/>
      <c r="O80" s="123"/>
      <c r="P80" s="123"/>
      <c r="Q80" s="123"/>
    </row>
    <row r="81" spans="2:17" x14ac:dyDescent="0.35">
      <c r="B81" s="246"/>
      <c r="C81" s="239"/>
      <c r="D81" s="266"/>
      <c r="E81" s="239"/>
      <c r="F81" s="246"/>
      <c r="G81" s="239"/>
      <c r="H81" s="239"/>
      <c r="I81" s="239"/>
      <c r="J81" s="239"/>
      <c r="K81" s="239"/>
      <c r="L81" s="239"/>
      <c r="M81" s="123"/>
      <c r="N81" s="123"/>
      <c r="O81" s="123"/>
      <c r="P81" s="123"/>
      <c r="Q81" s="123"/>
    </row>
    <row r="82" spans="2:17" x14ac:dyDescent="0.35">
      <c r="B82" s="246"/>
      <c r="C82" s="239"/>
      <c r="D82" s="266"/>
      <c r="E82" s="239"/>
      <c r="F82" s="246"/>
      <c r="G82" s="239"/>
      <c r="H82" s="239"/>
      <c r="I82" s="239"/>
      <c r="J82" s="239"/>
      <c r="K82" s="239"/>
      <c r="L82" s="239"/>
      <c r="M82" s="123"/>
      <c r="N82" s="123"/>
      <c r="O82" s="123"/>
      <c r="P82" s="123"/>
      <c r="Q82" s="123"/>
    </row>
    <row r="83" spans="2:17" x14ac:dyDescent="0.35">
      <c r="B83" s="246"/>
      <c r="C83" s="239"/>
      <c r="D83" s="266"/>
      <c r="E83" s="239"/>
      <c r="F83" s="246"/>
      <c r="G83" s="239"/>
      <c r="H83" s="239"/>
      <c r="I83" s="239"/>
      <c r="J83" s="239"/>
      <c r="K83" s="239"/>
      <c r="L83" s="239"/>
      <c r="M83" s="123"/>
      <c r="N83" s="123"/>
      <c r="O83" s="123"/>
      <c r="P83" s="123"/>
      <c r="Q83" s="123"/>
    </row>
    <row r="84" spans="2:17" x14ac:dyDescent="0.35">
      <c r="B84" s="246"/>
      <c r="C84" s="239"/>
      <c r="D84" s="266"/>
      <c r="E84" s="239"/>
      <c r="F84" s="246"/>
      <c r="G84" s="239"/>
      <c r="H84" s="239"/>
      <c r="I84" s="239"/>
      <c r="J84" s="239"/>
      <c r="K84" s="239"/>
      <c r="L84" s="239"/>
      <c r="M84" s="123"/>
      <c r="N84" s="123"/>
      <c r="O84" s="123"/>
      <c r="P84" s="123"/>
      <c r="Q84" s="123"/>
    </row>
    <row r="85" spans="2:17" x14ac:dyDescent="0.35">
      <c r="B85" s="246"/>
      <c r="C85" s="239"/>
      <c r="D85" s="266"/>
      <c r="E85" s="239"/>
      <c r="F85" s="246"/>
      <c r="G85" s="239"/>
      <c r="H85" s="239"/>
      <c r="I85" s="239"/>
      <c r="J85" s="239"/>
      <c r="K85" s="239"/>
      <c r="L85" s="239"/>
      <c r="M85" s="123"/>
      <c r="N85" s="123"/>
      <c r="O85" s="123"/>
      <c r="P85" s="123"/>
      <c r="Q85" s="123"/>
    </row>
    <row r="86" spans="2:17" x14ac:dyDescent="0.35">
      <c r="B86" s="246"/>
      <c r="C86" s="239"/>
      <c r="D86" s="266"/>
      <c r="E86" s="239"/>
      <c r="F86" s="246"/>
      <c r="G86" s="239"/>
      <c r="H86" s="239"/>
      <c r="I86" s="239"/>
      <c r="J86" s="239"/>
      <c r="K86" s="239"/>
      <c r="L86" s="239"/>
      <c r="M86" s="123"/>
      <c r="N86" s="123"/>
      <c r="O86" s="123"/>
      <c r="P86" s="123"/>
      <c r="Q86" s="123"/>
    </row>
    <row r="87" spans="2:17" x14ac:dyDescent="0.35">
      <c r="B87" s="246"/>
      <c r="C87" s="239"/>
      <c r="D87" s="266"/>
      <c r="E87" s="239"/>
      <c r="F87" s="246"/>
      <c r="G87" s="239"/>
      <c r="H87" s="239"/>
      <c r="I87" s="239"/>
      <c r="J87" s="239"/>
      <c r="K87" s="239"/>
      <c r="L87" s="239"/>
      <c r="M87" s="123"/>
      <c r="N87" s="123"/>
      <c r="O87" s="123"/>
      <c r="P87" s="123"/>
      <c r="Q87" s="123"/>
    </row>
    <row r="88" spans="2:17" x14ac:dyDescent="0.35">
      <c r="B88" s="246"/>
      <c r="C88" s="239"/>
      <c r="D88" s="266"/>
      <c r="E88" s="239"/>
      <c r="F88" s="246"/>
      <c r="G88" s="239"/>
      <c r="H88" s="239"/>
      <c r="I88" s="239"/>
      <c r="J88" s="239"/>
      <c r="K88" s="239"/>
      <c r="L88" s="239"/>
      <c r="M88" s="123"/>
      <c r="N88" s="123"/>
      <c r="O88" s="123"/>
      <c r="P88" s="123"/>
      <c r="Q88" s="123"/>
    </row>
    <row r="89" spans="2:17" x14ac:dyDescent="0.35">
      <c r="B89" s="246"/>
      <c r="C89" s="239"/>
      <c r="D89" s="266"/>
      <c r="E89" s="239"/>
      <c r="F89" s="246"/>
      <c r="G89" s="239"/>
      <c r="H89" s="239"/>
      <c r="I89" s="239"/>
      <c r="J89" s="239"/>
      <c r="K89" s="239"/>
      <c r="L89" s="239"/>
      <c r="M89" s="123"/>
      <c r="N89" s="123"/>
      <c r="O89" s="123"/>
      <c r="P89" s="123"/>
      <c r="Q89" s="123"/>
    </row>
    <row r="90" spans="2:17" x14ac:dyDescent="0.35">
      <c r="B90" s="246"/>
      <c r="C90" s="239"/>
      <c r="D90" s="266"/>
      <c r="E90" s="239"/>
      <c r="F90" s="246"/>
      <c r="G90" s="239"/>
      <c r="H90" s="239"/>
      <c r="I90" s="239"/>
      <c r="J90" s="239"/>
      <c r="K90" s="239"/>
      <c r="L90" s="239"/>
      <c r="M90" s="123"/>
      <c r="N90" s="123"/>
      <c r="O90" s="123"/>
      <c r="P90" s="123"/>
      <c r="Q90" s="123"/>
    </row>
    <row r="91" spans="2:17" x14ac:dyDescent="0.35">
      <c r="B91" s="246"/>
      <c r="C91" s="239"/>
      <c r="D91" s="266"/>
      <c r="E91" s="239"/>
      <c r="F91" s="246"/>
      <c r="G91" s="239"/>
      <c r="H91" s="239"/>
      <c r="I91" s="239"/>
      <c r="J91" s="239"/>
      <c r="K91" s="239"/>
      <c r="L91" s="239"/>
      <c r="M91" s="123"/>
      <c r="N91" s="123"/>
      <c r="O91" s="123"/>
      <c r="P91" s="123"/>
      <c r="Q91" s="123"/>
    </row>
    <row r="92" spans="2:17" x14ac:dyDescent="0.35">
      <c r="B92" s="246"/>
      <c r="C92" s="239"/>
      <c r="D92" s="266"/>
      <c r="E92" s="239"/>
      <c r="F92" s="246"/>
      <c r="G92" s="239"/>
      <c r="H92" s="239"/>
      <c r="I92" s="239"/>
      <c r="J92" s="239"/>
      <c r="K92" s="239"/>
      <c r="L92" s="239"/>
      <c r="M92" s="123"/>
      <c r="N92" s="123"/>
      <c r="O92" s="123"/>
      <c r="P92" s="123"/>
      <c r="Q92" s="123"/>
    </row>
    <row r="93" spans="2:17" x14ac:dyDescent="0.35">
      <c r="B93" s="246"/>
      <c r="C93" s="239"/>
      <c r="D93" s="266"/>
      <c r="E93" s="239"/>
      <c r="F93" s="246"/>
      <c r="G93" s="239"/>
      <c r="H93" s="239"/>
      <c r="I93" s="239"/>
      <c r="J93" s="239"/>
      <c r="K93" s="239"/>
      <c r="L93" s="239"/>
      <c r="M93" s="123"/>
      <c r="N93" s="123"/>
      <c r="O93" s="123"/>
      <c r="P93" s="123"/>
      <c r="Q93" s="123"/>
    </row>
    <row r="94" spans="2:17" x14ac:dyDescent="0.35">
      <c r="B94" s="246"/>
      <c r="C94" s="239"/>
      <c r="D94" s="266"/>
      <c r="E94" s="239"/>
      <c r="F94" s="246"/>
      <c r="G94" s="239"/>
      <c r="H94" s="239"/>
      <c r="I94" s="239"/>
      <c r="J94" s="239"/>
      <c r="K94" s="239"/>
      <c r="L94" s="239"/>
      <c r="M94" s="123"/>
      <c r="N94" s="123"/>
      <c r="O94" s="123"/>
      <c r="P94" s="123"/>
      <c r="Q94" s="123"/>
    </row>
    <row r="95" spans="2:17" x14ac:dyDescent="0.35">
      <c r="B95" s="246"/>
      <c r="C95" s="239"/>
      <c r="D95" s="266"/>
      <c r="E95" s="239"/>
      <c r="F95" s="246"/>
      <c r="G95" s="239"/>
      <c r="H95" s="239"/>
      <c r="I95" s="239"/>
      <c r="J95" s="239"/>
      <c r="K95" s="239"/>
      <c r="L95" s="239"/>
      <c r="M95" s="123"/>
      <c r="N95" s="123"/>
      <c r="O95" s="123"/>
      <c r="P95" s="123"/>
      <c r="Q95" s="123"/>
    </row>
    <row r="96" spans="2:17" x14ac:dyDescent="0.35">
      <c r="B96" s="246"/>
      <c r="C96" s="239"/>
      <c r="D96" s="266"/>
      <c r="E96" s="239"/>
      <c r="F96" s="246"/>
      <c r="G96" s="239"/>
      <c r="H96" s="239"/>
      <c r="I96" s="239"/>
      <c r="J96" s="239"/>
      <c r="K96" s="239"/>
      <c r="L96" s="239"/>
      <c r="M96" s="123"/>
      <c r="N96" s="123"/>
      <c r="O96" s="123"/>
      <c r="P96" s="123"/>
      <c r="Q96" s="123"/>
    </row>
    <row r="97" spans="2:17" x14ac:dyDescent="0.35">
      <c r="B97" s="246"/>
      <c r="C97" s="239"/>
      <c r="D97" s="266"/>
      <c r="E97" s="239"/>
      <c r="F97" s="246"/>
      <c r="G97" s="239"/>
      <c r="H97" s="239"/>
      <c r="I97" s="239"/>
      <c r="J97" s="239"/>
      <c r="K97" s="239"/>
      <c r="L97" s="239"/>
      <c r="M97" s="123"/>
      <c r="N97" s="123"/>
      <c r="O97" s="123"/>
      <c r="P97" s="123"/>
      <c r="Q97" s="123"/>
    </row>
    <row r="98" spans="2:17" x14ac:dyDescent="0.35">
      <c r="B98" s="246"/>
      <c r="C98" s="239"/>
      <c r="D98" s="266"/>
      <c r="E98" s="239"/>
      <c r="F98" s="246"/>
      <c r="G98" s="239"/>
      <c r="H98" s="239"/>
      <c r="I98" s="239"/>
      <c r="J98" s="239"/>
      <c r="K98" s="239"/>
      <c r="L98" s="239"/>
      <c r="M98" s="123"/>
      <c r="N98" s="123"/>
      <c r="O98" s="123"/>
      <c r="P98" s="123"/>
      <c r="Q98" s="123"/>
    </row>
    <row r="99" spans="2:17" x14ac:dyDescent="0.35">
      <c r="B99" s="246"/>
      <c r="C99" s="239"/>
      <c r="D99" s="266"/>
      <c r="E99" s="239"/>
      <c r="F99" s="246"/>
      <c r="G99" s="239"/>
      <c r="H99" s="239"/>
      <c r="I99" s="239"/>
      <c r="J99" s="239"/>
      <c r="K99" s="239"/>
      <c r="L99" s="239"/>
      <c r="M99" s="123"/>
      <c r="N99" s="123"/>
      <c r="O99" s="123"/>
      <c r="P99" s="123"/>
      <c r="Q99" s="123"/>
    </row>
    <row r="100" spans="2:17" x14ac:dyDescent="0.35">
      <c r="B100" s="246"/>
      <c r="C100" s="239"/>
      <c r="D100" s="266"/>
      <c r="E100" s="239"/>
      <c r="F100" s="246"/>
      <c r="G100" s="239"/>
      <c r="H100" s="239"/>
      <c r="I100" s="239"/>
      <c r="J100" s="239"/>
      <c r="K100" s="239"/>
      <c r="L100" s="239"/>
      <c r="M100" s="123"/>
      <c r="N100" s="123"/>
      <c r="O100" s="123"/>
      <c r="P100" s="123"/>
      <c r="Q100" s="123"/>
    </row>
    <row r="101" spans="2:17" x14ac:dyDescent="0.35">
      <c r="B101" s="246"/>
      <c r="C101" s="239"/>
      <c r="D101" s="266"/>
      <c r="E101" s="239"/>
      <c r="F101" s="246"/>
      <c r="G101" s="239"/>
      <c r="H101" s="239"/>
      <c r="I101" s="239"/>
      <c r="J101" s="239"/>
      <c r="K101" s="239"/>
      <c r="L101" s="239"/>
      <c r="M101" s="123"/>
      <c r="N101" s="123"/>
      <c r="O101" s="123"/>
      <c r="P101" s="123"/>
      <c r="Q101" s="123"/>
    </row>
    <row r="102" spans="2:17" x14ac:dyDescent="0.35">
      <c r="B102" s="246"/>
      <c r="C102" s="239"/>
      <c r="D102" s="266"/>
      <c r="E102" s="239"/>
      <c r="F102" s="246"/>
      <c r="G102" s="239"/>
      <c r="H102" s="239"/>
      <c r="I102" s="239"/>
      <c r="J102" s="239"/>
      <c r="K102" s="239"/>
      <c r="L102" s="239"/>
      <c r="M102" s="123"/>
    </row>
    <row r="103" spans="2:17" x14ac:dyDescent="0.35">
      <c r="B103" s="246"/>
      <c r="C103" s="239"/>
      <c r="D103" s="266"/>
      <c r="E103" s="239"/>
      <c r="F103" s="246"/>
      <c r="G103" s="239"/>
      <c r="H103" s="239"/>
      <c r="I103" s="239"/>
      <c r="J103" s="239"/>
      <c r="K103" s="239"/>
      <c r="L103" s="239"/>
      <c r="M103" s="123"/>
    </row>
    <row r="104" spans="2:17" x14ac:dyDescent="0.35">
      <c r="B104" s="246"/>
      <c r="C104" s="239"/>
      <c r="D104" s="266"/>
      <c r="E104" s="239"/>
      <c r="F104" s="246"/>
      <c r="G104" s="239"/>
      <c r="H104" s="239"/>
      <c r="I104" s="239"/>
      <c r="J104" s="239"/>
      <c r="K104" s="239"/>
      <c r="L104" s="239"/>
      <c r="M104" s="123"/>
    </row>
    <row r="105" spans="2:17" x14ac:dyDescent="0.35">
      <c r="B105" s="246"/>
      <c r="C105" s="239"/>
      <c r="D105" s="266"/>
      <c r="E105" s="239"/>
      <c r="F105" s="246"/>
      <c r="G105" s="239"/>
      <c r="H105" s="239"/>
      <c r="I105" s="239"/>
      <c r="J105" s="239"/>
      <c r="K105" s="239"/>
      <c r="L105" s="239"/>
      <c r="M105" s="123"/>
    </row>
    <row r="106" spans="2:17" x14ac:dyDescent="0.35">
      <c r="B106" s="246"/>
      <c r="C106" s="239"/>
      <c r="D106" s="266"/>
      <c r="E106" s="239"/>
      <c r="F106" s="246"/>
      <c r="G106" s="239"/>
      <c r="H106" s="239"/>
      <c r="I106" s="239"/>
      <c r="J106" s="239"/>
      <c r="K106" s="239"/>
      <c r="L106" s="239"/>
      <c r="M106" s="123"/>
    </row>
    <row r="107" spans="2:17" x14ac:dyDescent="0.35">
      <c r="B107" s="246"/>
      <c r="C107" s="239"/>
      <c r="D107" s="266"/>
      <c r="E107" s="239"/>
      <c r="F107" s="246"/>
      <c r="G107" s="239"/>
      <c r="H107" s="239"/>
      <c r="I107" s="239"/>
      <c r="J107" s="239"/>
      <c r="K107" s="239"/>
      <c r="L107" s="239"/>
      <c r="M107" s="123"/>
    </row>
    <row r="108" spans="2:17" x14ac:dyDescent="0.35">
      <c r="B108" s="124"/>
      <c r="C108" s="123"/>
      <c r="D108" s="265"/>
      <c r="E108" s="123"/>
      <c r="K108" s="123"/>
      <c r="L108" s="123"/>
      <c r="M108" s="123"/>
    </row>
    <row r="109" spans="2:17" x14ac:dyDescent="0.35">
      <c r="F109" s="129"/>
      <c r="G109" s="43"/>
      <c r="H109" s="43"/>
      <c r="I109" s="43"/>
      <c r="J109" s="43"/>
    </row>
  </sheetData>
  <mergeCells count="6">
    <mergeCell ref="B9:D9"/>
    <mergeCell ref="F9:G9"/>
    <mergeCell ref="I9:J9"/>
    <mergeCell ref="B2:C6"/>
    <mergeCell ref="D2:K6"/>
    <mergeCell ref="B8:D8"/>
  </mergeCells>
  <pageMargins left="0.31496062992125984" right="0.31496062992125984" top="0.35433070866141736" bottom="0.35433070866141736" header="0.31496062992125984" footer="0.31496062992125984"/>
  <pageSetup paperSize="9" scale="85" orientation="portrait" r:id="rId1"/>
  <headerFooter>
    <oddHeader xml:space="preserve">&amp;R </oddHeader>
    <oddFooter>&amp;RBy Nikhil Kulkarni MBA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6C25B-4454-4340-931E-4444211CC7F4}">
  <sheetPr>
    <tabColor rgb="FF002060"/>
  </sheetPr>
  <dimension ref="A1:Q109"/>
  <sheetViews>
    <sheetView showGridLines="0" tabSelected="1" view="pageBreakPreview" zoomScale="55" zoomScaleNormal="59" zoomScaleSheetLayoutView="55" workbookViewId="0">
      <selection activeCell="G72" sqref="G72"/>
    </sheetView>
  </sheetViews>
  <sheetFormatPr defaultRowHeight="14.5" x14ac:dyDescent="0.35"/>
  <cols>
    <col min="1" max="1" width="1.81640625" style="27" customWidth="1"/>
    <col min="2" max="2" width="27" style="28" customWidth="1"/>
    <col min="3" max="4" width="9.1796875" style="28" bestFit="1" customWidth="1"/>
    <col min="5" max="5" width="9.54296875" style="28" bestFit="1" customWidth="1"/>
    <col min="6" max="10" width="9.54296875" style="125" bestFit="1" customWidth="1"/>
    <col min="11" max="14" width="9.54296875" style="28" bestFit="1" customWidth="1"/>
    <col min="15" max="16384" width="8.7265625" style="28"/>
  </cols>
  <sheetData>
    <row r="1" spans="2:17" x14ac:dyDescent="0.35">
      <c r="F1" s="28"/>
      <c r="G1" s="28"/>
      <c r="H1" s="28"/>
      <c r="I1" s="28"/>
      <c r="J1" s="28"/>
    </row>
    <row r="2" spans="2:17" x14ac:dyDescent="0.35">
      <c r="B2" s="228"/>
      <c r="C2" s="228"/>
      <c r="D2" s="229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E2" s="229"/>
      <c r="F2" s="229"/>
      <c r="G2" s="229"/>
      <c r="H2" s="229"/>
      <c r="I2" s="229"/>
      <c r="J2" s="229"/>
      <c r="K2" s="229"/>
      <c r="L2" s="229"/>
      <c r="M2" s="229"/>
      <c r="N2" s="229"/>
    </row>
    <row r="3" spans="2:17" x14ac:dyDescent="0.35">
      <c r="B3" s="228"/>
      <c r="C3" s="228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</row>
    <row r="4" spans="2:17" x14ac:dyDescent="0.35">
      <c r="B4" s="228"/>
      <c r="C4" s="228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</row>
    <row r="5" spans="2:17" x14ac:dyDescent="0.35">
      <c r="B5" s="228"/>
      <c r="C5" s="228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</row>
    <row r="6" spans="2:17" x14ac:dyDescent="0.35">
      <c r="B6" s="228"/>
      <c r="C6" s="228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</row>
    <row r="7" spans="2:17" x14ac:dyDescent="0.35">
      <c r="B7" s="228"/>
      <c r="C7" s="228"/>
      <c r="D7" s="229"/>
      <c r="E7" s="229"/>
      <c r="F7" s="229"/>
      <c r="G7" s="229"/>
      <c r="H7" s="229"/>
      <c r="I7" s="230"/>
      <c r="J7" s="230"/>
      <c r="K7" s="230"/>
      <c r="L7" s="230"/>
      <c r="M7" s="230"/>
      <c r="N7" s="230"/>
      <c r="O7" s="125"/>
      <c r="P7" s="125"/>
      <c r="Q7" s="125"/>
    </row>
    <row r="8" spans="2:17" x14ac:dyDescent="0.35">
      <c r="B8" s="28" t="str">
        <f>"Data Room - "&amp;'Data Sheet'!B1</f>
        <v>Data Room - EICHER MOTORS LTD</v>
      </c>
      <c r="F8" s="28"/>
      <c r="G8" s="28"/>
      <c r="H8" s="28"/>
      <c r="K8" s="125"/>
      <c r="L8" s="125"/>
      <c r="M8" s="125"/>
      <c r="N8" s="125"/>
      <c r="O8" s="125"/>
      <c r="P8" s="125"/>
      <c r="Q8" s="125"/>
    </row>
    <row r="9" spans="2:17" ht="15.5" x14ac:dyDescent="0.35">
      <c r="B9" s="55" t="s">
        <v>255</v>
      </c>
      <c r="C9" s="54">
        <v>41609</v>
      </c>
      <c r="D9" s="54">
        <v>41974</v>
      </c>
      <c r="E9" s="54">
        <v>42430</v>
      </c>
      <c r="F9" s="54">
        <v>42795</v>
      </c>
      <c r="G9" s="54">
        <v>43160</v>
      </c>
      <c r="H9" s="54">
        <v>43525</v>
      </c>
      <c r="I9" s="188">
        <v>43891</v>
      </c>
      <c r="J9" s="188">
        <v>44256</v>
      </c>
      <c r="K9" s="188">
        <v>44621</v>
      </c>
      <c r="L9" s="188">
        <v>44986</v>
      </c>
      <c r="M9" s="188">
        <v>45352</v>
      </c>
      <c r="N9" s="188">
        <v>45717</v>
      </c>
      <c r="O9" s="125"/>
      <c r="P9" s="125"/>
      <c r="Q9" s="125"/>
    </row>
    <row r="10" spans="2:17" x14ac:dyDescent="0.35">
      <c r="B10" s="65" t="s">
        <v>226</v>
      </c>
      <c r="C10" s="65">
        <v>27</v>
      </c>
      <c r="D10" s="65">
        <v>27</v>
      </c>
      <c r="E10" s="65">
        <v>27</v>
      </c>
      <c r="F10" s="65">
        <v>27</v>
      </c>
      <c r="G10" s="65">
        <v>27</v>
      </c>
      <c r="H10" s="65">
        <v>27</v>
      </c>
      <c r="I10" s="65">
        <v>27</v>
      </c>
      <c r="J10" s="65">
        <v>27</v>
      </c>
      <c r="K10" s="65">
        <v>27</v>
      </c>
      <c r="L10" s="65">
        <v>27</v>
      </c>
      <c r="M10" s="65">
        <v>27</v>
      </c>
      <c r="N10" s="65">
        <v>27</v>
      </c>
      <c r="O10" s="125"/>
      <c r="P10" s="125"/>
      <c r="Q10" s="125"/>
    </row>
    <row r="11" spans="2:17" x14ac:dyDescent="0.35">
      <c r="B11" s="65" t="s">
        <v>20</v>
      </c>
      <c r="C11" s="65">
        <v>2028</v>
      </c>
      <c r="D11" s="65">
        <v>2489</v>
      </c>
      <c r="E11" s="65">
        <v>3626</v>
      </c>
      <c r="F11" s="65">
        <v>5318</v>
      </c>
      <c r="G11" s="65">
        <v>7003</v>
      </c>
      <c r="H11" s="65">
        <v>8891</v>
      </c>
      <c r="I11" s="65">
        <v>9954</v>
      </c>
      <c r="J11" s="65">
        <v>11411</v>
      </c>
      <c r="K11" s="65">
        <v>12581</v>
      </c>
      <c r="L11" s="65">
        <v>14963</v>
      </c>
      <c r="M11" s="65">
        <v>18018</v>
      </c>
      <c r="N11" s="65">
        <v>21269</v>
      </c>
      <c r="O11" s="125"/>
      <c r="P11" s="125"/>
      <c r="Q11" s="125"/>
    </row>
    <row r="12" spans="2:17" x14ac:dyDescent="0.35"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125"/>
      <c r="P12" s="125"/>
      <c r="Q12" s="125"/>
    </row>
    <row r="13" spans="2:17" x14ac:dyDescent="0.35">
      <c r="B13" s="345" t="s">
        <v>227</v>
      </c>
      <c r="C13" s="345"/>
      <c r="D13" s="345"/>
      <c r="E13" s="345"/>
      <c r="F13" s="345"/>
      <c r="G13" s="345"/>
      <c r="H13" s="345"/>
      <c r="I13" s="345"/>
      <c r="J13" s="345"/>
      <c r="K13" s="345"/>
      <c r="L13" s="345"/>
      <c r="M13" s="345"/>
      <c r="N13" s="345"/>
      <c r="O13" s="125"/>
      <c r="P13" s="125"/>
      <c r="Q13" s="125"/>
    </row>
    <row r="14" spans="2:17" x14ac:dyDescent="0.35">
      <c r="B14" s="65" t="s">
        <v>228</v>
      </c>
      <c r="C14" s="65"/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63</v>
      </c>
      <c r="M14" s="65">
        <v>163</v>
      </c>
      <c r="N14" s="65">
        <v>184</v>
      </c>
      <c r="O14" s="125"/>
      <c r="P14" s="125"/>
      <c r="Q14" s="125"/>
    </row>
    <row r="15" spans="2:17" x14ac:dyDescent="0.35">
      <c r="B15" s="65" t="s">
        <v>229</v>
      </c>
      <c r="C15" s="65"/>
      <c r="D15" s="65">
        <v>58</v>
      </c>
      <c r="E15" s="65">
        <v>23</v>
      </c>
      <c r="F15" s="65">
        <v>112</v>
      </c>
      <c r="G15" s="65">
        <v>151</v>
      </c>
      <c r="H15" s="65">
        <v>187</v>
      </c>
      <c r="I15" s="65">
        <v>144</v>
      </c>
      <c r="J15" s="65">
        <v>157</v>
      </c>
      <c r="K15" s="65">
        <v>59</v>
      </c>
      <c r="L15" s="65">
        <v>133</v>
      </c>
      <c r="M15" s="65">
        <v>112</v>
      </c>
      <c r="N15" s="65">
        <v>82</v>
      </c>
      <c r="O15" s="125"/>
      <c r="P15" s="125"/>
      <c r="Q15" s="125"/>
    </row>
    <row r="16" spans="2:17" x14ac:dyDescent="0.35">
      <c r="B16" s="65" t="s">
        <v>230</v>
      </c>
      <c r="C16" s="65"/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105</v>
      </c>
      <c r="J16" s="65">
        <v>62</v>
      </c>
      <c r="K16" s="65">
        <v>49</v>
      </c>
      <c r="L16" s="65">
        <v>93</v>
      </c>
      <c r="M16" s="65">
        <v>144</v>
      </c>
      <c r="N16" s="65">
        <v>192</v>
      </c>
      <c r="O16" s="125"/>
      <c r="P16" s="125"/>
      <c r="Q16" s="125"/>
    </row>
    <row r="17" spans="2:17" x14ac:dyDescent="0.35">
      <c r="B17" s="255"/>
      <c r="C17" s="255"/>
      <c r="D17" s="255"/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125"/>
      <c r="P17" s="125"/>
      <c r="Q17" s="125"/>
    </row>
    <row r="18" spans="2:17" x14ac:dyDescent="0.35">
      <c r="B18" s="346" t="s">
        <v>231</v>
      </c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125"/>
      <c r="P18" s="125"/>
      <c r="Q18" s="125"/>
    </row>
    <row r="19" spans="2:17" x14ac:dyDescent="0.35">
      <c r="B19" s="83" t="s">
        <v>232</v>
      </c>
      <c r="C19" s="83"/>
      <c r="D19" s="83">
        <v>1085</v>
      </c>
      <c r="E19" s="83">
        <v>0</v>
      </c>
      <c r="F19" s="83">
        <v>0</v>
      </c>
      <c r="G19" s="83">
        <v>0</v>
      </c>
      <c r="H19" s="83">
        <v>0</v>
      </c>
      <c r="I19" s="83">
        <v>0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125"/>
      <c r="P19" s="125"/>
      <c r="Q19" s="125"/>
    </row>
    <row r="20" spans="2:17" x14ac:dyDescent="0.35">
      <c r="B20" s="65" t="s">
        <v>233</v>
      </c>
      <c r="C20" s="65"/>
      <c r="D20" s="65">
        <v>1513</v>
      </c>
      <c r="E20" s="65">
        <v>723</v>
      </c>
      <c r="F20" s="65">
        <v>765</v>
      </c>
      <c r="G20" s="65">
        <v>1172</v>
      </c>
      <c r="H20" s="65">
        <v>1234</v>
      </c>
      <c r="I20" s="65">
        <v>1008</v>
      </c>
      <c r="J20" s="65">
        <v>1513</v>
      </c>
      <c r="K20" s="65">
        <v>1788</v>
      </c>
      <c r="L20" s="65">
        <v>1810</v>
      </c>
      <c r="M20" s="65">
        <v>2090</v>
      </c>
      <c r="N20" s="65">
        <v>2530</v>
      </c>
      <c r="O20" s="125"/>
      <c r="P20" s="125"/>
      <c r="Q20" s="125"/>
    </row>
    <row r="21" spans="2:17" x14ac:dyDescent="0.35">
      <c r="B21" s="65" t="s">
        <v>234</v>
      </c>
      <c r="C21" s="65"/>
      <c r="D21" s="65">
        <v>246</v>
      </c>
      <c r="E21" s="65">
        <v>242</v>
      </c>
      <c r="F21" s="65">
        <v>292</v>
      </c>
      <c r="G21" s="65">
        <v>141</v>
      </c>
      <c r="H21" s="65">
        <v>93</v>
      </c>
      <c r="I21" s="65">
        <v>61</v>
      </c>
      <c r="J21" s="65">
        <v>137</v>
      </c>
      <c r="K21" s="65">
        <v>148</v>
      </c>
      <c r="L21" s="65">
        <v>126</v>
      </c>
      <c r="M21" s="65">
        <v>0</v>
      </c>
      <c r="N21" s="65">
        <v>0</v>
      </c>
      <c r="O21" s="125"/>
      <c r="P21" s="125"/>
      <c r="Q21" s="125"/>
    </row>
    <row r="22" spans="2:17" x14ac:dyDescent="0.35">
      <c r="B22" s="65" t="s">
        <v>235</v>
      </c>
      <c r="C22" s="65"/>
      <c r="D22" s="65">
        <v>985</v>
      </c>
      <c r="E22" s="65">
        <v>298</v>
      </c>
      <c r="F22" s="65">
        <v>495</v>
      </c>
      <c r="G22" s="65">
        <v>1029</v>
      </c>
      <c r="H22" s="65">
        <v>954</v>
      </c>
      <c r="I22" s="65">
        <v>1151</v>
      </c>
      <c r="J22" s="65">
        <v>1251</v>
      </c>
      <c r="K22" s="65">
        <v>1488</v>
      </c>
      <c r="L22" s="65">
        <v>1982</v>
      </c>
      <c r="M22" s="65">
        <v>2560</v>
      </c>
      <c r="N22" s="65">
        <v>2890</v>
      </c>
      <c r="O22" s="125"/>
      <c r="P22" s="125"/>
      <c r="Q22" s="125"/>
    </row>
    <row r="23" spans="2:17" x14ac:dyDescent="0.35">
      <c r="B23" s="66" t="s">
        <v>101</v>
      </c>
      <c r="C23" s="66">
        <v>5337</v>
      </c>
      <c r="D23" s="66">
        <v>6403</v>
      </c>
      <c r="E23" s="66">
        <v>4939</v>
      </c>
      <c r="F23" s="66">
        <v>7009</v>
      </c>
      <c r="G23" s="66">
        <v>9522</v>
      </c>
      <c r="H23" s="66">
        <v>11387</v>
      </c>
      <c r="I23" s="66">
        <v>12450</v>
      </c>
      <c r="J23" s="66">
        <v>14559</v>
      </c>
      <c r="K23" s="66">
        <v>16140</v>
      </c>
      <c r="L23" s="66">
        <v>19198</v>
      </c>
      <c r="M23" s="66">
        <v>23115</v>
      </c>
      <c r="N23" s="66">
        <v>27174</v>
      </c>
      <c r="O23" s="125"/>
      <c r="P23" s="125"/>
      <c r="Q23" s="125"/>
    </row>
    <row r="24" spans="2:17" x14ac:dyDescent="0.35"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125"/>
      <c r="P24" s="125"/>
      <c r="Q24" s="125"/>
    </row>
    <row r="25" spans="2:17" x14ac:dyDescent="0.35">
      <c r="B25" s="346" t="s">
        <v>236</v>
      </c>
      <c r="C25" s="316"/>
      <c r="D25" s="316"/>
      <c r="E25" s="316"/>
      <c r="F25" s="316"/>
      <c r="G25" s="316"/>
      <c r="H25" s="316"/>
      <c r="I25" s="316"/>
      <c r="J25" s="316"/>
      <c r="K25" s="316"/>
      <c r="L25" s="316"/>
      <c r="M25" s="316"/>
      <c r="N25" s="316"/>
      <c r="O25" s="125"/>
      <c r="P25" s="125"/>
      <c r="Q25" s="125"/>
    </row>
    <row r="26" spans="2:17" x14ac:dyDescent="0.35">
      <c r="B26" s="83" t="s">
        <v>237</v>
      </c>
      <c r="C26" s="83"/>
      <c r="D26" s="83">
        <v>250</v>
      </c>
      <c r="E26" s="83">
        <v>86</v>
      </c>
      <c r="F26" s="83">
        <v>86</v>
      </c>
      <c r="G26" s="83">
        <v>86</v>
      </c>
      <c r="H26" s="83">
        <v>86</v>
      </c>
      <c r="I26" s="83">
        <v>182</v>
      </c>
      <c r="J26" s="83">
        <v>232</v>
      </c>
      <c r="K26" s="83">
        <v>230</v>
      </c>
      <c r="L26" s="83">
        <v>230</v>
      </c>
      <c r="M26" s="83">
        <v>227</v>
      </c>
      <c r="N26" s="83">
        <v>226</v>
      </c>
      <c r="O26" s="125"/>
      <c r="P26" s="125"/>
      <c r="Q26" s="125"/>
    </row>
    <row r="27" spans="2:17" x14ac:dyDescent="0.35">
      <c r="B27" s="65" t="s">
        <v>238</v>
      </c>
      <c r="C27" s="65"/>
      <c r="D27" s="65">
        <v>406</v>
      </c>
      <c r="E27" s="65">
        <v>177</v>
      </c>
      <c r="F27" s="65">
        <v>230</v>
      </c>
      <c r="G27" s="65">
        <v>484</v>
      </c>
      <c r="H27" s="65">
        <v>644</v>
      </c>
      <c r="I27" s="65">
        <v>871</v>
      </c>
      <c r="J27" s="65">
        <v>866</v>
      </c>
      <c r="K27" s="65">
        <v>867</v>
      </c>
      <c r="L27" s="65">
        <v>1051</v>
      </c>
      <c r="M27" s="65">
        <v>1086</v>
      </c>
      <c r="N27" s="65">
        <v>1396</v>
      </c>
      <c r="O27" s="125"/>
      <c r="P27" s="125"/>
      <c r="Q27" s="125"/>
    </row>
    <row r="28" spans="2:17" x14ac:dyDescent="0.35">
      <c r="B28" s="65" t="s">
        <v>239</v>
      </c>
      <c r="C28" s="65"/>
      <c r="D28" s="65">
        <v>1726</v>
      </c>
      <c r="E28" s="65">
        <v>663</v>
      </c>
      <c r="F28" s="65">
        <v>795</v>
      </c>
      <c r="G28" s="65">
        <v>1303</v>
      </c>
      <c r="H28" s="65">
        <v>1548</v>
      </c>
      <c r="I28" s="65">
        <v>1928</v>
      </c>
      <c r="J28" s="65">
        <v>2088</v>
      </c>
      <c r="K28" s="65">
        <v>2336</v>
      </c>
      <c r="L28" s="65">
        <v>2598</v>
      </c>
      <c r="M28" s="65">
        <v>2744</v>
      </c>
      <c r="N28" s="65">
        <v>3055</v>
      </c>
      <c r="O28" s="125"/>
      <c r="P28" s="125"/>
      <c r="Q28" s="125"/>
    </row>
    <row r="29" spans="2:17" x14ac:dyDescent="0.35">
      <c r="B29" s="65" t="s">
        <v>240</v>
      </c>
      <c r="C29" s="65"/>
      <c r="D29" s="65">
        <v>121</v>
      </c>
      <c r="E29" s="65">
        <v>51</v>
      </c>
      <c r="F29" s="65">
        <v>68</v>
      </c>
      <c r="G29" s="65">
        <v>110</v>
      </c>
      <c r="H29" s="65">
        <v>140</v>
      </c>
      <c r="I29" s="65">
        <v>188</v>
      </c>
      <c r="J29" s="65">
        <v>204</v>
      </c>
      <c r="K29" s="65">
        <v>226</v>
      </c>
      <c r="L29" s="65">
        <v>266</v>
      </c>
      <c r="M29" s="65">
        <v>231</v>
      </c>
      <c r="N29" s="65">
        <v>273</v>
      </c>
      <c r="O29" s="125"/>
      <c r="P29" s="125"/>
      <c r="Q29" s="125"/>
    </row>
    <row r="30" spans="2:17" x14ac:dyDescent="0.35">
      <c r="B30" s="65" t="s">
        <v>241</v>
      </c>
      <c r="C30" s="65"/>
      <c r="D30" s="65">
        <v>86</v>
      </c>
      <c r="E30" s="65">
        <v>11</v>
      </c>
      <c r="F30" s="65">
        <v>14</v>
      </c>
      <c r="G30" s="65">
        <v>21</v>
      </c>
      <c r="H30" s="65">
        <v>28</v>
      </c>
      <c r="I30" s="65">
        <v>34</v>
      </c>
      <c r="J30" s="65">
        <v>38</v>
      </c>
      <c r="K30" s="65">
        <v>37</v>
      </c>
      <c r="L30" s="65">
        <v>39</v>
      </c>
      <c r="M30" s="65">
        <v>42</v>
      </c>
      <c r="N30" s="65">
        <v>44</v>
      </c>
      <c r="O30" s="125"/>
      <c r="P30" s="125"/>
      <c r="Q30" s="125"/>
    </row>
    <row r="31" spans="2:17" x14ac:dyDescent="0.35">
      <c r="B31" s="65" t="s">
        <v>242</v>
      </c>
      <c r="C31" s="65"/>
      <c r="D31" s="65">
        <v>78</v>
      </c>
      <c r="E31" s="65">
        <v>19</v>
      </c>
      <c r="F31" s="65">
        <v>30</v>
      </c>
      <c r="G31" s="65">
        <v>48</v>
      </c>
      <c r="H31" s="65">
        <v>64</v>
      </c>
      <c r="I31" s="65">
        <v>81</v>
      </c>
      <c r="J31" s="65">
        <v>97</v>
      </c>
      <c r="K31" s="65">
        <v>122</v>
      </c>
      <c r="L31" s="65">
        <v>137</v>
      </c>
      <c r="M31" s="65">
        <v>180</v>
      </c>
      <c r="N31" s="65">
        <v>224</v>
      </c>
      <c r="O31" s="125"/>
      <c r="P31" s="125"/>
      <c r="Q31" s="125"/>
    </row>
    <row r="32" spans="2:17" x14ac:dyDescent="0.35">
      <c r="B32" s="65" t="s">
        <v>243</v>
      </c>
      <c r="C32" s="65"/>
      <c r="D32" s="65">
        <v>22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125"/>
      <c r="P32" s="125"/>
      <c r="Q32" s="125"/>
    </row>
    <row r="33" spans="2:17" x14ac:dyDescent="0.35">
      <c r="B33" s="65" t="s">
        <v>244</v>
      </c>
      <c r="C33" s="65"/>
      <c r="D33" s="65">
        <v>446</v>
      </c>
      <c r="E33" s="65">
        <v>53</v>
      </c>
      <c r="F33" s="65">
        <v>72</v>
      </c>
      <c r="G33" s="65">
        <v>93</v>
      </c>
      <c r="H33" s="65">
        <v>258</v>
      </c>
      <c r="I33" s="65">
        <v>301</v>
      </c>
      <c r="J33" s="65">
        <v>523</v>
      </c>
      <c r="K33" s="65">
        <v>588</v>
      </c>
      <c r="L33" s="65">
        <v>820</v>
      </c>
      <c r="M33" s="65">
        <v>1177</v>
      </c>
      <c r="N33" s="65">
        <v>1501</v>
      </c>
      <c r="O33" s="125"/>
      <c r="P33" s="125"/>
      <c r="Q33" s="125"/>
    </row>
    <row r="34" spans="2:17" x14ac:dyDescent="0.35">
      <c r="B34" s="66" t="s">
        <v>245</v>
      </c>
      <c r="C34" s="66"/>
      <c r="D34" s="66">
        <v>3137</v>
      </c>
      <c r="E34" s="66">
        <v>1061</v>
      </c>
      <c r="F34" s="66">
        <v>1295</v>
      </c>
      <c r="G34" s="66">
        <v>2144</v>
      </c>
      <c r="H34" s="66">
        <v>2767</v>
      </c>
      <c r="I34" s="66">
        <v>3585</v>
      </c>
      <c r="J34" s="66">
        <v>4049</v>
      </c>
      <c r="K34" s="66">
        <v>4405</v>
      </c>
      <c r="L34" s="66">
        <v>5142</v>
      </c>
      <c r="M34" s="66">
        <v>5687</v>
      </c>
      <c r="N34" s="66">
        <v>6718</v>
      </c>
      <c r="O34" s="125"/>
      <c r="P34" s="125"/>
      <c r="Q34" s="125"/>
    </row>
    <row r="35" spans="2:17" x14ac:dyDescent="0.35">
      <c r="B35" s="66" t="s">
        <v>246</v>
      </c>
      <c r="C35" s="65"/>
      <c r="D35" s="65">
        <v>828</v>
      </c>
      <c r="E35" s="65">
        <v>271</v>
      </c>
      <c r="F35" s="65">
        <v>422</v>
      </c>
      <c r="G35" s="65">
        <v>643</v>
      </c>
      <c r="H35" s="65">
        <v>893</v>
      </c>
      <c r="I35" s="65">
        <v>1208</v>
      </c>
      <c r="J35" s="65">
        <v>1616</v>
      </c>
      <c r="K35" s="65">
        <v>1981</v>
      </c>
      <c r="L35" s="65">
        <v>2452</v>
      </c>
      <c r="M35" s="65">
        <v>2772</v>
      </c>
      <c r="N35" s="65">
        <v>3245</v>
      </c>
      <c r="O35" s="125"/>
      <c r="P35" s="125"/>
      <c r="Q35" s="125"/>
    </row>
    <row r="36" spans="2:17" x14ac:dyDescent="0.35">
      <c r="B36" s="66" t="s">
        <v>22</v>
      </c>
      <c r="C36" s="66"/>
      <c r="D36" s="66">
        <f>D34-D35</f>
        <v>2309</v>
      </c>
      <c r="E36" s="66">
        <f t="shared" ref="E36:N36" si="0">E34-E35</f>
        <v>790</v>
      </c>
      <c r="F36" s="66">
        <f t="shared" si="0"/>
        <v>873</v>
      </c>
      <c r="G36" s="66">
        <f t="shared" si="0"/>
        <v>1501</v>
      </c>
      <c r="H36" s="66">
        <f t="shared" si="0"/>
        <v>1874</v>
      </c>
      <c r="I36" s="66">
        <f t="shared" si="0"/>
        <v>2377</v>
      </c>
      <c r="J36" s="66">
        <f t="shared" si="0"/>
        <v>2433</v>
      </c>
      <c r="K36" s="66">
        <f t="shared" si="0"/>
        <v>2424</v>
      </c>
      <c r="L36" s="66">
        <f t="shared" si="0"/>
        <v>2690</v>
      </c>
      <c r="M36" s="66">
        <f t="shared" si="0"/>
        <v>2915</v>
      </c>
      <c r="N36" s="66">
        <f t="shared" si="0"/>
        <v>3473</v>
      </c>
      <c r="O36" s="125"/>
      <c r="P36" s="125"/>
      <c r="Q36" s="125"/>
    </row>
    <row r="37" spans="2:17" x14ac:dyDescent="0.35">
      <c r="B37" s="256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125"/>
      <c r="P37" s="125"/>
      <c r="Q37" s="125"/>
    </row>
    <row r="38" spans="2:17" x14ac:dyDescent="0.35">
      <c r="B38" s="345" t="s">
        <v>247</v>
      </c>
      <c r="C38" s="83">
        <v>464</v>
      </c>
      <c r="D38" s="83">
        <v>419</v>
      </c>
      <c r="E38" s="83">
        <v>94</v>
      </c>
      <c r="F38" s="83">
        <v>374</v>
      </c>
      <c r="G38" s="83">
        <v>333</v>
      </c>
      <c r="H38" s="83">
        <v>450</v>
      </c>
      <c r="I38" s="83">
        <v>312</v>
      </c>
      <c r="J38" s="83">
        <v>314</v>
      </c>
      <c r="K38" s="83">
        <v>505</v>
      </c>
      <c r="L38" s="83">
        <v>472</v>
      </c>
      <c r="M38" s="83">
        <v>555</v>
      </c>
      <c r="N38" s="83">
        <v>491</v>
      </c>
      <c r="O38" s="125"/>
      <c r="P38" s="125"/>
      <c r="Q38" s="125"/>
    </row>
    <row r="39" spans="2:17" x14ac:dyDescent="0.35">
      <c r="B39" s="66" t="s">
        <v>24</v>
      </c>
      <c r="C39" s="65">
        <v>825</v>
      </c>
      <c r="D39" s="65">
        <v>1078</v>
      </c>
      <c r="E39" s="65">
        <v>3388</v>
      </c>
      <c r="F39" s="65">
        <v>4987</v>
      </c>
      <c r="G39" s="65">
        <v>5581</v>
      </c>
      <c r="H39" s="65">
        <v>4923</v>
      </c>
      <c r="I39" s="65">
        <v>5749</v>
      </c>
      <c r="J39" s="65">
        <v>3902</v>
      </c>
      <c r="K39" s="65">
        <v>7721</v>
      </c>
      <c r="L39" s="65">
        <v>12321</v>
      </c>
      <c r="M39" s="65">
        <v>13527</v>
      </c>
      <c r="N39" s="65">
        <v>14791</v>
      </c>
      <c r="O39" s="125"/>
      <c r="P39" s="125"/>
      <c r="Q39" s="125"/>
    </row>
    <row r="40" spans="2:17" x14ac:dyDescent="0.35">
      <c r="B40" s="256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125"/>
      <c r="P40" s="125"/>
      <c r="Q40" s="125"/>
    </row>
    <row r="41" spans="2:17" x14ac:dyDescent="0.35">
      <c r="B41" s="346" t="s">
        <v>248</v>
      </c>
      <c r="C41" s="316"/>
      <c r="D41" s="316"/>
      <c r="E41" s="316"/>
      <c r="F41" s="316"/>
      <c r="G41" s="316"/>
      <c r="H41" s="316"/>
      <c r="I41" s="316"/>
      <c r="J41" s="316"/>
      <c r="K41" s="316"/>
      <c r="L41" s="316"/>
      <c r="M41" s="316"/>
      <c r="N41" s="316"/>
      <c r="O41" s="125"/>
      <c r="P41" s="125"/>
      <c r="Q41" s="125"/>
    </row>
    <row r="42" spans="2:17" x14ac:dyDescent="0.35">
      <c r="B42" s="83" t="s">
        <v>249</v>
      </c>
      <c r="C42" s="83"/>
      <c r="D42" s="83">
        <v>646</v>
      </c>
      <c r="E42" s="83">
        <v>308</v>
      </c>
      <c r="F42" s="83">
        <v>336</v>
      </c>
      <c r="G42" s="83">
        <v>395</v>
      </c>
      <c r="H42" s="83">
        <v>633</v>
      </c>
      <c r="I42" s="83">
        <v>572</v>
      </c>
      <c r="J42" s="83">
        <v>875</v>
      </c>
      <c r="K42" s="83">
        <v>1132</v>
      </c>
      <c r="L42" s="83">
        <v>1278</v>
      </c>
      <c r="M42" s="83">
        <v>1410</v>
      </c>
      <c r="N42" s="83">
        <v>1564</v>
      </c>
      <c r="O42" s="125"/>
      <c r="P42" s="125"/>
      <c r="Q42" s="125"/>
    </row>
    <row r="43" spans="2:17" x14ac:dyDescent="0.35">
      <c r="B43" s="65" t="s">
        <v>250</v>
      </c>
      <c r="C43" s="65"/>
      <c r="D43" s="65">
        <v>562</v>
      </c>
      <c r="E43" s="65">
        <v>33</v>
      </c>
      <c r="F43" s="65">
        <v>50</v>
      </c>
      <c r="G43" s="65">
        <v>68</v>
      </c>
      <c r="H43" s="65">
        <v>84</v>
      </c>
      <c r="I43" s="65">
        <v>87</v>
      </c>
      <c r="J43" s="65">
        <v>158</v>
      </c>
      <c r="K43" s="65">
        <v>302</v>
      </c>
      <c r="L43" s="65">
        <v>369</v>
      </c>
      <c r="M43" s="65">
        <v>374</v>
      </c>
      <c r="N43" s="65">
        <v>550</v>
      </c>
      <c r="O43" s="125"/>
      <c r="P43" s="125"/>
      <c r="Q43" s="125"/>
    </row>
    <row r="44" spans="2:17" x14ac:dyDescent="0.35">
      <c r="B44" s="65" t="s">
        <v>251</v>
      </c>
      <c r="C44" s="65"/>
      <c r="D44" s="65">
        <v>353</v>
      </c>
      <c r="E44" s="65">
        <v>49</v>
      </c>
      <c r="F44" s="65">
        <v>25</v>
      </c>
      <c r="G44" s="65">
        <v>1212</v>
      </c>
      <c r="H44" s="65">
        <v>2965</v>
      </c>
      <c r="I44" s="65">
        <v>2951</v>
      </c>
      <c r="J44" s="65">
        <v>5830</v>
      </c>
      <c r="K44" s="65">
        <v>2722</v>
      </c>
      <c r="L44" s="65">
        <v>766</v>
      </c>
      <c r="M44" s="65">
        <v>146</v>
      </c>
      <c r="N44" s="65">
        <v>263</v>
      </c>
      <c r="O44" s="125"/>
      <c r="P44" s="125"/>
      <c r="Q44" s="125"/>
    </row>
    <row r="45" spans="2:17" x14ac:dyDescent="0.35">
      <c r="B45" s="65" t="s">
        <v>252</v>
      </c>
      <c r="C45" s="65"/>
      <c r="D45" s="65">
        <v>88</v>
      </c>
      <c r="E45" s="65">
        <v>39</v>
      </c>
      <c r="F45" s="65">
        <v>39</v>
      </c>
      <c r="G45" s="65">
        <v>64</v>
      </c>
      <c r="H45" s="65">
        <v>82</v>
      </c>
      <c r="I45" s="65">
        <v>99</v>
      </c>
      <c r="J45" s="65">
        <v>594</v>
      </c>
      <c r="K45" s="65">
        <v>867</v>
      </c>
      <c r="L45" s="65">
        <v>835</v>
      </c>
      <c r="M45" s="65">
        <v>680</v>
      </c>
      <c r="N45" s="65">
        <v>725</v>
      </c>
      <c r="O45" s="125"/>
      <c r="P45" s="125"/>
      <c r="Q45" s="125"/>
    </row>
    <row r="46" spans="2:17" x14ac:dyDescent="0.35">
      <c r="B46" s="65" t="s">
        <v>253</v>
      </c>
      <c r="C46" s="65"/>
      <c r="D46" s="65">
        <v>949</v>
      </c>
      <c r="E46" s="65">
        <v>237</v>
      </c>
      <c r="F46" s="65">
        <v>326</v>
      </c>
      <c r="G46" s="65">
        <v>368</v>
      </c>
      <c r="H46" s="65">
        <v>375</v>
      </c>
      <c r="I46" s="65">
        <v>303</v>
      </c>
      <c r="J46" s="65">
        <v>452</v>
      </c>
      <c r="K46" s="65">
        <v>466</v>
      </c>
      <c r="L46" s="65">
        <v>467</v>
      </c>
      <c r="M46" s="65">
        <v>3509</v>
      </c>
      <c r="N46" s="65">
        <v>5317</v>
      </c>
      <c r="O46" s="125"/>
      <c r="P46" s="125"/>
      <c r="Q46" s="125"/>
    </row>
    <row r="47" spans="2:17" x14ac:dyDescent="0.35">
      <c r="B47" s="66" t="s">
        <v>254</v>
      </c>
      <c r="C47" s="66">
        <v>5337</v>
      </c>
      <c r="D47" s="66">
        <v>6403</v>
      </c>
      <c r="E47" s="66">
        <v>4939</v>
      </c>
      <c r="F47" s="66">
        <v>7009</v>
      </c>
      <c r="G47" s="66">
        <v>9522</v>
      </c>
      <c r="H47" s="66">
        <v>11387</v>
      </c>
      <c r="I47" s="66">
        <v>12450</v>
      </c>
      <c r="J47" s="66">
        <v>14559</v>
      </c>
      <c r="K47" s="66">
        <v>16140</v>
      </c>
      <c r="L47" s="66">
        <v>19198</v>
      </c>
      <c r="M47" s="66">
        <v>23115</v>
      </c>
      <c r="N47" s="66">
        <v>27174</v>
      </c>
      <c r="O47" s="125"/>
      <c r="P47" s="125"/>
      <c r="Q47" s="125"/>
    </row>
    <row r="48" spans="2:17" x14ac:dyDescent="0.35"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316"/>
      <c r="N48" s="316"/>
      <c r="O48" s="125"/>
      <c r="P48" s="125"/>
      <c r="Q48" s="125"/>
    </row>
    <row r="49" spans="2:17" x14ac:dyDescent="0.35">
      <c r="B49" s="125"/>
      <c r="C49" s="125"/>
      <c r="D49" s="125"/>
      <c r="E49" s="125"/>
      <c r="K49" s="125"/>
      <c r="L49" s="125"/>
      <c r="M49" s="125"/>
      <c r="N49" s="125"/>
      <c r="O49" s="125"/>
      <c r="P49" s="125"/>
      <c r="Q49" s="125"/>
    </row>
    <row r="50" spans="2:17" x14ac:dyDescent="0.35">
      <c r="B50" s="125"/>
      <c r="C50" s="125"/>
      <c r="D50" s="125"/>
      <c r="E50" s="125"/>
      <c r="K50" s="125"/>
      <c r="L50" s="125"/>
      <c r="M50" s="125"/>
      <c r="N50" s="125"/>
      <c r="O50" s="125"/>
      <c r="P50" s="125"/>
      <c r="Q50" s="125"/>
    </row>
    <row r="51" spans="2:17" x14ac:dyDescent="0.35">
      <c r="B51" s="125"/>
      <c r="C51" s="125"/>
      <c r="D51" s="125"/>
      <c r="E51" s="125"/>
      <c r="K51" s="125"/>
      <c r="L51" s="125"/>
      <c r="M51" s="125"/>
      <c r="N51" s="125"/>
      <c r="O51" s="125"/>
      <c r="P51" s="125"/>
      <c r="Q51" s="125"/>
    </row>
    <row r="52" spans="2:17" x14ac:dyDescent="0.35">
      <c r="B52" s="125"/>
      <c r="C52" s="125"/>
      <c r="D52" s="125"/>
      <c r="E52" s="125"/>
      <c r="K52" s="125"/>
      <c r="L52" s="125"/>
      <c r="M52" s="125"/>
      <c r="N52" s="125"/>
      <c r="O52" s="125"/>
      <c r="P52" s="125"/>
      <c r="Q52" s="125"/>
    </row>
    <row r="53" spans="2:17" x14ac:dyDescent="0.35">
      <c r="B53" s="125"/>
      <c r="C53" s="125"/>
      <c r="D53" s="125"/>
      <c r="E53" s="125"/>
      <c r="K53" s="125"/>
      <c r="L53" s="125"/>
      <c r="M53" s="125"/>
      <c r="N53" s="125"/>
      <c r="O53" s="125"/>
      <c r="P53" s="125"/>
      <c r="Q53" s="125"/>
    </row>
    <row r="54" spans="2:17" x14ac:dyDescent="0.35">
      <c r="B54" s="125"/>
      <c r="C54" s="125"/>
      <c r="D54" s="125"/>
      <c r="E54" s="125"/>
      <c r="K54" s="125"/>
      <c r="L54" s="125"/>
      <c r="M54" s="125"/>
      <c r="N54" s="125"/>
      <c r="O54" s="125"/>
      <c r="P54" s="125"/>
      <c r="Q54" s="125"/>
    </row>
    <row r="55" spans="2:17" x14ac:dyDescent="0.35">
      <c r="B55" s="125"/>
      <c r="C55" s="125"/>
      <c r="D55" s="125"/>
      <c r="E55" s="125"/>
      <c r="K55" s="125"/>
      <c r="L55" s="125"/>
      <c r="M55" s="125"/>
      <c r="N55" s="125"/>
      <c r="O55" s="125"/>
      <c r="P55" s="125"/>
      <c r="Q55" s="125"/>
    </row>
    <row r="56" spans="2:17" x14ac:dyDescent="0.35">
      <c r="B56" s="125"/>
      <c r="C56" s="125"/>
      <c r="D56" s="125"/>
      <c r="E56" s="125"/>
      <c r="K56" s="125"/>
      <c r="L56" s="125"/>
      <c r="M56" s="125"/>
      <c r="N56" s="125"/>
      <c r="O56" s="125"/>
      <c r="P56" s="125"/>
      <c r="Q56" s="125"/>
    </row>
    <row r="57" spans="2:17" x14ac:dyDescent="0.35">
      <c r="B57" s="125"/>
      <c r="C57" s="125"/>
      <c r="D57" s="125"/>
      <c r="E57" s="125"/>
      <c r="K57" s="125"/>
      <c r="L57" s="125"/>
      <c r="M57" s="125"/>
      <c r="N57" s="125"/>
      <c r="O57" s="125"/>
      <c r="P57" s="125"/>
      <c r="Q57" s="125"/>
    </row>
    <row r="58" spans="2:17" x14ac:dyDescent="0.35">
      <c r="B58" s="125"/>
      <c r="C58" s="125"/>
      <c r="D58" s="125"/>
      <c r="E58" s="125"/>
      <c r="K58" s="125"/>
      <c r="L58" s="125"/>
      <c r="M58" s="125"/>
      <c r="N58" s="125"/>
      <c r="O58" s="125"/>
      <c r="P58" s="125"/>
      <c r="Q58" s="125"/>
    </row>
    <row r="59" spans="2:17" x14ac:dyDescent="0.35">
      <c r="B59" s="125"/>
      <c r="C59" s="125"/>
      <c r="D59" s="125"/>
      <c r="E59" s="125"/>
      <c r="K59" s="125"/>
      <c r="L59" s="125"/>
      <c r="M59" s="125"/>
      <c r="N59" s="125"/>
      <c r="O59" s="125"/>
      <c r="P59" s="125"/>
      <c r="Q59" s="125"/>
    </row>
    <row r="60" spans="2:17" x14ac:dyDescent="0.35">
      <c r="B60" s="125"/>
      <c r="C60" s="125"/>
      <c r="D60" s="125"/>
      <c r="E60" s="125"/>
      <c r="K60" s="125"/>
      <c r="L60" s="125"/>
      <c r="M60" s="125"/>
      <c r="N60" s="125"/>
    </row>
    <row r="61" spans="2:17" x14ac:dyDescent="0.35">
      <c r="B61" s="125"/>
      <c r="C61" s="125"/>
      <c r="D61" s="125"/>
      <c r="E61" s="125"/>
      <c r="K61" s="125"/>
      <c r="L61" s="125"/>
      <c r="M61" s="125"/>
      <c r="N61" s="125"/>
    </row>
    <row r="62" spans="2:17" x14ac:dyDescent="0.35">
      <c r="B62" s="125"/>
      <c r="C62" s="125"/>
      <c r="D62" s="125"/>
      <c r="E62" s="125"/>
      <c r="K62" s="125"/>
      <c r="L62" s="125"/>
      <c r="M62" s="125"/>
      <c r="N62" s="125"/>
    </row>
    <row r="63" spans="2:17" x14ac:dyDescent="0.35">
      <c r="B63" s="125"/>
      <c r="C63" s="125"/>
      <c r="D63" s="125"/>
      <c r="E63" s="125"/>
      <c r="K63" s="125"/>
      <c r="L63" s="125"/>
      <c r="M63" s="125"/>
      <c r="N63" s="125"/>
    </row>
    <row r="64" spans="2:17" x14ac:dyDescent="0.35">
      <c r="B64" s="125"/>
      <c r="C64" s="125"/>
      <c r="D64" s="125"/>
      <c r="E64" s="125"/>
      <c r="K64" s="125"/>
      <c r="L64" s="125"/>
      <c r="M64" s="125"/>
      <c r="N64" s="125"/>
    </row>
    <row r="65" spans="2:13" x14ac:dyDescent="0.35">
      <c r="B65" s="242"/>
      <c r="C65" s="242"/>
      <c r="D65" s="242"/>
      <c r="E65" s="242"/>
      <c r="F65" s="242"/>
      <c r="G65" s="242"/>
      <c r="H65" s="242"/>
      <c r="I65" s="242"/>
      <c r="J65" s="242"/>
      <c r="K65" s="242"/>
      <c r="L65" s="242"/>
      <c r="M65" s="130"/>
    </row>
    <row r="66" spans="2:13" x14ac:dyDescent="0.35">
      <c r="B66" s="243"/>
      <c r="C66" s="243"/>
      <c r="D66" s="243"/>
      <c r="E66" s="243"/>
      <c r="F66" s="243"/>
      <c r="G66" s="243"/>
      <c r="H66" s="243"/>
      <c r="I66" s="243"/>
      <c r="J66" s="243"/>
      <c r="K66" s="243"/>
      <c r="L66" s="243"/>
      <c r="M66" s="125"/>
    </row>
    <row r="67" spans="2:13" x14ac:dyDescent="0.35">
      <c r="B67" s="243"/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125"/>
    </row>
    <row r="68" spans="2:13" x14ac:dyDescent="0.35">
      <c r="B68" s="243"/>
      <c r="C68" s="243"/>
      <c r="D68" s="243"/>
      <c r="E68" s="243"/>
      <c r="F68" s="243"/>
      <c r="G68" s="243"/>
      <c r="H68" s="243"/>
      <c r="I68" s="243"/>
      <c r="J68" s="243"/>
      <c r="K68" s="243"/>
      <c r="L68" s="243"/>
      <c r="M68" s="125"/>
    </row>
    <row r="69" spans="2:13" x14ac:dyDescent="0.35"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125"/>
    </row>
    <row r="70" spans="2:13" x14ac:dyDescent="0.35">
      <c r="B70" s="243"/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125"/>
    </row>
    <row r="71" spans="2:13" x14ac:dyDescent="0.35">
      <c r="B71" s="243"/>
      <c r="C71" s="243"/>
      <c r="D71" s="243"/>
      <c r="E71" s="243"/>
      <c r="F71" s="243"/>
      <c r="G71" s="243"/>
      <c r="H71" s="243"/>
      <c r="I71" s="243"/>
      <c r="J71" s="243"/>
      <c r="K71" s="243"/>
      <c r="L71" s="243"/>
      <c r="M71" s="125"/>
    </row>
    <row r="72" spans="2:13" x14ac:dyDescent="0.35">
      <c r="B72" s="243"/>
      <c r="C72" s="243"/>
      <c r="D72" s="243"/>
      <c r="E72" s="243"/>
      <c r="F72" s="243"/>
      <c r="G72" s="243"/>
      <c r="H72" s="243"/>
      <c r="I72" s="243"/>
      <c r="J72" s="243"/>
      <c r="K72" s="243"/>
      <c r="L72" s="243"/>
      <c r="M72" s="125"/>
    </row>
    <row r="73" spans="2:13" x14ac:dyDescent="0.35">
      <c r="B73" s="243"/>
      <c r="C73" s="243"/>
      <c r="D73" s="243"/>
      <c r="E73" s="243"/>
      <c r="F73" s="243"/>
      <c r="G73" s="243"/>
      <c r="H73" s="243"/>
      <c r="I73" s="243"/>
      <c r="J73" s="243"/>
      <c r="K73" s="243"/>
      <c r="L73" s="243"/>
      <c r="M73" s="125"/>
    </row>
    <row r="74" spans="2:13" x14ac:dyDescent="0.35">
      <c r="B74" s="243"/>
      <c r="C74" s="243"/>
      <c r="D74" s="243"/>
      <c r="E74" s="243"/>
      <c r="F74" s="243"/>
      <c r="G74" s="243"/>
      <c r="H74" s="243"/>
      <c r="I74" s="243"/>
      <c r="J74" s="243"/>
      <c r="K74" s="243"/>
      <c r="L74" s="243"/>
      <c r="M74" s="125"/>
    </row>
    <row r="75" spans="2:13" x14ac:dyDescent="0.35">
      <c r="B75" s="243"/>
      <c r="C75" s="243"/>
      <c r="D75" s="243"/>
      <c r="E75" s="243"/>
      <c r="F75" s="243"/>
      <c r="G75" s="243"/>
      <c r="H75" s="243"/>
      <c r="I75" s="243"/>
      <c r="J75" s="243"/>
      <c r="K75" s="243"/>
      <c r="L75" s="243"/>
      <c r="M75" s="125"/>
    </row>
    <row r="76" spans="2:13" x14ac:dyDescent="0.35"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125"/>
    </row>
    <row r="77" spans="2:13" x14ac:dyDescent="0.35"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125"/>
    </row>
    <row r="78" spans="2:13" x14ac:dyDescent="0.35">
      <c r="B78" s="243"/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125"/>
    </row>
    <row r="79" spans="2:13" x14ac:dyDescent="0.35">
      <c r="B79" s="243"/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125"/>
    </row>
    <row r="80" spans="2:13" x14ac:dyDescent="0.35">
      <c r="B80" s="243"/>
      <c r="C80" s="243"/>
      <c r="D80" s="243"/>
      <c r="E80" s="243"/>
      <c r="F80" s="243"/>
      <c r="G80" s="243"/>
      <c r="H80" s="243"/>
      <c r="I80" s="243"/>
      <c r="J80" s="243"/>
      <c r="K80" s="243"/>
      <c r="L80" s="243"/>
      <c r="M80" s="125"/>
    </row>
    <row r="81" spans="2:13" x14ac:dyDescent="0.35">
      <c r="B81" s="243"/>
      <c r="C81" s="243"/>
      <c r="D81" s="243"/>
      <c r="E81" s="243"/>
      <c r="F81" s="243"/>
      <c r="G81" s="243"/>
      <c r="H81" s="243"/>
      <c r="I81" s="243"/>
      <c r="J81" s="243"/>
      <c r="K81" s="243"/>
      <c r="L81" s="243"/>
      <c r="M81" s="125"/>
    </row>
    <row r="82" spans="2:13" x14ac:dyDescent="0.35"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125"/>
    </row>
    <row r="83" spans="2:13" x14ac:dyDescent="0.35">
      <c r="B83" s="243"/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125"/>
    </row>
    <row r="84" spans="2:13" x14ac:dyDescent="0.35">
      <c r="B84" s="243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125"/>
    </row>
    <row r="85" spans="2:13" x14ac:dyDescent="0.35">
      <c r="B85" s="243"/>
      <c r="C85" s="243"/>
      <c r="D85" s="243"/>
      <c r="E85" s="243"/>
      <c r="F85" s="243"/>
      <c r="G85" s="243"/>
      <c r="H85" s="243"/>
      <c r="I85" s="243"/>
      <c r="J85" s="243"/>
      <c r="K85" s="243"/>
      <c r="L85" s="243"/>
      <c r="M85" s="125"/>
    </row>
    <row r="86" spans="2:13" x14ac:dyDescent="0.35"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125"/>
    </row>
    <row r="87" spans="2:13" x14ac:dyDescent="0.35">
      <c r="B87" s="243"/>
      <c r="C87" s="243"/>
      <c r="D87" s="243"/>
      <c r="E87" s="243"/>
      <c r="F87" s="243"/>
      <c r="G87" s="243"/>
      <c r="H87" s="243"/>
      <c r="I87" s="243"/>
      <c r="J87" s="243"/>
      <c r="K87" s="243"/>
      <c r="L87" s="243"/>
      <c r="M87" s="125"/>
    </row>
    <row r="88" spans="2:13" x14ac:dyDescent="0.35">
      <c r="B88" s="243"/>
      <c r="C88" s="243"/>
      <c r="D88" s="243"/>
      <c r="E88" s="243"/>
      <c r="F88" s="243"/>
      <c r="G88" s="243"/>
      <c r="H88" s="243"/>
      <c r="I88" s="243"/>
      <c r="J88" s="243"/>
      <c r="K88" s="243"/>
      <c r="L88" s="243"/>
      <c r="M88" s="125"/>
    </row>
    <row r="89" spans="2:13" x14ac:dyDescent="0.35">
      <c r="B89" s="243"/>
      <c r="C89" s="243"/>
      <c r="D89" s="243"/>
      <c r="E89" s="243"/>
      <c r="F89" s="243"/>
      <c r="G89" s="243"/>
      <c r="H89" s="243"/>
      <c r="I89" s="243"/>
      <c r="J89" s="243"/>
      <c r="K89" s="243"/>
      <c r="L89" s="243"/>
      <c r="M89" s="125"/>
    </row>
    <row r="90" spans="2:13" x14ac:dyDescent="0.35">
      <c r="B90" s="243"/>
      <c r="C90" s="243"/>
      <c r="D90" s="243"/>
      <c r="E90" s="243"/>
      <c r="F90" s="243"/>
      <c r="G90" s="243"/>
      <c r="H90" s="243"/>
      <c r="I90" s="243"/>
      <c r="J90" s="243"/>
      <c r="K90" s="243"/>
      <c r="L90" s="243"/>
      <c r="M90" s="125"/>
    </row>
    <row r="91" spans="2:13" x14ac:dyDescent="0.35">
      <c r="B91" s="243"/>
      <c r="C91" s="243"/>
      <c r="D91" s="243"/>
      <c r="E91" s="243"/>
      <c r="F91" s="243"/>
      <c r="G91" s="243"/>
      <c r="H91" s="243"/>
      <c r="I91" s="243"/>
      <c r="J91" s="243"/>
      <c r="K91" s="243"/>
      <c r="L91" s="243"/>
      <c r="M91" s="125"/>
    </row>
    <row r="92" spans="2:13" x14ac:dyDescent="0.35">
      <c r="B92" s="243"/>
      <c r="C92" s="243"/>
      <c r="D92" s="243"/>
      <c r="E92" s="243"/>
      <c r="F92" s="243"/>
      <c r="G92" s="243"/>
      <c r="H92" s="243"/>
      <c r="I92" s="243"/>
      <c r="J92" s="243"/>
      <c r="K92" s="243"/>
      <c r="L92" s="243"/>
      <c r="M92" s="125"/>
    </row>
    <row r="93" spans="2:13" x14ac:dyDescent="0.35"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125"/>
    </row>
    <row r="94" spans="2:13" x14ac:dyDescent="0.35"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  <c r="M94" s="125"/>
    </row>
    <row r="95" spans="2:13" x14ac:dyDescent="0.35">
      <c r="B95" s="243"/>
      <c r="C95" s="243"/>
      <c r="D95" s="243"/>
      <c r="E95" s="243"/>
      <c r="F95" s="243"/>
      <c r="G95" s="243"/>
      <c r="H95" s="243"/>
      <c r="I95" s="243"/>
      <c r="J95" s="243"/>
      <c r="K95" s="243"/>
      <c r="L95" s="243"/>
      <c r="M95" s="125"/>
    </row>
    <row r="96" spans="2:13" x14ac:dyDescent="0.35"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  <c r="M96" s="125"/>
    </row>
    <row r="97" spans="2:13" x14ac:dyDescent="0.35"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125"/>
    </row>
    <row r="98" spans="2:13" x14ac:dyDescent="0.35"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3"/>
      <c r="M98" s="125"/>
    </row>
    <row r="99" spans="2:13" x14ac:dyDescent="0.35"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125"/>
    </row>
    <row r="100" spans="2:13" x14ac:dyDescent="0.35"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125"/>
    </row>
    <row r="101" spans="2:13" x14ac:dyDescent="0.35">
      <c r="B101" s="243"/>
      <c r="C101" s="243"/>
      <c r="D101" s="243"/>
      <c r="E101" s="243"/>
      <c r="F101" s="243"/>
      <c r="G101" s="243"/>
      <c r="H101" s="243"/>
      <c r="I101" s="243"/>
      <c r="J101" s="243"/>
      <c r="K101" s="243"/>
      <c r="L101" s="243"/>
      <c r="M101" s="125"/>
    </row>
    <row r="102" spans="2:13" x14ac:dyDescent="0.35">
      <c r="B102" s="243"/>
      <c r="C102" s="243"/>
      <c r="D102" s="243"/>
      <c r="E102" s="243"/>
      <c r="F102" s="243"/>
      <c r="G102" s="243"/>
      <c r="H102" s="243"/>
      <c r="I102" s="243"/>
      <c r="J102" s="243"/>
      <c r="K102" s="243"/>
      <c r="L102" s="243"/>
      <c r="M102" s="125"/>
    </row>
    <row r="103" spans="2:13" x14ac:dyDescent="0.35"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125"/>
    </row>
    <row r="104" spans="2:13" x14ac:dyDescent="0.35">
      <c r="B104" s="243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125"/>
    </row>
    <row r="105" spans="2:13" x14ac:dyDescent="0.35">
      <c r="B105" s="243"/>
      <c r="C105" s="243"/>
      <c r="D105" s="243"/>
      <c r="E105" s="243"/>
      <c r="F105" s="243"/>
      <c r="G105" s="243"/>
      <c r="H105" s="243"/>
      <c r="I105" s="243"/>
      <c r="J105" s="243"/>
      <c r="K105" s="243"/>
      <c r="L105" s="243"/>
      <c r="M105" s="125"/>
    </row>
    <row r="106" spans="2:13" x14ac:dyDescent="0.35">
      <c r="B106" s="243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125"/>
    </row>
    <row r="107" spans="2:13" x14ac:dyDescent="0.35"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125"/>
    </row>
    <row r="108" spans="2:13" x14ac:dyDescent="0.35">
      <c r="B108" s="125"/>
      <c r="C108" s="125"/>
      <c r="D108" s="125"/>
      <c r="E108" s="125"/>
      <c r="K108" s="125"/>
      <c r="L108" s="125"/>
      <c r="M108" s="125"/>
    </row>
    <row r="109" spans="2:13" x14ac:dyDescent="0.35">
      <c r="F109" s="130"/>
      <c r="G109" s="130"/>
      <c r="H109" s="130"/>
      <c r="I109" s="130"/>
      <c r="J109" s="130"/>
    </row>
  </sheetData>
  <mergeCells count="2">
    <mergeCell ref="B2:C7"/>
    <mergeCell ref="D2:N7"/>
  </mergeCells>
  <pageMargins left="0.70866141732283472" right="0.70866141732283472" top="0.35433070866141736" bottom="0.35433070866141736" header="0" footer="0.11811023622047245"/>
  <pageSetup paperSize="9" scale="78" orientation="landscape" r:id="rId1"/>
  <headerFooter>
    <oddHeader xml:space="preserve">&amp;R </oddHeader>
    <oddFooter>&amp;RBy Nikhil Kulkarni MBA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BF0A-33FD-4C76-8B5B-60375DB47574}">
  <sheetPr>
    <tabColor rgb="FF002060"/>
  </sheetPr>
  <dimension ref="A1:U109"/>
  <sheetViews>
    <sheetView showGridLines="0" tabSelected="1" view="pageBreakPreview" zoomScale="55" zoomScaleNormal="59" zoomScaleSheetLayoutView="55" workbookViewId="0">
      <selection activeCell="G72" sqref="G72"/>
    </sheetView>
  </sheetViews>
  <sheetFormatPr defaultRowHeight="14.5" x14ac:dyDescent="0.35"/>
  <cols>
    <col min="1" max="1" width="1.81640625" style="28" customWidth="1"/>
    <col min="2" max="2" width="21.54296875" style="28" customWidth="1"/>
    <col min="3" max="4" width="8.7265625" style="28"/>
    <col min="5" max="5" width="10.453125" style="28" bestFit="1" customWidth="1"/>
    <col min="6" max="8" width="10.453125" style="125" bestFit="1" customWidth="1"/>
    <col min="9" max="9" width="15.36328125" style="125" customWidth="1"/>
    <col min="10" max="10" width="10.453125" style="125" bestFit="1" customWidth="1"/>
    <col min="11" max="16384" width="8.7265625" style="28"/>
  </cols>
  <sheetData>
    <row r="1" spans="1:16" x14ac:dyDescent="0.35">
      <c r="F1" s="28"/>
      <c r="G1" s="28"/>
      <c r="H1" s="28"/>
      <c r="I1" s="28"/>
      <c r="J1" s="28"/>
    </row>
    <row r="2" spans="1:16" x14ac:dyDescent="0.35">
      <c r="B2" s="228"/>
      <c r="C2" s="228"/>
      <c r="D2" s="229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E2" s="229"/>
      <c r="F2" s="229"/>
      <c r="G2" s="229"/>
      <c r="H2" s="229"/>
      <c r="I2" s="229"/>
      <c r="J2" s="229"/>
    </row>
    <row r="3" spans="1:16" x14ac:dyDescent="0.35">
      <c r="B3" s="228"/>
      <c r="C3" s="228"/>
      <c r="D3" s="229"/>
      <c r="E3" s="229"/>
      <c r="F3" s="229"/>
      <c r="G3" s="229"/>
      <c r="H3" s="229"/>
      <c r="I3" s="229"/>
      <c r="J3" s="229"/>
    </row>
    <row r="4" spans="1:16" x14ac:dyDescent="0.35">
      <c r="B4" s="228"/>
      <c r="C4" s="228"/>
      <c r="D4" s="229"/>
      <c r="E4" s="229"/>
      <c r="F4" s="229"/>
      <c r="G4" s="229"/>
      <c r="H4" s="229"/>
      <c r="I4" s="229"/>
      <c r="J4" s="229"/>
    </row>
    <row r="5" spans="1:16" x14ac:dyDescent="0.35">
      <c r="B5" s="228"/>
      <c r="C5" s="228"/>
      <c r="D5" s="229"/>
      <c r="E5" s="229"/>
      <c r="F5" s="229"/>
      <c r="G5" s="229"/>
      <c r="H5" s="229"/>
      <c r="I5" s="229"/>
      <c r="J5" s="229"/>
    </row>
    <row r="6" spans="1:16" x14ac:dyDescent="0.35">
      <c r="B6" s="228"/>
      <c r="C6" s="228"/>
      <c r="D6" s="229"/>
      <c r="E6" s="229"/>
      <c r="F6" s="229"/>
      <c r="G6" s="229"/>
      <c r="H6" s="229"/>
      <c r="I6" s="229"/>
      <c r="J6" s="229"/>
      <c r="K6" s="125"/>
      <c r="L6" s="125"/>
      <c r="M6" s="125"/>
      <c r="N6" s="125"/>
      <c r="O6" s="125"/>
      <c r="P6" s="125"/>
    </row>
    <row r="7" spans="1:16" x14ac:dyDescent="0.35">
      <c r="B7" s="228"/>
      <c r="C7" s="228"/>
      <c r="D7" s="229"/>
      <c r="E7" s="229"/>
      <c r="F7" s="229"/>
      <c r="G7" s="229"/>
      <c r="H7" s="229"/>
      <c r="I7" s="230"/>
      <c r="J7" s="230"/>
      <c r="K7" s="125"/>
      <c r="L7" s="125"/>
      <c r="M7" s="125"/>
      <c r="N7" s="125"/>
      <c r="O7" s="125"/>
      <c r="P7" s="125"/>
    </row>
    <row r="8" spans="1:16" x14ac:dyDescent="0.35">
      <c r="F8" s="28"/>
      <c r="G8" s="28"/>
      <c r="H8" s="28"/>
      <c r="K8" s="125"/>
      <c r="L8" s="125"/>
      <c r="M8" s="125"/>
      <c r="N8" s="125"/>
      <c r="O8" s="125"/>
      <c r="P8" s="125"/>
    </row>
    <row r="9" spans="1:16" ht="15.5" x14ac:dyDescent="0.35">
      <c r="B9" s="231" t="str">
        <f>"Calculation of Intersic Value - "&amp;'Data Sheet'!B1</f>
        <v>Calculation of Intersic Value - EICHER MOTORS LTD</v>
      </c>
      <c r="C9" s="231"/>
      <c r="D9" s="231"/>
      <c r="E9" s="231"/>
      <c r="F9" s="231"/>
      <c r="G9" s="231"/>
      <c r="H9" s="231"/>
      <c r="I9" s="232"/>
      <c r="J9" s="232"/>
      <c r="K9" s="125"/>
      <c r="L9" s="125"/>
      <c r="M9" s="125"/>
      <c r="N9" s="125"/>
      <c r="O9" s="125"/>
      <c r="P9" s="125"/>
    </row>
    <row r="10" spans="1:16" x14ac:dyDescent="0.35">
      <c r="B10" s="65"/>
      <c r="C10" s="65"/>
      <c r="D10" s="65"/>
      <c r="E10" s="65"/>
      <c r="F10" s="65"/>
      <c r="G10" s="65"/>
      <c r="H10" s="65"/>
      <c r="I10" s="65"/>
      <c r="J10" s="65"/>
      <c r="K10" s="125"/>
      <c r="L10" s="125"/>
      <c r="M10" s="125"/>
      <c r="N10" s="125"/>
      <c r="O10" s="125"/>
      <c r="P10" s="125"/>
    </row>
    <row r="11" spans="1:16" ht="15.5" x14ac:dyDescent="0.35">
      <c r="A11" s="28" t="s">
        <v>77</v>
      </c>
      <c r="B11" s="146" t="s">
        <v>256</v>
      </c>
      <c r="C11" s="146"/>
      <c r="D11" s="146"/>
      <c r="E11" s="146">
        <v>43891</v>
      </c>
      <c r="F11" s="146">
        <v>44256</v>
      </c>
      <c r="G11" s="146">
        <v>44621</v>
      </c>
      <c r="H11" s="146">
        <v>44986</v>
      </c>
      <c r="I11" s="146">
        <v>45352</v>
      </c>
      <c r="J11" s="146">
        <v>45717</v>
      </c>
      <c r="K11" s="125"/>
      <c r="L11" s="125"/>
      <c r="M11" s="125"/>
      <c r="N11" s="125"/>
      <c r="O11" s="125"/>
      <c r="P11" s="125"/>
    </row>
    <row r="12" spans="1:16" x14ac:dyDescent="0.35">
      <c r="F12" s="28"/>
      <c r="G12" s="28"/>
      <c r="H12" s="28"/>
      <c r="I12" s="28"/>
      <c r="J12" s="28"/>
      <c r="K12" s="125"/>
      <c r="L12" s="125"/>
      <c r="M12" s="125"/>
      <c r="N12" s="125"/>
      <c r="O12" s="125"/>
      <c r="P12" s="125"/>
    </row>
    <row r="13" spans="1:16" x14ac:dyDescent="0.35">
      <c r="B13" s="83" t="s">
        <v>257</v>
      </c>
      <c r="C13" s="83"/>
      <c r="D13" s="83"/>
      <c r="E13" s="83"/>
      <c r="F13" s="83"/>
      <c r="G13" s="83"/>
      <c r="H13" s="83"/>
      <c r="I13" s="83"/>
      <c r="J13" s="83"/>
      <c r="K13" s="125"/>
      <c r="L13" s="125"/>
      <c r="M13" s="125"/>
      <c r="N13" s="125"/>
      <c r="O13" s="125"/>
      <c r="P13" s="125"/>
    </row>
    <row r="14" spans="1:16" x14ac:dyDescent="0.35">
      <c r="B14" s="65" t="str">
        <f>'Data Room'!B42</f>
        <v>Inventories</v>
      </c>
      <c r="C14" s="65"/>
      <c r="D14" s="65"/>
      <c r="E14" s="65">
        <f>IFERROR('Data Room'!I42,0)</f>
        <v>572</v>
      </c>
      <c r="F14" s="65">
        <f>IFERROR('Data Room'!J42,0)</f>
        <v>875</v>
      </c>
      <c r="G14" s="65">
        <f>IFERROR('Data Room'!K42,0)</f>
        <v>1132</v>
      </c>
      <c r="H14" s="65">
        <f>IFERROR('Data Room'!L42,0)</f>
        <v>1278</v>
      </c>
      <c r="I14" s="65">
        <f>IFERROR('Data Room'!M42,0)</f>
        <v>1410</v>
      </c>
      <c r="J14" s="65">
        <f>IFERROR('Data Room'!N42,0)</f>
        <v>1564</v>
      </c>
      <c r="K14" s="125"/>
      <c r="L14" s="125"/>
      <c r="M14" s="125"/>
      <c r="N14" s="125"/>
      <c r="O14" s="125"/>
      <c r="P14" s="125"/>
    </row>
    <row r="15" spans="1:16" x14ac:dyDescent="0.35">
      <c r="B15" s="65" t="str">
        <f>'Data Room'!B43</f>
        <v>Trade receivables</v>
      </c>
      <c r="C15" s="65"/>
      <c r="D15" s="65"/>
      <c r="E15" s="65">
        <f>IFERROR('Data Room'!I43,0)</f>
        <v>87</v>
      </c>
      <c r="F15" s="65">
        <f>IFERROR('Data Room'!J43,0)</f>
        <v>158</v>
      </c>
      <c r="G15" s="65">
        <f>IFERROR('Data Room'!K43,0)</f>
        <v>302</v>
      </c>
      <c r="H15" s="65">
        <f>IFERROR('Data Room'!L43,0)</f>
        <v>369</v>
      </c>
      <c r="I15" s="65">
        <f>IFERROR('Data Room'!M43,0)</f>
        <v>374</v>
      </c>
      <c r="J15" s="65">
        <f>IFERROR('Data Room'!N43,0)</f>
        <v>550</v>
      </c>
      <c r="K15" s="125"/>
      <c r="L15" s="125"/>
      <c r="M15" s="125"/>
      <c r="N15" s="125"/>
      <c r="O15" s="125"/>
      <c r="P15" s="125"/>
    </row>
    <row r="16" spans="1:16" x14ac:dyDescent="0.35">
      <c r="B16" s="65" t="str">
        <f>'Data Room'!B44</f>
        <v>Cash Equivalents</v>
      </c>
      <c r="C16" s="65"/>
      <c r="D16" s="65"/>
      <c r="E16" s="65">
        <f>IFERROR('Data Room'!I44,0)</f>
        <v>2951</v>
      </c>
      <c r="F16" s="65">
        <f>IFERROR('Data Room'!J44,0)</f>
        <v>5830</v>
      </c>
      <c r="G16" s="65">
        <f>IFERROR('Data Room'!K44,0)</f>
        <v>2722</v>
      </c>
      <c r="H16" s="65">
        <f>IFERROR('Data Room'!L44,0)</f>
        <v>766</v>
      </c>
      <c r="I16" s="65">
        <f>IFERROR('Data Room'!M44,0)</f>
        <v>146</v>
      </c>
      <c r="J16" s="65">
        <f>IFERROR('Data Room'!N44,0)</f>
        <v>263</v>
      </c>
      <c r="K16" s="125"/>
      <c r="L16" s="125"/>
      <c r="M16" s="125"/>
      <c r="N16" s="125"/>
      <c r="O16" s="125"/>
      <c r="P16" s="125"/>
    </row>
    <row r="17" spans="1:21" x14ac:dyDescent="0.35">
      <c r="B17" s="65" t="str">
        <f>'Data Room'!B45</f>
        <v>Loans n Advances</v>
      </c>
      <c r="C17" s="65"/>
      <c r="D17" s="65"/>
      <c r="E17" s="65">
        <f>IFERROR('Data Room'!I45,0)</f>
        <v>99</v>
      </c>
      <c r="F17" s="65">
        <f>IFERROR('Data Room'!J45,0)</f>
        <v>594</v>
      </c>
      <c r="G17" s="65">
        <f>IFERROR('Data Room'!K45,0)</f>
        <v>867</v>
      </c>
      <c r="H17" s="65">
        <f>IFERROR('Data Room'!L45,0)</f>
        <v>835</v>
      </c>
      <c r="I17" s="65">
        <f>IFERROR('Data Room'!M45,0)</f>
        <v>680</v>
      </c>
      <c r="J17" s="65">
        <f>IFERROR('Data Room'!N45,0)</f>
        <v>725</v>
      </c>
      <c r="K17" s="125"/>
      <c r="L17" s="125"/>
      <c r="M17" s="125"/>
      <c r="N17" s="125"/>
      <c r="O17" s="125"/>
      <c r="P17" s="125"/>
    </row>
    <row r="18" spans="1:21" x14ac:dyDescent="0.35">
      <c r="B18" s="65" t="str">
        <f>'Data Room'!B46</f>
        <v>Other asset items</v>
      </c>
      <c r="C18" s="65"/>
      <c r="D18" s="65"/>
      <c r="E18" s="65">
        <f>IFERROR('Data Room'!I46,0)</f>
        <v>303</v>
      </c>
      <c r="F18" s="65">
        <f>IFERROR('Data Room'!J46,0)</f>
        <v>452</v>
      </c>
      <c r="G18" s="65">
        <f>IFERROR('Data Room'!K46,0)</f>
        <v>466</v>
      </c>
      <c r="H18" s="65">
        <f>IFERROR('Data Room'!L46,0)</f>
        <v>467</v>
      </c>
      <c r="I18" s="65">
        <f>IFERROR('Data Room'!M46,0)</f>
        <v>3509</v>
      </c>
      <c r="J18" s="65">
        <f>IFERROR('Data Room'!N46,0)</f>
        <v>5317</v>
      </c>
      <c r="K18" s="125"/>
      <c r="L18" s="125"/>
      <c r="M18" s="125"/>
      <c r="N18" s="125"/>
      <c r="O18" s="125"/>
      <c r="P18" s="125"/>
    </row>
    <row r="19" spans="1:21" x14ac:dyDescent="0.35">
      <c r="A19" s="28" t="s">
        <v>77</v>
      </c>
      <c r="B19" s="256" t="s">
        <v>258</v>
      </c>
      <c r="C19" s="256"/>
      <c r="D19" s="256"/>
      <c r="E19" s="256">
        <f>SUM(E14:E18)</f>
        <v>4012</v>
      </c>
      <c r="F19" s="256">
        <f t="shared" ref="F19:J19" si="0">SUM(F14:F18)</f>
        <v>7909</v>
      </c>
      <c r="G19" s="256">
        <f t="shared" si="0"/>
        <v>5489</v>
      </c>
      <c r="H19" s="256">
        <f t="shared" si="0"/>
        <v>3715</v>
      </c>
      <c r="I19" s="256">
        <f t="shared" si="0"/>
        <v>6119</v>
      </c>
      <c r="J19" s="256">
        <f t="shared" si="0"/>
        <v>8419</v>
      </c>
      <c r="K19" s="125"/>
      <c r="L19" s="125"/>
      <c r="M19" s="125"/>
      <c r="N19" s="125"/>
      <c r="O19" s="125"/>
      <c r="P19" s="125"/>
    </row>
    <row r="20" spans="1:21" x14ac:dyDescent="0.35">
      <c r="B20" s="125"/>
      <c r="C20" s="125"/>
      <c r="D20" s="125"/>
      <c r="E20" s="125"/>
      <c r="K20" s="125"/>
      <c r="L20" s="125"/>
      <c r="M20" s="125"/>
      <c r="N20" s="125"/>
      <c r="O20" s="125"/>
      <c r="P20" s="125"/>
    </row>
    <row r="21" spans="1:21" x14ac:dyDescent="0.35">
      <c r="B21" s="345" t="s">
        <v>259</v>
      </c>
      <c r="C21" s="83"/>
      <c r="D21" s="83"/>
      <c r="E21" s="83"/>
      <c r="F21" s="83"/>
      <c r="G21" s="83"/>
      <c r="H21" s="83"/>
      <c r="I21" s="83"/>
      <c r="J21" s="83"/>
      <c r="K21" s="125"/>
      <c r="L21" s="125"/>
      <c r="M21" s="125"/>
      <c r="N21" s="125"/>
      <c r="O21" s="125"/>
      <c r="P21" s="125"/>
    </row>
    <row r="22" spans="1:21" x14ac:dyDescent="0.35">
      <c r="B22" s="65" t="str">
        <f>'Data Room'!B20</f>
        <v>Trade Payables</v>
      </c>
      <c r="C22" s="65"/>
      <c r="D22" s="65"/>
      <c r="E22" s="65">
        <f>IFERROR('Data Room'!I20,0)</f>
        <v>1008</v>
      </c>
      <c r="F22" s="65">
        <f>IFERROR('Data Room'!J20,0)</f>
        <v>1513</v>
      </c>
      <c r="G22" s="65">
        <f>IFERROR('Data Room'!K20,0)</f>
        <v>1788</v>
      </c>
      <c r="H22" s="65">
        <f>IFERROR('Data Room'!L20,0)</f>
        <v>1810</v>
      </c>
      <c r="I22" s="65">
        <f>IFERROR('Data Room'!M20,0)</f>
        <v>2090</v>
      </c>
      <c r="J22" s="65">
        <f>IFERROR('Data Room'!N20,0)</f>
        <v>2530</v>
      </c>
      <c r="K22" s="125"/>
      <c r="L22" s="125"/>
      <c r="M22" s="125"/>
      <c r="N22" s="125"/>
      <c r="O22" s="125"/>
      <c r="P22" s="125"/>
    </row>
    <row r="23" spans="1:21" x14ac:dyDescent="0.35">
      <c r="B23" s="65" t="str">
        <f>'Data Room'!B21</f>
        <v>Advance from Customers</v>
      </c>
      <c r="C23" s="65"/>
      <c r="D23" s="65"/>
      <c r="E23" s="65">
        <f>IFERROR('Data Room'!I21,0)</f>
        <v>61</v>
      </c>
      <c r="F23" s="65">
        <f>IFERROR('Data Room'!J21,0)</f>
        <v>137</v>
      </c>
      <c r="G23" s="65">
        <f>IFERROR('Data Room'!K21,0)</f>
        <v>148</v>
      </c>
      <c r="H23" s="65">
        <f>IFERROR('Data Room'!L21,0)</f>
        <v>126</v>
      </c>
      <c r="I23" s="65">
        <f>IFERROR('Data Room'!M21,0)</f>
        <v>0</v>
      </c>
      <c r="J23" s="65">
        <f>IFERROR('Data Room'!N21,0)</f>
        <v>0</v>
      </c>
      <c r="K23" s="125"/>
      <c r="L23" s="125"/>
      <c r="M23" s="125"/>
      <c r="N23" s="125"/>
      <c r="O23" s="125"/>
      <c r="P23" s="125"/>
    </row>
    <row r="24" spans="1:21" x14ac:dyDescent="0.35">
      <c r="B24" s="65" t="str">
        <f>'Data Room'!B22</f>
        <v>Other liability items</v>
      </c>
      <c r="C24" s="65"/>
      <c r="D24" s="65"/>
      <c r="E24" s="65">
        <f>IFERROR('Data Room'!I22,0)</f>
        <v>1151</v>
      </c>
      <c r="F24" s="65">
        <f>IFERROR('Data Room'!J22,0)</f>
        <v>1251</v>
      </c>
      <c r="G24" s="65">
        <f>IFERROR('Data Room'!K22,0)</f>
        <v>1488</v>
      </c>
      <c r="H24" s="65">
        <f>IFERROR('Data Room'!L22,0)</f>
        <v>1982</v>
      </c>
      <c r="I24" s="65">
        <f>IFERROR('Data Room'!M22,0)</f>
        <v>2560</v>
      </c>
      <c r="J24" s="65">
        <f>IFERROR('Data Room'!N22,0)</f>
        <v>2890</v>
      </c>
      <c r="K24" s="125"/>
      <c r="L24" s="125"/>
      <c r="M24" s="125"/>
      <c r="N24" s="125"/>
      <c r="O24" s="125"/>
      <c r="P24" s="125"/>
    </row>
    <row r="25" spans="1:21" x14ac:dyDescent="0.35">
      <c r="B25" s="65" t="str">
        <f>'Data Room'!B23</f>
        <v>Total Liabilities</v>
      </c>
      <c r="C25" s="65"/>
      <c r="D25" s="65"/>
      <c r="E25" s="65">
        <f>IFERROR('Data Room'!I23,0)</f>
        <v>12450</v>
      </c>
      <c r="F25" s="65">
        <f>IFERROR('Data Room'!J23,0)</f>
        <v>14559</v>
      </c>
      <c r="G25" s="65">
        <f>IFERROR('Data Room'!K23,0)</f>
        <v>16140</v>
      </c>
      <c r="H25" s="65">
        <f>IFERROR('Data Room'!L23,0)</f>
        <v>19198</v>
      </c>
      <c r="I25" s="65">
        <f>IFERROR('Data Room'!M23,0)</f>
        <v>23115</v>
      </c>
      <c r="J25" s="65">
        <f>IFERROR('Data Room'!N23,0)</f>
        <v>27174</v>
      </c>
      <c r="K25" s="125"/>
      <c r="L25" s="125"/>
      <c r="M25" s="125"/>
      <c r="N25" s="125"/>
      <c r="O25" s="125"/>
      <c r="P25" s="125"/>
    </row>
    <row r="26" spans="1:21" x14ac:dyDescent="0.35">
      <c r="B26" s="256" t="s">
        <v>261</v>
      </c>
      <c r="C26" s="256"/>
      <c r="D26" s="256"/>
      <c r="E26" s="256">
        <f>IFERROR(SUM(E22:E25),0)</f>
        <v>14670</v>
      </c>
      <c r="F26" s="256">
        <f t="shared" ref="F26:J26" si="1">IFERROR(SUM(F22:F25),0)</f>
        <v>17460</v>
      </c>
      <c r="G26" s="256">
        <f t="shared" si="1"/>
        <v>19564</v>
      </c>
      <c r="H26" s="256">
        <f t="shared" si="1"/>
        <v>23116</v>
      </c>
      <c r="I26" s="256">
        <f t="shared" si="1"/>
        <v>27765</v>
      </c>
      <c r="J26" s="256">
        <f t="shared" si="1"/>
        <v>32594</v>
      </c>
      <c r="K26" s="125"/>
      <c r="L26" s="125"/>
      <c r="M26" s="125"/>
      <c r="N26" s="125"/>
      <c r="O26" s="125"/>
      <c r="P26" s="125"/>
    </row>
    <row r="27" spans="1:21" x14ac:dyDescent="0.35">
      <c r="B27" s="125"/>
      <c r="C27" s="125"/>
      <c r="D27" s="125"/>
      <c r="E27" s="125"/>
      <c r="K27" s="125"/>
      <c r="L27" s="125"/>
      <c r="M27" s="125"/>
      <c r="N27" s="125"/>
      <c r="O27" s="125"/>
      <c r="P27" s="125"/>
    </row>
    <row r="28" spans="1:21" x14ac:dyDescent="0.35">
      <c r="A28" s="28" t="s">
        <v>77</v>
      </c>
      <c r="B28" s="385" t="s">
        <v>260</v>
      </c>
      <c r="C28" s="386"/>
      <c r="D28" s="386"/>
      <c r="E28" s="386">
        <f>E19-E26</f>
        <v>-10658</v>
      </c>
      <c r="F28" s="386">
        <f t="shared" ref="F28:J28" si="2">F19-F26</f>
        <v>-9551</v>
      </c>
      <c r="G28" s="386">
        <f t="shared" si="2"/>
        <v>-14075</v>
      </c>
      <c r="H28" s="386">
        <f t="shared" si="2"/>
        <v>-19401</v>
      </c>
      <c r="I28" s="386">
        <f t="shared" si="2"/>
        <v>-21646</v>
      </c>
      <c r="J28" s="386">
        <f t="shared" si="2"/>
        <v>-24175</v>
      </c>
      <c r="K28" s="125"/>
      <c r="L28" s="125"/>
      <c r="M28" s="125"/>
      <c r="N28" s="125"/>
      <c r="O28" s="125"/>
      <c r="P28" s="125"/>
    </row>
    <row r="29" spans="1:21" x14ac:dyDescent="0.35">
      <c r="B29" s="125"/>
      <c r="C29" s="125"/>
      <c r="D29" s="125"/>
      <c r="E29" s="125"/>
      <c r="K29" s="152"/>
      <c r="L29" s="152"/>
      <c r="M29" s="152"/>
      <c r="N29" s="152"/>
      <c r="O29" s="152"/>
      <c r="P29" s="152"/>
    </row>
    <row r="30" spans="1:21" x14ac:dyDescent="0.35">
      <c r="B30" s="355" t="s">
        <v>262</v>
      </c>
      <c r="C30" s="125"/>
      <c r="D30" s="125"/>
      <c r="E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</row>
    <row r="31" spans="1:21" x14ac:dyDescent="0.35">
      <c r="B31" s="83" t="str">
        <f>'Data Room'!B26</f>
        <v>Land</v>
      </c>
      <c r="C31" s="83"/>
      <c r="D31" s="83"/>
      <c r="E31" s="83">
        <f>IFERROR('Data Room'!I26,0)</f>
        <v>182</v>
      </c>
      <c r="F31" s="83">
        <f>IFERROR('Data Room'!J26,0)</f>
        <v>232</v>
      </c>
      <c r="G31" s="83">
        <f>IFERROR('Data Room'!K26,0)</f>
        <v>230</v>
      </c>
      <c r="H31" s="83">
        <f>IFERROR('Data Room'!L26,0)</f>
        <v>230</v>
      </c>
      <c r="I31" s="83">
        <f>IFERROR('Data Room'!M26,0)</f>
        <v>227</v>
      </c>
      <c r="J31" s="83">
        <f>IFERROR('Data Room'!N26,0)</f>
        <v>226</v>
      </c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</row>
    <row r="32" spans="1:21" x14ac:dyDescent="0.35">
      <c r="B32" s="65" t="str">
        <f>'Data Room'!B27</f>
        <v>Building</v>
      </c>
      <c r="C32" s="65"/>
      <c r="D32" s="65"/>
      <c r="E32" s="65">
        <f>IFERROR('Data Room'!I27,0)</f>
        <v>871</v>
      </c>
      <c r="F32" s="65">
        <f>IFERROR('Data Room'!J27,0)</f>
        <v>866</v>
      </c>
      <c r="G32" s="65">
        <f>IFERROR('Data Room'!K27,0)</f>
        <v>867</v>
      </c>
      <c r="H32" s="65">
        <f>IFERROR('Data Room'!L27,0)</f>
        <v>1051</v>
      </c>
      <c r="I32" s="65">
        <f>IFERROR('Data Room'!M27,0)</f>
        <v>1086</v>
      </c>
      <c r="J32" s="65">
        <f>IFERROR('Data Room'!N27,0)</f>
        <v>1396</v>
      </c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</row>
    <row r="33" spans="1:21" x14ac:dyDescent="0.35">
      <c r="B33" s="65" t="str">
        <f>'Data Room'!B28</f>
        <v>Plant Machinery</v>
      </c>
      <c r="C33" s="65"/>
      <c r="D33" s="65"/>
      <c r="E33" s="65">
        <f>IFERROR('Data Room'!I28,0)</f>
        <v>1928</v>
      </c>
      <c r="F33" s="65">
        <f>IFERROR('Data Room'!J28,0)</f>
        <v>2088</v>
      </c>
      <c r="G33" s="65">
        <f>IFERROR('Data Room'!K28,0)</f>
        <v>2336</v>
      </c>
      <c r="H33" s="65">
        <f>IFERROR('Data Room'!L28,0)</f>
        <v>2598</v>
      </c>
      <c r="I33" s="65">
        <f>IFERROR('Data Room'!M28,0)</f>
        <v>2744</v>
      </c>
      <c r="J33" s="65">
        <f>IFERROR('Data Room'!N28,0)</f>
        <v>3055</v>
      </c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</row>
    <row r="34" spans="1:21" x14ac:dyDescent="0.35">
      <c r="B34" s="65" t="str">
        <f>'Data Room'!B29</f>
        <v>Equipments</v>
      </c>
      <c r="C34" s="65"/>
      <c r="D34" s="65"/>
      <c r="E34" s="65">
        <f>IFERROR('Data Room'!I29,0)</f>
        <v>188</v>
      </c>
      <c r="F34" s="65">
        <f>IFERROR('Data Room'!J29,0)</f>
        <v>204</v>
      </c>
      <c r="G34" s="65">
        <f>IFERROR('Data Room'!K29,0)</f>
        <v>226</v>
      </c>
      <c r="H34" s="65">
        <f>IFERROR('Data Room'!L29,0)</f>
        <v>266</v>
      </c>
      <c r="I34" s="65">
        <f>IFERROR('Data Room'!M29,0)</f>
        <v>231</v>
      </c>
      <c r="J34" s="65">
        <f>IFERROR('Data Room'!N29,0)</f>
        <v>273</v>
      </c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</row>
    <row r="35" spans="1:21" x14ac:dyDescent="0.35">
      <c r="B35" s="65" t="str">
        <f>'Data Room'!B30</f>
        <v>Furniture n fittings</v>
      </c>
      <c r="C35" s="66"/>
      <c r="D35" s="66"/>
      <c r="E35" s="65">
        <f>IFERROR('Data Room'!I30,0)</f>
        <v>34</v>
      </c>
      <c r="F35" s="65">
        <f>IFERROR('Data Room'!J30,0)</f>
        <v>38</v>
      </c>
      <c r="G35" s="65">
        <f>IFERROR('Data Room'!K30,0)</f>
        <v>37</v>
      </c>
      <c r="H35" s="65">
        <f>IFERROR('Data Room'!L30,0)</f>
        <v>39</v>
      </c>
      <c r="I35" s="65">
        <f>IFERROR('Data Room'!M30,0)</f>
        <v>42</v>
      </c>
      <c r="J35" s="65">
        <f>IFERROR('Data Room'!N30,0)</f>
        <v>44</v>
      </c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</row>
    <row r="36" spans="1:21" x14ac:dyDescent="0.35">
      <c r="B36" s="65" t="str">
        <f>'Data Room'!B31</f>
        <v>Vehicles</v>
      </c>
      <c r="C36" s="65"/>
      <c r="D36" s="65"/>
      <c r="E36" s="65">
        <f>IFERROR('Data Room'!I31,0)</f>
        <v>81</v>
      </c>
      <c r="F36" s="65">
        <f>IFERROR('Data Room'!J31,0)</f>
        <v>97</v>
      </c>
      <c r="G36" s="65">
        <f>IFERROR('Data Room'!K31,0)</f>
        <v>122</v>
      </c>
      <c r="H36" s="65">
        <f>IFERROR('Data Room'!L31,0)</f>
        <v>137</v>
      </c>
      <c r="I36" s="65">
        <f>IFERROR('Data Room'!M31,0)</f>
        <v>180</v>
      </c>
      <c r="J36" s="65">
        <f>IFERROR('Data Room'!N31,0)</f>
        <v>224</v>
      </c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</row>
    <row r="37" spans="1:21" x14ac:dyDescent="0.35">
      <c r="B37" s="65" t="str">
        <f>'Data Room'!B32</f>
        <v>Intangible Assets</v>
      </c>
      <c r="C37" s="65"/>
      <c r="D37" s="65"/>
      <c r="E37" s="65">
        <f>IFERROR('Data Room'!I32,0)</f>
        <v>0</v>
      </c>
      <c r="F37" s="65">
        <f>IFERROR('Data Room'!J32,0)</f>
        <v>0</v>
      </c>
      <c r="G37" s="65">
        <f>IFERROR('Data Room'!K32,0)</f>
        <v>0</v>
      </c>
      <c r="H37" s="65">
        <f>IFERROR('Data Room'!L32,0)</f>
        <v>0</v>
      </c>
      <c r="I37" s="65">
        <f>IFERROR('Data Room'!M32,0)</f>
        <v>0</v>
      </c>
      <c r="J37" s="65">
        <f>IFERROR('Data Room'!N32,0)</f>
        <v>0</v>
      </c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</row>
    <row r="38" spans="1:21" x14ac:dyDescent="0.35">
      <c r="B38" s="255" t="str">
        <f>'Data Room'!B33</f>
        <v>Other fixed assets</v>
      </c>
      <c r="C38" s="255"/>
      <c r="D38" s="255"/>
      <c r="E38" s="255">
        <f>IFERROR('Data Room'!I33,0)</f>
        <v>301</v>
      </c>
      <c r="F38" s="255">
        <f>IFERROR('Data Room'!J33,0)</f>
        <v>523</v>
      </c>
      <c r="G38" s="255">
        <f>IFERROR('Data Room'!K33,0)</f>
        <v>588</v>
      </c>
      <c r="H38" s="255">
        <f>IFERROR('Data Room'!L33,0)</f>
        <v>820</v>
      </c>
      <c r="I38" s="255">
        <f>IFERROR('Data Room'!M33,0)</f>
        <v>1177</v>
      </c>
      <c r="J38" s="255">
        <f>IFERROR('Data Room'!N33,0)</f>
        <v>1501</v>
      </c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</row>
    <row r="39" spans="1:21" ht="8" customHeight="1" x14ac:dyDescent="0.35">
      <c r="B39" s="125"/>
      <c r="C39" s="125"/>
      <c r="D39" s="125"/>
      <c r="E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</row>
    <row r="40" spans="1:21" x14ac:dyDescent="0.35">
      <c r="B40" s="345" t="s">
        <v>245</v>
      </c>
      <c r="C40" s="345"/>
      <c r="D40" s="345"/>
      <c r="E40" s="345">
        <f>IFERROR(SUM(E31:E38),0)</f>
        <v>3585</v>
      </c>
      <c r="F40" s="345">
        <f>IFERROR(SUM(F31:F38),0)</f>
        <v>4048</v>
      </c>
      <c r="G40" s="345">
        <f t="shared" ref="G40:J40" si="3">IFERROR(SUM(G31:G38),0)</f>
        <v>4406</v>
      </c>
      <c r="H40" s="345">
        <f t="shared" si="3"/>
        <v>5141</v>
      </c>
      <c r="I40" s="345">
        <f t="shared" si="3"/>
        <v>5687</v>
      </c>
      <c r="J40" s="345">
        <f t="shared" si="3"/>
        <v>6719</v>
      </c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</row>
    <row r="41" spans="1:21" x14ac:dyDescent="0.35">
      <c r="B41" s="65" t="s">
        <v>263</v>
      </c>
      <c r="C41" s="65"/>
      <c r="D41" s="65"/>
      <c r="E41" s="65">
        <f>-'Data Room'!I35</f>
        <v>-1208</v>
      </c>
      <c r="F41" s="65">
        <f>-'Data Room'!J35</f>
        <v>-1616</v>
      </c>
      <c r="G41" s="65">
        <f>-'Data Room'!K35</f>
        <v>-1981</v>
      </c>
      <c r="H41" s="65">
        <f>-'Data Room'!L35</f>
        <v>-2452</v>
      </c>
      <c r="I41" s="65">
        <f>-'Data Room'!M35</f>
        <v>-2772</v>
      </c>
      <c r="J41" s="65">
        <f>-'Data Room'!N35</f>
        <v>-3245</v>
      </c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</row>
    <row r="42" spans="1:21" x14ac:dyDescent="0.35">
      <c r="B42" s="66" t="s">
        <v>264</v>
      </c>
      <c r="C42" s="65"/>
      <c r="D42" s="65"/>
      <c r="E42" s="65">
        <f>E40+E41</f>
        <v>2377</v>
      </c>
      <c r="F42" s="65">
        <f t="shared" ref="F42:J42" si="4">F40+F41</f>
        <v>2432</v>
      </c>
      <c r="G42" s="65">
        <f t="shared" si="4"/>
        <v>2425</v>
      </c>
      <c r="H42" s="65">
        <f t="shared" si="4"/>
        <v>2689</v>
      </c>
      <c r="I42" s="65">
        <f t="shared" si="4"/>
        <v>2915</v>
      </c>
      <c r="J42" s="65">
        <f t="shared" si="4"/>
        <v>3474</v>
      </c>
      <c r="K42" s="125"/>
      <c r="L42" s="125"/>
      <c r="M42" s="125" t="s">
        <v>265</v>
      </c>
      <c r="N42" s="125"/>
      <c r="O42" s="125"/>
      <c r="P42" s="125"/>
      <c r="Q42" s="125"/>
      <c r="R42" s="125"/>
      <c r="S42" s="125"/>
      <c r="T42" s="125"/>
      <c r="U42" s="125"/>
    </row>
    <row r="43" spans="1:21" x14ac:dyDescent="0.35">
      <c r="B43" s="65" t="s">
        <v>265</v>
      </c>
      <c r="C43" s="65"/>
      <c r="D43" s="65"/>
      <c r="E43" s="65"/>
      <c r="F43" s="65"/>
      <c r="G43" s="65"/>
      <c r="H43" s="65"/>
      <c r="I43" s="65"/>
      <c r="J43" s="6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</row>
    <row r="44" spans="1:21" x14ac:dyDescent="0.35">
      <c r="A44" s="28" t="s">
        <v>77</v>
      </c>
      <c r="B44" s="66" t="s">
        <v>266</v>
      </c>
      <c r="C44" s="66"/>
      <c r="D44" s="66"/>
      <c r="E44" s="66">
        <f>E42+E28</f>
        <v>-8281</v>
      </c>
      <c r="F44" s="66">
        <f t="shared" ref="F44:J44" si="5">F42+F28</f>
        <v>-7119</v>
      </c>
      <c r="G44" s="66">
        <f t="shared" si="5"/>
        <v>-11650</v>
      </c>
      <c r="H44" s="66">
        <f t="shared" si="5"/>
        <v>-16712</v>
      </c>
      <c r="I44" s="66">
        <f t="shared" si="5"/>
        <v>-18731</v>
      </c>
      <c r="J44" s="66">
        <f t="shared" si="5"/>
        <v>-20701</v>
      </c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</row>
    <row r="45" spans="1:21" x14ac:dyDescent="0.35">
      <c r="B45" s="256" t="s">
        <v>267</v>
      </c>
      <c r="C45" s="256"/>
      <c r="D45" s="256"/>
      <c r="E45" s="256">
        <f>'Historical IFS'!H33+'Historical IFS'!H27</f>
        <v>1126.546426462241</v>
      </c>
      <c r="F45" s="256">
        <f>'Historical IFS'!I33+'Historical IFS'!I27</f>
        <v>1577.004290369913</v>
      </c>
      <c r="G45" s="256">
        <f>'Historical IFS'!J33+'Historical IFS'!J27</f>
        <v>2856.2216242146274</v>
      </c>
      <c r="H45" s="256">
        <f>'Historical IFS'!K33+'Historical IFS'!K27</f>
        <v>3534.7007832228019</v>
      </c>
      <c r="I45" s="256">
        <f>'Historical IFS'!L33+'Historical IFS'!L27</f>
        <v>3829.6884708285725</v>
      </c>
      <c r="J45" s="256">
        <f>'Historical IFS'!M33+'Historical IFS'!M27</f>
        <v>62.989999999999995</v>
      </c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</row>
    <row r="46" spans="1:21" x14ac:dyDescent="0.35">
      <c r="B46" s="125"/>
      <c r="C46" s="125"/>
      <c r="D46" s="125"/>
      <c r="E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</row>
    <row r="47" spans="1:21" x14ac:dyDescent="0.35">
      <c r="A47" s="28" t="s">
        <v>77</v>
      </c>
      <c r="B47" s="83" t="s">
        <v>268</v>
      </c>
      <c r="C47" s="83"/>
      <c r="D47" s="83"/>
      <c r="E47" s="56">
        <f>E45/E44</f>
        <v>-0.13603990175851238</v>
      </c>
      <c r="F47" s="56">
        <f t="shared" ref="F47:J47" si="6">F45/F44</f>
        <v>-0.2215204790518209</v>
      </c>
      <c r="G47" s="56">
        <f t="shared" si="6"/>
        <v>-0.24516923813001093</v>
      </c>
      <c r="H47" s="56">
        <f t="shared" si="6"/>
        <v>-0.21150674863707528</v>
      </c>
      <c r="I47" s="56">
        <f t="shared" si="6"/>
        <v>-0.20445723510910108</v>
      </c>
      <c r="J47" s="56">
        <f t="shared" si="6"/>
        <v>-3.0428481715859134E-3</v>
      </c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</row>
    <row r="48" spans="1:21" ht="7" customHeight="1" x14ac:dyDescent="0.35">
      <c r="B48" s="65"/>
      <c r="C48" s="65"/>
      <c r="D48" s="65"/>
      <c r="E48" s="65"/>
      <c r="F48" s="65"/>
      <c r="G48" s="65"/>
      <c r="H48" s="65"/>
      <c r="I48" s="65"/>
      <c r="J48" s="6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</row>
    <row r="49" spans="2:21" ht="15.5" x14ac:dyDescent="0.35">
      <c r="B49" s="146" t="s">
        <v>269</v>
      </c>
      <c r="C49" s="146"/>
      <c r="D49" s="146"/>
      <c r="E49" s="146">
        <v>43891</v>
      </c>
      <c r="F49" s="146">
        <v>44256</v>
      </c>
      <c r="G49" s="146">
        <v>44621</v>
      </c>
      <c r="H49" s="146">
        <v>44986</v>
      </c>
      <c r="I49" s="146">
        <v>45352</v>
      </c>
      <c r="J49" s="146">
        <v>45717</v>
      </c>
      <c r="K49" s="125"/>
      <c r="L49" s="125"/>
      <c r="M49" s="125"/>
      <c r="N49" s="125" t="s">
        <v>276</v>
      </c>
      <c r="O49" s="125"/>
      <c r="P49" s="125"/>
      <c r="Q49" s="125"/>
      <c r="R49" s="125"/>
      <c r="S49" s="125"/>
      <c r="T49" s="125"/>
      <c r="U49" s="125"/>
    </row>
    <row r="50" spans="2:21" x14ac:dyDescent="0.35">
      <c r="B50" s="65"/>
      <c r="C50" s="65"/>
      <c r="D50" s="65"/>
      <c r="E50" s="65"/>
      <c r="F50" s="65"/>
      <c r="G50" s="65"/>
      <c r="H50" s="65"/>
      <c r="I50" s="65"/>
      <c r="J50" s="6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</row>
    <row r="51" spans="2:21" x14ac:dyDescent="0.35">
      <c r="B51" s="83" t="s">
        <v>270</v>
      </c>
      <c r="C51" s="83"/>
      <c r="D51" s="83"/>
      <c r="E51" s="83">
        <f>-SUM('Forcasting data '!G23:G24)</f>
        <v>545</v>
      </c>
      <c r="F51" s="83">
        <f>-SUM('Forcasting data '!H23:H24)</f>
        <v>515</v>
      </c>
      <c r="G51" s="83">
        <f>-SUM('Forcasting data '!I23:I24)</f>
        <v>639</v>
      </c>
      <c r="H51" s="83">
        <f>-SUM('Forcasting data '!J23:J24)</f>
        <v>673</v>
      </c>
      <c r="I51" s="83">
        <f>-SUM('Forcasting data '!K23:K24)</f>
        <v>815</v>
      </c>
      <c r="J51" s="83">
        <f>-SUM('Forcasting data '!L23:L24)</f>
        <v>1028</v>
      </c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</row>
    <row r="52" spans="2:21" x14ac:dyDescent="0.35">
      <c r="B52" s="255" t="s">
        <v>271</v>
      </c>
      <c r="C52" s="255"/>
      <c r="D52" s="255"/>
      <c r="E52" s="255"/>
      <c r="F52" s="255">
        <f>F28-E28</f>
        <v>1107</v>
      </c>
      <c r="G52" s="255">
        <f t="shared" ref="G52:J52" si="7">G28-F28</f>
        <v>-4524</v>
      </c>
      <c r="H52" s="255">
        <f t="shared" si="7"/>
        <v>-5326</v>
      </c>
      <c r="I52" s="255">
        <f t="shared" si="7"/>
        <v>-2245</v>
      </c>
      <c r="J52" s="255">
        <f t="shared" si="7"/>
        <v>-2529</v>
      </c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</row>
    <row r="53" spans="2:21" x14ac:dyDescent="0.35">
      <c r="B53" s="125"/>
      <c r="C53" s="125"/>
      <c r="D53" s="125"/>
      <c r="E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</row>
    <row r="54" spans="2:21" x14ac:dyDescent="0.35">
      <c r="B54" s="83" t="s">
        <v>267</v>
      </c>
      <c r="C54" s="83"/>
      <c r="D54" s="83"/>
      <c r="E54" s="83">
        <f>E45</f>
        <v>1126.546426462241</v>
      </c>
      <c r="F54" s="83">
        <f t="shared" ref="F54:J54" si="8">F45</f>
        <v>1577.004290369913</v>
      </c>
      <c r="G54" s="83">
        <f t="shared" si="8"/>
        <v>2856.2216242146274</v>
      </c>
      <c r="H54" s="83">
        <f t="shared" si="8"/>
        <v>3534.7007832228019</v>
      </c>
      <c r="I54" s="83">
        <f t="shared" si="8"/>
        <v>3829.6884708285725</v>
      </c>
      <c r="J54" s="83">
        <f t="shared" si="8"/>
        <v>62.989999999999995</v>
      </c>
      <c r="K54" s="125"/>
      <c r="L54" s="125" t="s">
        <v>265</v>
      </c>
      <c r="M54" s="125"/>
      <c r="N54" s="125"/>
      <c r="O54" s="125"/>
      <c r="P54" s="125"/>
      <c r="Q54" s="125"/>
      <c r="R54" s="125"/>
      <c r="S54" s="125"/>
      <c r="T54" s="125"/>
      <c r="U54" s="125"/>
    </row>
    <row r="55" spans="2:21" x14ac:dyDescent="0.35">
      <c r="B55" s="65" t="s">
        <v>272</v>
      </c>
      <c r="C55" s="65"/>
      <c r="D55" s="65"/>
      <c r="E55" s="138">
        <v>0.25</v>
      </c>
      <c r="F55" s="138">
        <v>0.25</v>
      </c>
      <c r="G55" s="138">
        <v>0.25</v>
      </c>
      <c r="H55" s="138">
        <v>0.25</v>
      </c>
      <c r="I55" s="138">
        <v>0.25</v>
      </c>
      <c r="J55" s="138">
        <v>0.25</v>
      </c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</row>
    <row r="56" spans="2:21" x14ac:dyDescent="0.35">
      <c r="B56" s="65" t="s">
        <v>275</v>
      </c>
      <c r="C56" s="65"/>
      <c r="D56" s="65"/>
      <c r="E56" s="76">
        <f>E54*E55</f>
        <v>281.63660661556025</v>
      </c>
      <c r="F56" s="76">
        <f t="shared" ref="F56:J56" si="9">F54*F55</f>
        <v>394.25107259247824</v>
      </c>
      <c r="G56" s="76">
        <f t="shared" si="9"/>
        <v>714.05540605365684</v>
      </c>
      <c r="H56" s="76">
        <f t="shared" si="9"/>
        <v>883.67519580570047</v>
      </c>
      <c r="I56" s="76">
        <f t="shared" si="9"/>
        <v>957.42211770714312</v>
      </c>
      <c r="J56" s="76">
        <f t="shared" si="9"/>
        <v>15.747499999999999</v>
      </c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</row>
    <row r="57" spans="2:21" x14ac:dyDescent="0.35">
      <c r="B57" s="130"/>
      <c r="C57" s="130"/>
      <c r="D57" s="130"/>
      <c r="E57" s="130"/>
      <c r="F57" s="130"/>
      <c r="G57" s="130"/>
      <c r="H57" s="130"/>
      <c r="I57" s="130"/>
      <c r="J57" s="130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</row>
    <row r="58" spans="2:21" x14ac:dyDescent="0.35">
      <c r="B58" s="152" t="s">
        <v>273</v>
      </c>
      <c r="C58" s="152"/>
      <c r="D58" s="152"/>
      <c r="E58" s="152"/>
      <c r="F58" s="152">
        <f>SUM(F51:F52)</f>
        <v>1622</v>
      </c>
      <c r="G58" s="152">
        <f t="shared" ref="G58:J58" si="10">SUM(G51:G52)</f>
        <v>-3885</v>
      </c>
      <c r="H58" s="152">
        <f t="shared" si="10"/>
        <v>-4653</v>
      </c>
      <c r="I58" s="152">
        <f t="shared" si="10"/>
        <v>-1430</v>
      </c>
      <c r="J58" s="152">
        <f t="shared" si="10"/>
        <v>-1501</v>
      </c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</row>
    <row r="59" spans="2:21" x14ac:dyDescent="0.35">
      <c r="B59" s="65"/>
      <c r="C59" s="65"/>
      <c r="D59" s="65"/>
      <c r="E59" s="65"/>
      <c r="F59" s="65"/>
      <c r="G59" s="65"/>
      <c r="H59" s="65"/>
      <c r="I59" s="65"/>
      <c r="J59" s="6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</row>
    <row r="60" spans="2:21" x14ac:dyDescent="0.35">
      <c r="B60" s="66" t="s">
        <v>274</v>
      </c>
      <c r="C60" s="66"/>
      <c r="D60" s="66"/>
      <c r="E60" s="66"/>
      <c r="F60" s="116">
        <f>F58/F56</f>
        <v>4.1141295807623521</v>
      </c>
      <c r="G60" s="116">
        <f t="shared" ref="G60:J60" si="11">G58/G56</f>
        <v>-5.4407542706959999</v>
      </c>
      <c r="H60" s="116">
        <f t="shared" si="11"/>
        <v>-5.2655093433482385</v>
      </c>
      <c r="I60" s="116">
        <f t="shared" si="11"/>
        <v>-1.4935940726172041</v>
      </c>
      <c r="J60" s="116">
        <f t="shared" si="11"/>
        <v>-95.316716939196709</v>
      </c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</row>
    <row r="61" spans="2:21" x14ac:dyDescent="0.35">
      <c r="B61" s="255"/>
      <c r="C61" s="255"/>
      <c r="D61" s="255"/>
      <c r="E61" s="255"/>
      <c r="F61" s="320"/>
      <c r="G61" s="320"/>
      <c r="H61" s="320"/>
      <c r="I61" s="60"/>
      <c r="J61" s="60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</row>
    <row r="62" spans="2:21" x14ac:dyDescent="0.35">
      <c r="B62" s="125"/>
      <c r="C62" s="125"/>
      <c r="D62" s="125"/>
      <c r="E62" s="125"/>
      <c r="I62" s="66" t="s">
        <v>277</v>
      </c>
      <c r="J62" s="116">
        <f>AVERAGE(F60:J60)</f>
        <v>-20.680489009019162</v>
      </c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</row>
    <row r="63" spans="2:21" x14ac:dyDescent="0.35">
      <c r="B63" s="125"/>
      <c r="C63" s="125"/>
      <c r="D63" s="125"/>
      <c r="E63" s="125"/>
      <c r="I63" s="66" t="s">
        <v>278</v>
      </c>
      <c r="J63" s="116">
        <f>MEDIAN(F60:J60)</f>
        <v>-5.2655093433482385</v>
      </c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</row>
    <row r="64" spans="2:21" x14ac:dyDescent="0.35">
      <c r="B64" s="125"/>
      <c r="C64" s="125"/>
      <c r="D64" s="125"/>
      <c r="E64" s="125"/>
      <c r="I64" s="130"/>
      <c r="J64" s="130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</row>
    <row r="65" spans="2:21" ht="15.5" x14ac:dyDescent="0.35">
      <c r="B65" s="264" t="s">
        <v>279</v>
      </c>
      <c r="C65" s="264"/>
      <c r="D65" s="264"/>
      <c r="E65" s="264">
        <v>43891</v>
      </c>
      <c r="F65" s="264">
        <v>44256</v>
      </c>
      <c r="G65" s="264">
        <v>44621</v>
      </c>
      <c r="H65" s="264">
        <v>44986</v>
      </c>
      <c r="I65" s="264">
        <v>45352</v>
      </c>
      <c r="J65" s="264">
        <v>45717</v>
      </c>
      <c r="K65" s="243"/>
      <c r="L65" s="243"/>
      <c r="M65" s="125"/>
      <c r="N65" s="125"/>
      <c r="O65" s="125"/>
      <c r="P65" s="125"/>
      <c r="Q65" s="125"/>
      <c r="R65" s="125"/>
      <c r="S65" s="125"/>
      <c r="T65" s="125"/>
      <c r="U65" s="125"/>
    </row>
    <row r="66" spans="2:21" x14ac:dyDescent="0.35">
      <c r="B66" s="244"/>
      <c r="C66" s="244"/>
      <c r="D66" s="244"/>
      <c r="E66" s="244"/>
      <c r="F66" s="244"/>
      <c r="G66" s="244"/>
      <c r="H66" s="244"/>
      <c r="I66" s="244"/>
      <c r="J66" s="244"/>
      <c r="K66" s="243"/>
      <c r="L66" s="243"/>
      <c r="M66" s="125"/>
      <c r="N66" s="125"/>
      <c r="O66" s="125"/>
      <c r="P66" s="125"/>
      <c r="Q66" s="125"/>
      <c r="R66" s="125"/>
      <c r="S66" s="125"/>
      <c r="T66" s="125"/>
      <c r="U66" s="125"/>
    </row>
    <row r="67" spans="2:21" x14ac:dyDescent="0.35">
      <c r="B67" s="240" t="s">
        <v>280</v>
      </c>
      <c r="C67" s="240"/>
      <c r="D67" s="240"/>
      <c r="E67" s="240"/>
      <c r="F67" s="241">
        <f>F60</f>
        <v>4.1141295807623521</v>
      </c>
      <c r="G67" s="241">
        <f t="shared" ref="G67:J67" si="12">G60</f>
        <v>-5.4407542706959999</v>
      </c>
      <c r="H67" s="241">
        <f t="shared" si="12"/>
        <v>-5.2655093433482385</v>
      </c>
      <c r="I67" s="241">
        <f t="shared" si="12"/>
        <v>-1.4935940726172041</v>
      </c>
      <c r="J67" s="241">
        <f t="shared" si="12"/>
        <v>-95.316716939196709</v>
      </c>
      <c r="K67" s="243"/>
      <c r="L67" s="243"/>
      <c r="M67" s="125"/>
      <c r="N67" s="125"/>
      <c r="O67" s="125"/>
      <c r="P67" s="125"/>
      <c r="Q67" s="125"/>
      <c r="R67" s="125"/>
      <c r="S67" s="125"/>
      <c r="T67" s="125"/>
      <c r="U67" s="125"/>
    </row>
    <row r="68" spans="2:21" x14ac:dyDescent="0.35">
      <c r="B68" s="240" t="s">
        <v>281</v>
      </c>
      <c r="C68" s="240"/>
      <c r="D68" s="240"/>
      <c r="E68" s="240"/>
      <c r="F68" s="241">
        <f>F47</f>
        <v>-0.2215204790518209</v>
      </c>
      <c r="G68" s="241">
        <f t="shared" ref="G68:J68" si="13">G47</f>
        <v>-0.24516923813001093</v>
      </c>
      <c r="H68" s="241">
        <f t="shared" si="13"/>
        <v>-0.21150674863707528</v>
      </c>
      <c r="I68" s="241">
        <f t="shared" si="13"/>
        <v>-0.20445723510910108</v>
      </c>
      <c r="J68" s="241">
        <f t="shared" si="13"/>
        <v>-3.0428481715859134E-3</v>
      </c>
      <c r="K68" s="243"/>
      <c r="L68" s="243"/>
      <c r="M68" s="125"/>
      <c r="N68" s="125"/>
      <c r="O68" s="125"/>
      <c r="P68" s="125"/>
      <c r="Q68" s="125"/>
      <c r="R68" s="125"/>
      <c r="S68" s="125"/>
      <c r="T68" s="125"/>
      <c r="U68" s="125"/>
    </row>
    <row r="69" spans="2:21" x14ac:dyDescent="0.35">
      <c r="B69" s="325"/>
      <c r="C69" s="325"/>
      <c r="D69" s="325"/>
      <c r="E69" s="325"/>
      <c r="F69" s="325"/>
      <c r="G69" s="325"/>
      <c r="H69" s="325"/>
      <c r="I69" s="325"/>
      <c r="J69" s="325"/>
      <c r="K69" s="243"/>
      <c r="L69" s="243"/>
      <c r="M69" s="125"/>
      <c r="N69" s="125"/>
      <c r="O69" s="125"/>
      <c r="P69" s="125"/>
      <c r="Q69" s="125"/>
      <c r="R69" s="125"/>
      <c r="S69" s="125"/>
      <c r="T69" s="125"/>
      <c r="U69" s="125"/>
    </row>
    <row r="70" spans="2:21" x14ac:dyDescent="0.35">
      <c r="B70" s="240" t="s">
        <v>282</v>
      </c>
      <c r="C70" s="240"/>
      <c r="D70" s="240"/>
      <c r="E70" s="240"/>
      <c r="F70" s="241">
        <f>F67*F68</f>
        <v>-0.91136395561174333</v>
      </c>
      <c r="G70" s="241">
        <f t="shared" ref="G70:J70" si="14">G67*G68</f>
        <v>1.3339055793991415</v>
      </c>
      <c r="H70" s="241">
        <f t="shared" si="14"/>
        <v>1.1136907611297271</v>
      </c>
      <c r="I70" s="241">
        <f t="shared" si="14"/>
        <v>0.3053761144626555</v>
      </c>
      <c r="J70" s="241">
        <f t="shared" si="14"/>
        <v>0.29003429786000678</v>
      </c>
      <c r="K70" s="243"/>
      <c r="L70" s="243"/>
      <c r="M70" s="125"/>
      <c r="N70" s="125"/>
      <c r="O70" s="125"/>
      <c r="P70" s="125"/>
      <c r="Q70" s="125"/>
      <c r="R70" s="125"/>
      <c r="S70" s="125"/>
      <c r="T70" s="125"/>
      <c r="U70" s="125"/>
    </row>
    <row r="71" spans="2:21" x14ac:dyDescent="0.35">
      <c r="B71" s="242"/>
      <c r="C71" s="242"/>
      <c r="D71" s="242"/>
      <c r="E71" s="242"/>
      <c r="F71" s="242"/>
      <c r="G71" s="242"/>
      <c r="H71" s="242"/>
      <c r="I71" s="242"/>
      <c r="J71" s="242"/>
      <c r="K71" s="243"/>
      <c r="L71" s="243"/>
      <c r="M71" s="125"/>
      <c r="N71" s="125"/>
      <c r="O71" s="125"/>
      <c r="P71" s="125"/>
      <c r="Q71" s="125"/>
      <c r="R71" s="125"/>
      <c r="S71" s="125"/>
      <c r="T71" s="125"/>
      <c r="U71" s="125"/>
    </row>
    <row r="72" spans="2:21" x14ac:dyDescent="0.35">
      <c r="B72" s="243"/>
      <c r="C72" s="243"/>
      <c r="D72" s="243"/>
      <c r="E72" s="243"/>
      <c r="F72" s="243"/>
      <c r="G72" s="243"/>
      <c r="H72" s="243"/>
      <c r="I72" s="244"/>
      <c r="J72" s="244"/>
      <c r="K72" s="243"/>
      <c r="L72" s="243"/>
      <c r="M72" s="125"/>
      <c r="N72" s="125"/>
      <c r="O72" s="125"/>
      <c r="P72" s="125"/>
      <c r="Q72" s="125"/>
      <c r="R72" s="125"/>
      <c r="S72" s="125"/>
      <c r="T72" s="125"/>
      <c r="U72" s="125"/>
    </row>
    <row r="73" spans="2:21" x14ac:dyDescent="0.35">
      <c r="B73" s="243"/>
      <c r="C73" s="243"/>
      <c r="D73" s="243"/>
      <c r="E73" s="243"/>
      <c r="F73" s="243"/>
      <c r="G73" s="243"/>
      <c r="H73" s="243"/>
      <c r="I73" s="245" t="s">
        <v>277</v>
      </c>
      <c r="J73" s="241">
        <f>AVERAGE(F70:J70)</f>
        <v>0.42632855944795744</v>
      </c>
      <c r="K73" s="243"/>
      <c r="L73" s="243"/>
      <c r="M73" s="125"/>
      <c r="N73" s="125"/>
      <c r="O73" s="125"/>
      <c r="P73" s="125"/>
      <c r="Q73" s="125"/>
      <c r="R73" s="125"/>
      <c r="S73" s="125"/>
      <c r="T73" s="125"/>
      <c r="U73" s="125"/>
    </row>
    <row r="74" spans="2:21" x14ac:dyDescent="0.35">
      <c r="B74" s="243"/>
      <c r="C74" s="243"/>
      <c r="D74" s="243"/>
      <c r="E74" s="243"/>
      <c r="F74" s="243"/>
      <c r="G74" s="243"/>
      <c r="H74" s="243"/>
      <c r="I74" s="245" t="s">
        <v>278</v>
      </c>
      <c r="J74" s="241">
        <f>MEDIAN(F70:J70)</f>
        <v>0.3053761144626555</v>
      </c>
      <c r="K74" s="243"/>
      <c r="L74" s="243"/>
      <c r="M74" s="125"/>
      <c r="N74" s="125"/>
      <c r="O74" s="125"/>
      <c r="P74" s="125"/>
      <c r="Q74" s="125"/>
      <c r="R74" s="125"/>
      <c r="S74" s="125"/>
      <c r="T74" s="125"/>
      <c r="U74" s="125"/>
    </row>
    <row r="75" spans="2:21" x14ac:dyDescent="0.35">
      <c r="B75" s="243"/>
      <c r="C75" s="243"/>
      <c r="D75" s="243"/>
      <c r="E75" s="243"/>
      <c r="F75" s="243"/>
      <c r="G75" s="243"/>
      <c r="H75" s="243"/>
      <c r="I75" s="242"/>
      <c r="J75" s="242"/>
      <c r="K75" s="243"/>
      <c r="L75" s="243"/>
      <c r="M75" s="125"/>
      <c r="N75" s="125"/>
      <c r="O75" s="125"/>
      <c r="P75" s="125"/>
      <c r="Q75" s="125"/>
      <c r="R75" s="125"/>
      <c r="S75" s="125"/>
      <c r="T75" s="125"/>
      <c r="U75" s="125"/>
    </row>
    <row r="76" spans="2:21" x14ac:dyDescent="0.35">
      <c r="B76" s="243"/>
      <c r="C76" s="243"/>
      <c r="D76" s="243"/>
      <c r="E76" s="243"/>
      <c r="F76" s="243"/>
      <c r="G76" s="243"/>
      <c r="H76" s="243"/>
      <c r="I76" s="243"/>
      <c r="J76" s="243"/>
      <c r="K76" s="243"/>
      <c r="L76" s="243"/>
      <c r="M76" s="125"/>
      <c r="N76" s="125"/>
      <c r="O76" s="125"/>
      <c r="P76" s="125"/>
      <c r="Q76" s="125"/>
      <c r="R76" s="125"/>
      <c r="S76" s="125"/>
      <c r="T76" s="125"/>
      <c r="U76" s="125"/>
    </row>
    <row r="77" spans="2:21" x14ac:dyDescent="0.35"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125"/>
      <c r="N77" s="125"/>
      <c r="O77" s="125"/>
      <c r="P77" s="125"/>
      <c r="Q77" s="125"/>
      <c r="R77" s="125"/>
      <c r="S77" s="125"/>
      <c r="T77" s="125"/>
      <c r="U77" s="125"/>
    </row>
    <row r="78" spans="2:21" x14ac:dyDescent="0.35">
      <c r="B78" s="243"/>
      <c r="C78" s="243"/>
      <c r="D78" s="243"/>
      <c r="E78" s="243"/>
      <c r="F78" s="243"/>
      <c r="G78" s="243"/>
      <c r="H78" s="243"/>
      <c r="I78" s="243"/>
      <c r="J78" s="243"/>
      <c r="K78" s="243"/>
      <c r="L78" s="243"/>
      <c r="M78" s="125"/>
      <c r="N78" s="125"/>
      <c r="O78" s="125"/>
      <c r="P78" s="125"/>
      <c r="Q78" s="125"/>
      <c r="R78" s="125"/>
      <c r="S78" s="125"/>
      <c r="T78" s="125"/>
      <c r="U78" s="125"/>
    </row>
    <row r="79" spans="2:21" x14ac:dyDescent="0.35">
      <c r="B79" s="243"/>
      <c r="C79" s="243"/>
      <c r="D79" s="243"/>
      <c r="E79" s="243"/>
      <c r="F79" s="243"/>
      <c r="G79" s="243"/>
      <c r="H79" s="243"/>
      <c r="I79" s="243"/>
      <c r="J79" s="243"/>
      <c r="K79" s="243"/>
      <c r="L79" s="243"/>
      <c r="M79" s="125"/>
      <c r="N79" s="125"/>
      <c r="O79" s="125"/>
      <c r="P79" s="125"/>
      <c r="Q79" s="125"/>
      <c r="R79" s="125"/>
      <c r="S79" s="125"/>
      <c r="T79" s="125"/>
      <c r="U79" s="125"/>
    </row>
    <row r="80" spans="2:21" x14ac:dyDescent="0.35">
      <c r="B80" s="243"/>
      <c r="C80" s="243"/>
      <c r="D80" s="243"/>
      <c r="E80" s="243"/>
      <c r="F80" s="243"/>
      <c r="G80" s="243"/>
      <c r="H80" s="243"/>
      <c r="I80" s="243"/>
      <c r="J80" s="243"/>
      <c r="K80" s="243"/>
      <c r="L80" s="243"/>
      <c r="M80" s="125"/>
      <c r="N80" s="125"/>
      <c r="O80" s="125"/>
      <c r="P80" s="125"/>
      <c r="Q80" s="125"/>
      <c r="R80" s="125"/>
      <c r="S80" s="125"/>
      <c r="T80" s="125"/>
      <c r="U80" s="125"/>
    </row>
    <row r="81" spans="2:21" x14ac:dyDescent="0.35">
      <c r="B81" s="243"/>
      <c r="C81" s="243"/>
      <c r="D81" s="243"/>
      <c r="E81" s="243"/>
      <c r="F81" s="243"/>
      <c r="G81" s="243"/>
      <c r="H81" s="243"/>
      <c r="I81" s="243"/>
      <c r="J81" s="243"/>
      <c r="K81" s="243"/>
      <c r="L81" s="243"/>
      <c r="M81" s="125"/>
      <c r="N81" s="125"/>
      <c r="O81" s="125"/>
      <c r="P81" s="125"/>
      <c r="Q81" s="125"/>
      <c r="R81" s="125"/>
      <c r="S81" s="125"/>
      <c r="T81" s="125"/>
      <c r="U81" s="125"/>
    </row>
    <row r="82" spans="2:21" x14ac:dyDescent="0.35">
      <c r="B82" s="243"/>
      <c r="C82" s="243"/>
      <c r="D82" s="243"/>
      <c r="E82" s="243"/>
      <c r="F82" s="243"/>
      <c r="G82" s="243"/>
      <c r="H82" s="243"/>
      <c r="I82" s="243"/>
      <c r="J82" s="243"/>
      <c r="K82" s="243"/>
      <c r="L82" s="243"/>
      <c r="M82" s="125"/>
      <c r="N82" s="125"/>
      <c r="O82" s="125"/>
      <c r="P82" s="125"/>
      <c r="Q82" s="125"/>
      <c r="R82" s="125"/>
      <c r="S82" s="125"/>
      <c r="T82" s="125"/>
      <c r="U82" s="125"/>
    </row>
    <row r="83" spans="2:21" x14ac:dyDescent="0.35">
      <c r="B83" s="243"/>
      <c r="C83" s="243"/>
      <c r="D83" s="243"/>
      <c r="E83" s="243"/>
      <c r="F83" s="243"/>
      <c r="G83" s="243"/>
      <c r="H83" s="243"/>
      <c r="I83" s="243"/>
      <c r="J83" s="243"/>
      <c r="K83" s="243"/>
      <c r="L83" s="243"/>
      <c r="M83" s="125"/>
      <c r="N83" s="125"/>
      <c r="O83" s="125"/>
      <c r="P83" s="125"/>
      <c r="Q83" s="125"/>
      <c r="R83" s="125"/>
      <c r="S83" s="125"/>
      <c r="T83" s="125"/>
      <c r="U83" s="125"/>
    </row>
    <row r="84" spans="2:21" x14ac:dyDescent="0.35">
      <c r="B84" s="243"/>
      <c r="C84" s="243"/>
      <c r="D84" s="243"/>
      <c r="E84" s="243"/>
      <c r="F84" s="243"/>
      <c r="G84" s="243"/>
      <c r="H84" s="243"/>
      <c r="I84" s="243"/>
      <c r="J84" s="243"/>
      <c r="K84" s="243"/>
      <c r="L84" s="243"/>
      <c r="M84" s="125"/>
      <c r="N84" s="125"/>
      <c r="O84" s="125"/>
      <c r="P84" s="125"/>
      <c r="Q84" s="125"/>
      <c r="R84" s="125"/>
      <c r="S84" s="125"/>
      <c r="T84" s="125"/>
      <c r="U84" s="125"/>
    </row>
    <row r="85" spans="2:21" x14ac:dyDescent="0.35">
      <c r="B85" s="243"/>
      <c r="C85" s="243"/>
      <c r="D85" s="243"/>
      <c r="E85" s="243"/>
      <c r="F85" s="243"/>
      <c r="G85" s="243"/>
      <c r="H85" s="243"/>
      <c r="I85" s="243"/>
      <c r="J85" s="243"/>
      <c r="K85" s="243"/>
      <c r="L85" s="243"/>
      <c r="M85" s="125"/>
      <c r="N85" s="125"/>
      <c r="O85" s="125"/>
      <c r="P85" s="125"/>
      <c r="Q85" s="125"/>
      <c r="R85" s="125"/>
      <c r="S85" s="125"/>
      <c r="T85" s="125"/>
      <c r="U85" s="125"/>
    </row>
    <row r="86" spans="2:21" x14ac:dyDescent="0.35">
      <c r="B86" s="243"/>
      <c r="C86" s="243"/>
      <c r="D86" s="243"/>
      <c r="E86" s="243"/>
      <c r="F86" s="243"/>
      <c r="G86" s="243"/>
      <c r="H86" s="243"/>
      <c r="I86" s="243"/>
      <c r="J86" s="243"/>
      <c r="K86" s="243"/>
      <c r="L86" s="243"/>
      <c r="M86" s="125"/>
      <c r="N86" s="125"/>
      <c r="O86" s="125"/>
      <c r="P86" s="125"/>
      <c r="Q86" s="125"/>
      <c r="R86" s="125"/>
      <c r="S86" s="125"/>
      <c r="T86" s="125"/>
      <c r="U86" s="125"/>
    </row>
    <row r="87" spans="2:21" x14ac:dyDescent="0.35">
      <c r="B87" s="243"/>
      <c r="C87" s="243"/>
      <c r="D87" s="243"/>
      <c r="E87" s="243"/>
      <c r="F87" s="243"/>
      <c r="G87" s="243"/>
      <c r="H87" s="243"/>
      <c r="I87" s="243"/>
      <c r="J87" s="243"/>
      <c r="K87" s="243"/>
      <c r="L87" s="243"/>
      <c r="M87" s="125"/>
      <c r="N87" s="125"/>
      <c r="O87" s="125"/>
      <c r="P87" s="125"/>
      <c r="Q87" s="125"/>
      <c r="R87" s="125"/>
      <c r="S87" s="125"/>
      <c r="T87" s="125"/>
      <c r="U87" s="125"/>
    </row>
    <row r="88" spans="2:21" x14ac:dyDescent="0.35">
      <c r="B88" s="243"/>
      <c r="C88" s="243"/>
      <c r="D88" s="243"/>
      <c r="E88" s="243"/>
      <c r="F88" s="243"/>
      <c r="G88" s="243"/>
      <c r="H88" s="243"/>
      <c r="I88" s="243"/>
      <c r="J88" s="243"/>
      <c r="K88" s="243"/>
      <c r="L88" s="243"/>
      <c r="M88" s="125"/>
      <c r="N88" s="125"/>
      <c r="O88" s="125"/>
      <c r="P88" s="125"/>
      <c r="Q88" s="125"/>
      <c r="R88" s="125"/>
      <c r="S88" s="125"/>
      <c r="T88" s="125"/>
      <c r="U88" s="125"/>
    </row>
    <row r="89" spans="2:21" x14ac:dyDescent="0.35">
      <c r="B89" s="243"/>
      <c r="C89" s="243"/>
      <c r="D89" s="243"/>
      <c r="E89" s="243"/>
      <c r="F89" s="243"/>
      <c r="G89" s="243"/>
      <c r="H89" s="243"/>
      <c r="I89" s="243"/>
      <c r="J89" s="243"/>
      <c r="K89" s="243"/>
      <c r="L89" s="243"/>
      <c r="M89" s="125"/>
      <c r="N89" s="125"/>
      <c r="O89" s="125"/>
      <c r="P89" s="125"/>
      <c r="Q89" s="125"/>
      <c r="R89" s="125"/>
      <c r="S89" s="125"/>
      <c r="T89" s="125"/>
      <c r="U89" s="125"/>
    </row>
    <row r="90" spans="2:21" x14ac:dyDescent="0.35">
      <c r="B90" s="243"/>
      <c r="C90" s="243"/>
      <c r="D90" s="243"/>
      <c r="E90" s="243"/>
      <c r="F90" s="243"/>
      <c r="G90" s="243"/>
      <c r="H90" s="243"/>
      <c r="I90" s="243"/>
      <c r="J90" s="243"/>
      <c r="K90" s="243"/>
      <c r="L90" s="243"/>
      <c r="M90" s="125"/>
      <c r="N90" s="125"/>
      <c r="O90" s="125"/>
      <c r="P90" s="125"/>
      <c r="Q90" s="125"/>
      <c r="R90" s="125"/>
      <c r="S90" s="125"/>
      <c r="T90" s="125"/>
      <c r="U90" s="125"/>
    </row>
    <row r="91" spans="2:21" x14ac:dyDescent="0.35">
      <c r="B91" s="243"/>
      <c r="C91" s="243"/>
      <c r="D91" s="243"/>
      <c r="E91" s="243"/>
      <c r="F91" s="243"/>
      <c r="G91" s="243"/>
      <c r="H91" s="243"/>
      <c r="I91" s="243"/>
      <c r="J91" s="243"/>
      <c r="K91" s="243"/>
      <c r="L91" s="243"/>
      <c r="M91" s="125"/>
      <c r="N91" s="125"/>
      <c r="O91" s="125"/>
      <c r="P91" s="125"/>
      <c r="Q91" s="125"/>
      <c r="R91" s="125"/>
      <c r="S91" s="125"/>
      <c r="T91" s="125"/>
      <c r="U91" s="125"/>
    </row>
    <row r="92" spans="2:21" x14ac:dyDescent="0.35">
      <c r="B92" s="243"/>
      <c r="C92" s="243"/>
      <c r="D92" s="243"/>
      <c r="E92" s="243"/>
      <c r="F92" s="243"/>
      <c r="G92" s="243"/>
      <c r="H92" s="243"/>
      <c r="I92" s="243"/>
      <c r="J92" s="243"/>
      <c r="K92" s="242"/>
      <c r="L92" s="242"/>
      <c r="M92" s="130"/>
    </row>
    <row r="93" spans="2:21" x14ac:dyDescent="0.35">
      <c r="B93" s="243"/>
      <c r="C93" s="243"/>
      <c r="D93" s="243"/>
      <c r="E93" s="243"/>
      <c r="F93" s="243"/>
      <c r="G93" s="243"/>
      <c r="H93" s="243"/>
      <c r="I93" s="243"/>
      <c r="J93" s="243"/>
      <c r="K93" s="243"/>
      <c r="L93" s="243"/>
      <c r="M93" s="125"/>
    </row>
    <row r="94" spans="2:21" x14ac:dyDescent="0.35">
      <c r="B94" s="243"/>
      <c r="C94" s="243"/>
      <c r="D94" s="243"/>
      <c r="E94" s="243"/>
      <c r="F94" s="243"/>
      <c r="G94" s="243"/>
      <c r="H94" s="243"/>
      <c r="I94" s="243"/>
      <c r="J94" s="243"/>
      <c r="K94" s="243"/>
      <c r="L94" s="243"/>
      <c r="M94" s="125"/>
    </row>
    <row r="95" spans="2:21" x14ac:dyDescent="0.35">
      <c r="B95" s="243"/>
      <c r="C95" s="243"/>
      <c r="D95" s="243"/>
      <c r="E95" s="243"/>
      <c r="F95" s="243"/>
      <c r="G95" s="243"/>
      <c r="H95" s="243"/>
      <c r="I95" s="243"/>
      <c r="J95" s="243"/>
      <c r="K95" s="243"/>
      <c r="L95" s="243"/>
      <c r="M95" s="125"/>
    </row>
    <row r="96" spans="2:21" x14ac:dyDescent="0.35">
      <c r="B96" s="243"/>
      <c r="C96" s="243"/>
      <c r="D96" s="243"/>
      <c r="E96" s="243"/>
      <c r="F96" s="243"/>
      <c r="G96" s="243"/>
      <c r="H96" s="243"/>
      <c r="I96" s="243"/>
      <c r="J96" s="243"/>
      <c r="K96" s="243"/>
      <c r="L96" s="243"/>
      <c r="M96" s="125"/>
    </row>
    <row r="97" spans="2:13" x14ac:dyDescent="0.35">
      <c r="B97" s="243"/>
      <c r="C97" s="243"/>
      <c r="D97" s="243"/>
      <c r="E97" s="243"/>
      <c r="F97" s="243"/>
      <c r="G97" s="243"/>
      <c r="H97" s="243"/>
      <c r="I97" s="243"/>
      <c r="J97" s="243"/>
      <c r="K97" s="243"/>
      <c r="L97" s="243"/>
      <c r="M97" s="125"/>
    </row>
    <row r="98" spans="2:13" x14ac:dyDescent="0.35">
      <c r="B98" s="243"/>
      <c r="C98" s="243"/>
      <c r="D98" s="243"/>
      <c r="E98" s="243"/>
      <c r="F98" s="243"/>
      <c r="G98" s="243"/>
      <c r="H98" s="243"/>
      <c r="I98" s="243"/>
      <c r="J98" s="243"/>
      <c r="K98" s="243"/>
      <c r="L98" s="243"/>
      <c r="M98" s="125"/>
    </row>
    <row r="99" spans="2:13" x14ac:dyDescent="0.35">
      <c r="B99" s="243"/>
      <c r="C99" s="243"/>
      <c r="D99" s="243"/>
      <c r="E99" s="243"/>
      <c r="F99" s="243"/>
      <c r="G99" s="243"/>
      <c r="H99" s="243"/>
      <c r="I99" s="243"/>
      <c r="J99" s="243"/>
      <c r="K99" s="243"/>
      <c r="L99" s="243"/>
      <c r="M99" s="125"/>
    </row>
    <row r="100" spans="2:13" x14ac:dyDescent="0.35">
      <c r="B100" s="243"/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125"/>
    </row>
    <row r="101" spans="2:13" x14ac:dyDescent="0.35">
      <c r="B101" s="243"/>
      <c r="C101" s="243"/>
      <c r="D101" s="243"/>
      <c r="E101" s="243"/>
      <c r="F101" s="243"/>
      <c r="G101" s="243"/>
      <c r="H101" s="243"/>
      <c r="I101" s="243"/>
      <c r="J101" s="243"/>
      <c r="K101" s="243"/>
      <c r="L101" s="243"/>
      <c r="M101" s="125"/>
    </row>
    <row r="102" spans="2:13" x14ac:dyDescent="0.35">
      <c r="B102" s="243"/>
      <c r="C102" s="243"/>
      <c r="D102" s="243"/>
      <c r="E102" s="243"/>
      <c r="F102" s="243"/>
      <c r="G102" s="243"/>
      <c r="H102" s="243"/>
      <c r="I102" s="243"/>
      <c r="J102" s="243"/>
      <c r="K102" s="243"/>
      <c r="L102" s="243"/>
      <c r="M102" s="125"/>
    </row>
    <row r="103" spans="2:13" x14ac:dyDescent="0.35"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125"/>
    </row>
    <row r="104" spans="2:13" x14ac:dyDescent="0.35">
      <c r="B104" s="243"/>
      <c r="C104" s="243"/>
      <c r="D104" s="243"/>
      <c r="E104" s="243"/>
      <c r="F104" s="243"/>
      <c r="G104" s="243"/>
      <c r="H104" s="243"/>
      <c r="I104" s="243"/>
      <c r="J104" s="243"/>
      <c r="K104" s="243"/>
      <c r="L104" s="243"/>
      <c r="M104" s="125"/>
    </row>
    <row r="105" spans="2:13" x14ac:dyDescent="0.35">
      <c r="B105" s="243"/>
      <c r="C105" s="243"/>
      <c r="D105" s="243"/>
      <c r="E105" s="243"/>
      <c r="F105" s="243"/>
      <c r="G105" s="243"/>
      <c r="H105" s="243"/>
      <c r="I105" s="243"/>
      <c r="J105" s="243"/>
      <c r="K105" s="243"/>
      <c r="L105" s="243"/>
      <c r="M105" s="125"/>
    </row>
    <row r="106" spans="2:13" x14ac:dyDescent="0.35">
      <c r="B106" s="243"/>
      <c r="C106" s="243"/>
      <c r="D106" s="243"/>
      <c r="E106" s="243"/>
      <c r="F106" s="243"/>
      <c r="G106" s="243"/>
      <c r="H106" s="243"/>
      <c r="I106" s="243"/>
      <c r="J106" s="243"/>
      <c r="K106" s="243"/>
      <c r="L106" s="243"/>
      <c r="M106" s="125"/>
    </row>
    <row r="107" spans="2:13" x14ac:dyDescent="0.35">
      <c r="B107" s="243"/>
      <c r="C107" s="243"/>
      <c r="D107" s="243"/>
      <c r="E107" s="243"/>
      <c r="F107" s="243"/>
      <c r="G107" s="243"/>
      <c r="H107" s="243"/>
      <c r="I107" s="243"/>
      <c r="J107" s="243"/>
      <c r="K107" s="243"/>
      <c r="L107" s="243"/>
      <c r="M107" s="125"/>
    </row>
    <row r="108" spans="2:13" x14ac:dyDescent="0.35">
      <c r="B108" s="125"/>
      <c r="C108" s="125"/>
      <c r="D108" s="125"/>
      <c r="E108" s="125"/>
      <c r="K108" s="125"/>
      <c r="L108" s="125"/>
      <c r="M108" s="125"/>
    </row>
    <row r="109" spans="2:13" x14ac:dyDescent="0.35">
      <c r="F109" s="130"/>
      <c r="G109" s="130"/>
      <c r="H109" s="130"/>
      <c r="I109" s="130"/>
      <c r="J109" s="130"/>
    </row>
  </sheetData>
  <mergeCells count="3">
    <mergeCell ref="B9:J9"/>
    <mergeCell ref="B2:C7"/>
    <mergeCell ref="D2:J7"/>
  </mergeCells>
  <pageMargins left="0.31496062992125984" right="0.31496062992125984" top="0.35433070866141736" bottom="0.19685039370078741" header="0.31496062992125984" footer="0.31496062992125984"/>
  <pageSetup paperSize="9" scale="75" orientation="portrait" r:id="rId1"/>
  <headerFooter>
    <oddHeader xml:space="preserve">&amp;R </oddHeader>
    <oddFooter>&amp;RBy Nikhil Kulkarni MBA</oddFooter>
  </headerFooter>
  <colBreaks count="1" manualBreakCount="1">
    <brk id="10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D8F7-ADE6-497A-B730-2436D6012317}">
  <sheetPr>
    <tabColor rgb="FF002060"/>
    <pageSetUpPr fitToPage="1"/>
  </sheetPr>
  <dimension ref="A1:T109"/>
  <sheetViews>
    <sheetView showGridLines="0" tabSelected="1" view="pageBreakPreview" topLeftCell="A21" zoomScale="55" zoomScaleNormal="55" zoomScaleSheetLayoutView="55" workbookViewId="0">
      <selection activeCell="G72" sqref="G72"/>
    </sheetView>
  </sheetViews>
  <sheetFormatPr defaultRowHeight="14.5" outlineLevelRow="1" x14ac:dyDescent="0.35"/>
  <cols>
    <col min="1" max="1" width="1.81640625" customWidth="1"/>
    <col min="2" max="2" width="29.26953125" customWidth="1"/>
    <col min="3" max="3" width="11.81640625" bestFit="1" customWidth="1"/>
    <col min="4" max="4" width="10.36328125" customWidth="1"/>
    <col min="6" max="10" width="8.7265625" style="123"/>
  </cols>
  <sheetData>
    <row r="1" spans="2:20" x14ac:dyDescent="0.35">
      <c r="F1"/>
      <c r="G1"/>
      <c r="H1"/>
      <c r="I1"/>
      <c r="J1"/>
    </row>
    <row r="2" spans="2:20" x14ac:dyDescent="0.35">
      <c r="B2" s="217"/>
      <c r="C2" s="217"/>
      <c r="D2" s="210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E2" s="210"/>
      <c r="F2" s="210"/>
      <c r="G2" s="210"/>
      <c r="H2" s="210"/>
      <c r="I2" s="210"/>
      <c r="J2"/>
    </row>
    <row r="3" spans="2:20" x14ac:dyDescent="0.35">
      <c r="B3" s="217"/>
      <c r="C3" s="217"/>
      <c r="D3" s="210"/>
      <c r="E3" s="210"/>
      <c r="F3" s="210"/>
      <c r="G3" s="210"/>
      <c r="H3" s="210"/>
      <c r="I3" s="210"/>
      <c r="J3"/>
    </row>
    <row r="4" spans="2:20" x14ac:dyDescent="0.35">
      <c r="B4" s="217"/>
      <c r="C4" s="217"/>
      <c r="D4" s="210"/>
      <c r="E4" s="210"/>
      <c r="F4" s="210"/>
      <c r="G4" s="210"/>
      <c r="H4" s="210"/>
      <c r="I4" s="210"/>
      <c r="J4"/>
    </row>
    <row r="5" spans="2:20" x14ac:dyDescent="0.35">
      <c r="B5" s="217"/>
      <c r="C5" s="217"/>
      <c r="D5" s="210"/>
      <c r="E5" s="210"/>
      <c r="F5" s="210"/>
      <c r="G5" s="210"/>
      <c r="H5" s="210"/>
      <c r="I5" s="210"/>
      <c r="K5" s="123"/>
      <c r="L5" s="123"/>
      <c r="M5" s="123"/>
      <c r="N5" s="123"/>
      <c r="O5" s="123"/>
      <c r="P5" s="123"/>
      <c r="Q5" s="123"/>
      <c r="R5" s="123"/>
      <c r="S5" s="123"/>
      <c r="T5" s="123"/>
    </row>
    <row r="6" spans="2:20" x14ac:dyDescent="0.35">
      <c r="B6" s="217"/>
      <c r="C6" s="217"/>
      <c r="D6" s="210"/>
      <c r="E6" s="210"/>
      <c r="F6" s="210"/>
      <c r="G6" s="210"/>
      <c r="H6" s="210"/>
      <c r="I6" s="210"/>
      <c r="K6" s="123"/>
      <c r="L6" s="123"/>
      <c r="M6" s="123"/>
      <c r="N6" s="123"/>
      <c r="O6" s="123"/>
      <c r="P6" s="123"/>
      <c r="Q6" s="123"/>
      <c r="R6" s="123"/>
      <c r="S6" s="123"/>
      <c r="T6" s="123"/>
    </row>
    <row r="7" spans="2:20" x14ac:dyDescent="0.35">
      <c r="B7" s="217"/>
      <c r="C7" s="217"/>
      <c r="D7" s="210"/>
      <c r="E7" s="210"/>
      <c r="F7" s="210"/>
      <c r="G7" s="210"/>
      <c r="H7" s="210"/>
      <c r="I7" s="221"/>
      <c r="K7" s="123"/>
      <c r="L7" s="123"/>
      <c r="M7" s="123"/>
      <c r="N7" s="123"/>
      <c r="O7" s="123"/>
      <c r="P7" s="123"/>
      <c r="Q7" s="123"/>
      <c r="R7" s="123"/>
      <c r="S7" s="123"/>
      <c r="T7" s="123"/>
    </row>
    <row r="8" spans="2:20" x14ac:dyDescent="0.35">
      <c r="F8"/>
      <c r="G8"/>
      <c r="H8"/>
      <c r="K8" s="123"/>
      <c r="L8" s="123"/>
      <c r="M8" s="123"/>
      <c r="N8" s="123"/>
      <c r="O8" s="123"/>
      <c r="P8" s="123"/>
      <c r="Q8" s="123"/>
      <c r="R8" s="123"/>
      <c r="S8" s="123"/>
      <c r="T8" s="123"/>
    </row>
    <row r="9" spans="2:20" x14ac:dyDescent="0.35">
      <c r="B9" t="str">
        <f>"PV of FCFF - "&amp;'Data Sheet'!B1</f>
        <v>PV of FCFF - EICHER MOTORS LTD</v>
      </c>
      <c r="C9" s="276"/>
      <c r="D9" s="276"/>
      <c r="E9" s="276"/>
      <c r="F9" s="276"/>
      <c r="G9" s="276"/>
      <c r="H9" s="276"/>
      <c r="I9" s="151"/>
      <c r="K9" s="123"/>
      <c r="L9" s="123"/>
      <c r="M9" s="123"/>
      <c r="N9" s="123"/>
      <c r="O9" s="123"/>
      <c r="P9" s="123"/>
      <c r="Q9" s="123"/>
      <c r="R9" s="123"/>
      <c r="S9" s="123"/>
      <c r="T9" s="123"/>
    </row>
    <row r="10" spans="2:20" ht="4.5" customHeight="1" x14ac:dyDescent="0.35">
      <c r="B10" s="59"/>
      <c r="C10" s="57"/>
      <c r="D10" s="57"/>
      <c r="E10" s="57"/>
      <c r="F10" s="57"/>
      <c r="G10" s="57"/>
      <c r="H10" s="57"/>
      <c r="I10" s="57"/>
      <c r="K10" s="123"/>
      <c r="L10" s="123"/>
      <c r="M10" s="123"/>
      <c r="N10" s="123"/>
      <c r="O10" s="123"/>
      <c r="P10" s="123"/>
      <c r="Q10" s="123"/>
      <c r="R10" s="123"/>
      <c r="S10" s="123"/>
      <c r="T10" s="123"/>
    </row>
    <row r="11" spans="2:20" ht="15.5" x14ac:dyDescent="0.35">
      <c r="B11" s="94" t="s">
        <v>283</v>
      </c>
      <c r="C11" s="105"/>
      <c r="D11" s="175">
        <f>'Intrisc Value'!J11</f>
        <v>45717</v>
      </c>
      <c r="E11" s="176">
        <f>D11+366</f>
        <v>46083</v>
      </c>
      <c r="F11" s="176">
        <f t="shared" ref="F11:I11" si="0">E11+366</f>
        <v>46449</v>
      </c>
      <c r="G11" s="176">
        <f t="shared" si="0"/>
        <v>46815</v>
      </c>
      <c r="H11" s="176">
        <f t="shared" si="0"/>
        <v>47181</v>
      </c>
      <c r="I11" s="176">
        <f t="shared" si="0"/>
        <v>47547</v>
      </c>
      <c r="J11" s="317"/>
      <c r="K11" s="317"/>
      <c r="L11" s="123"/>
      <c r="M11" s="123"/>
      <c r="N11" s="123"/>
      <c r="O11" s="123"/>
      <c r="P11" s="123"/>
      <c r="Q11" s="123"/>
      <c r="R11" s="123"/>
      <c r="S11" s="123"/>
      <c r="T11" s="123"/>
    </row>
    <row r="12" spans="2:20" x14ac:dyDescent="0.35">
      <c r="B12" s="16"/>
      <c r="F12"/>
      <c r="G12"/>
      <c r="H12"/>
      <c r="I12"/>
      <c r="K12" s="123"/>
      <c r="L12" s="123"/>
      <c r="M12" s="123"/>
      <c r="N12" s="123"/>
      <c r="O12" s="123"/>
      <c r="P12" s="123"/>
      <c r="Q12" s="123"/>
      <c r="R12" s="123"/>
      <c r="S12" s="123"/>
      <c r="T12" s="123"/>
    </row>
    <row r="13" spans="2:20" x14ac:dyDescent="0.35">
      <c r="B13" s="63" t="s">
        <v>267</v>
      </c>
      <c r="C13" s="59"/>
      <c r="D13" s="77">
        <f>IFERROR('Data Sheet'!K32-'Data Sheet'!K26,0)</f>
        <v>5987.41</v>
      </c>
      <c r="E13" s="59">
        <f>D$13*(1+$C$28)</f>
        <v>7815.8220014948474</v>
      </c>
      <c r="F13" s="59">
        <f t="shared" ref="F13:I13" si="1">E$13*(1+$C$28)</f>
        <v>10202.587355643078</v>
      </c>
      <c r="G13" s="59">
        <f t="shared" si="1"/>
        <v>13318.213839775179</v>
      </c>
      <c r="H13" s="59">
        <f t="shared" si="1"/>
        <v>17385.278233748486</v>
      </c>
      <c r="I13" s="59">
        <f t="shared" si="1"/>
        <v>22694.326949622777</v>
      </c>
      <c r="K13" s="123"/>
      <c r="L13" s="123"/>
      <c r="M13" s="123"/>
      <c r="N13" s="123"/>
      <c r="O13" s="123"/>
      <c r="P13" s="123"/>
      <c r="Q13" s="123"/>
      <c r="R13" s="123"/>
      <c r="S13" s="123"/>
      <c r="T13" s="123"/>
    </row>
    <row r="14" spans="2:20" x14ac:dyDescent="0.35">
      <c r="B14" s="63"/>
      <c r="C14" s="59"/>
      <c r="D14" s="77"/>
      <c r="E14" s="59"/>
      <c r="F14" s="59"/>
      <c r="G14" s="59"/>
      <c r="H14" s="59"/>
      <c r="I14" s="59"/>
      <c r="K14" s="123"/>
      <c r="L14" s="123"/>
      <c r="M14" s="123"/>
      <c r="N14" s="123"/>
      <c r="O14" s="123"/>
      <c r="P14" s="123"/>
      <c r="Q14" s="123"/>
      <c r="R14" s="123"/>
      <c r="S14" s="123"/>
      <c r="T14" s="123"/>
    </row>
    <row r="15" spans="2:20" x14ac:dyDescent="0.35">
      <c r="B15" s="63" t="s">
        <v>201</v>
      </c>
      <c r="C15" s="59"/>
      <c r="D15" s="100">
        <v>0.25</v>
      </c>
      <c r="E15" s="101">
        <v>0.25</v>
      </c>
      <c r="F15" s="101">
        <v>0.25</v>
      </c>
      <c r="G15" s="101">
        <v>0.25</v>
      </c>
      <c r="H15" s="101">
        <v>0.25</v>
      </c>
      <c r="I15" s="101">
        <v>0.25</v>
      </c>
      <c r="K15" s="123"/>
      <c r="L15" s="123"/>
      <c r="M15" s="123"/>
      <c r="N15" s="123"/>
      <c r="O15" s="123"/>
      <c r="P15" s="123"/>
      <c r="Q15" s="123"/>
      <c r="R15" s="123"/>
      <c r="S15" s="123"/>
      <c r="T15" s="123"/>
    </row>
    <row r="16" spans="2:20" x14ac:dyDescent="0.35">
      <c r="B16" s="63"/>
      <c r="C16" s="59"/>
      <c r="D16" s="77"/>
      <c r="E16" s="59"/>
      <c r="F16" s="59"/>
      <c r="G16" s="59"/>
      <c r="H16" s="59"/>
      <c r="I16" s="59"/>
      <c r="K16" s="123"/>
      <c r="L16" s="123"/>
      <c r="M16" s="123"/>
      <c r="N16" s="123"/>
      <c r="O16" s="123"/>
      <c r="P16" s="123"/>
      <c r="Q16" s="123"/>
      <c r="R16" s="123"/>
      <c r="S16" s="123"/>
      <c r="T16" s="123"/>
    </row>
    <row r="17" spans="2:20" x14ac:dyDescent="0.35">
      <c r="B17" s="63" t="s">
        <v>284</v>
      </c>
      <c r="C17" s="59"/>
      <c r="D17" s="77">
        <f>D13*(1-D15)</f>
        <v>4490.5574999999999</v>
      </c>
      <c r="E17" s="59">
        <f>D17*(1+$C$28)</f>
        <v>5861.866501121136</v>
      </c>
      <c r="F17" s="59">
        <f t="shared" ref="F17:I17" si="2">E17*(1+$C$28)</f>
        <v>7651.9405167323093</v>
      </c>
      <c r="G17" s="59">
        <f t="shared" si="2"/>
        <v>9988.6603798313863</v>
      </c>
      <c r="H17" s="59">
        <f t="shared" si="2"/>
        <v>13038.958675311367</v>
      </c>
      <c r="I17" s="59">
        <f t="shared" si="2"/>
        <v>17020.745212217087</v>
      </c>
      <c r="K17" s="123"/>
      <c r="L17" s="123"/>
      <c r="M17" s="123"/>
      <c r="N17" s="123"/>
      <c r="O17" s="123"/>
      <c r="P17" s="123"/>
      <c r="Q17" s="123"/>
      <c r="R17" s="123"/>
      <c r="S17" s="123"/>
      <c r="T17" s="123"/>
    </row>
    <row r="18" spans="2:20" x14ac:dyDescent="0.35">
      <c r="B18" s="63"/>
      <c r="C18" s="59"/>
      <c r="D18" s="77"/>
      <c r="E18" s="59"/>
      <c r="F18" s="59"/>
      <c r="G18" s="59"/>
      <c r="H18" s="59"/>
      <c r="I18" s="59"/>
      <c r="K18" s="123"/>
      <c r="L18" s="123"/>
      <c r="M18" s="123"/>
      <c r="N18" s="123"/>
      <c r="O18" s="123"/>
      <c r="P18" s="123"/>
      <c r="Q18" s="123"/>
      <c r="R18" s="123"/>
      <c r="S18" s="123"/>
      <c r="T18" s="123"/>
    </row>
    <row r="19" spans="2:20" x14ac:dyDescent="0.35">
      <c r="B19" s="63" t="s">
        <v>285</v>
      </c>
      <c r="C19" s="59"/>
      <c r="D19" s="100">
        <f>40%</f>
        <v>0.4</v>
      </c>
      <c r="E19" s="101">
        <f>40%</f>
        <v>0.4</v>
      </c>
      <c r="F19" s="101">
        <f>40%</f>
        <v>0.4</v>
      </c>
      <c r="G19" s="101">
        <f>40%</f>
        <v>0.4</v>
      </c>
      <c r="H19" s="101">
        <f>40%</f>
        <v>0.4</v>
      </c>
      <c r="I19" s="101">
        <f>40%</f>
        <v>0.4</v>
      </c>
      <c r="K19" s="123"/>
      <c r="L19" s="123"/>
      <c r="M19" s="123"/>
      <c r="N19" s="123"/>
      <c r="O19" s="123"/>
      <c r="P19" s="123"/>
      <c r="Q19" s="123"/>
      <c r="R19" s="123"/>
      <c r="S19" s="123"/>
      <c r="T19" s="123"/>
    </row>
    <row r="20" spans="2:20" x14ac:dyDescent="0.35">
      <c r="B20" s="63"/>
      <c r="C20" s="59"/>
      <c r="D20" s="77"/>
      <c r="E20" s="59"/>
      <c r="F20" s="59"/>
      <c r="G20" s="59"/>
      <c r="H20" s="59"/>
      <c r="I20" s="59"/>
      <c r="K20" s="123"/>
      <c r="L20" s="123"/>
      <c r="M20" s="123"/>
      <c r="N20" s="123"/>
      <c r="O20" s="123"/>
      <c r="P20" s="123"/>
      <c r="Q20" s="123"/>
      <c r="R20" s="123"/>
      <c r="S20" s="123"/>
      <c r="T20" s="123"/>
    </row>
    <row r="21" spans="2:20" x14ac:dyDescent="0.35">
      <c r="B21" s="63" t="s">
        <v>286</v>
      </c>
      <c r="C21" s="59"/>
      <c r="D21" s="77">
        <f>D17*(1-D19)</f>
        <v>2694.3344999999999</v>
      </c>
      <c r="E21" s="59">
        <f t="shared" ref="E21:I21" si="3">E17*(1-E19)</f>
        <v>3517.1199006726815</v>
      </c>
      <c r="F21" s="59">
        <f t="shared" si="3"/>
        <v>4591.1643100393858</v>
      </c>
      <c r="G21" s="59">
        <f t="shared" si="3"/>
        <v>5993.1962278988312</v>
      </c>
      <c r="H21" s="59">
        <f t="shared" si="3"/>
        <v>7823.3752051868196</v>
      </c>
      <c r="I21" s="59">
        <f t="shared" si="3"/>
        <v>10212.447127330252</v>
      </c>
      <c r="K21" s="123"/>
      <c r="L21" s="123"/>
      <c r="M21" s="123"/>
      <c r="N21" s="123"/>
      <c r="O21" s="123"/>
      <c r="P21" s="123"/>
      <c r="Q21" s="123"/>
      <c r="R21" s="123"/>
      <c r="S21" s="123"/>
      <c r="T21" s="123"/>
    </row>
    <row r="22" spans="2:20" x14ac:dyDescent="0.35">
      <c r="B22" s="63"/>
      <c r="C22" s="59"/>
      <c r="D22" s="59"/>
      <c r="E22" s="59"/>
      <c r="F22" s="59"/>
      <c r="G22" s="59"/>
      <c r="H22" s="59"/>
      <c r="I22" s="59"/>
      <c r="K22" s="123"/>
      <c r="L22" s="123"/>
      <c r="M22" s="123"/>
      <c r="N22" s="123"/>
      <c r="O22" s="123"/>
      <c r="P22" s="123"/>
      <c r="Q22" s="123"/>
      <c r="R22" s="123"/>
      <c r="S22" s="123"/>
      <c r="T22" s="123"/>
    </row>
    <row r="23" spans="2:20" x14ac:dyDescent="0.35">
      <c r="B23" s="63" t="s">
        <v>287</v>
      </c>
      <c r="C23" s="59"/>
      <c r="D23" s="59"/>
      <c r="E23" s="102">
        <v>0.5</v>
      </c>
      <c r="F23" s="59">
        <f>E23+1</f>
        <v>1.5</v>
      </c>
      <c r="G23" s="59">
        <f t="shared" ref="G23:I23" si="4">F23+1</f>
        <v>2.5</v>
      </c>
      <c r="H23" s="59">
        <f t="shared" si="4"/>
        <v>3.5</v>
      </c>
      <c r="I23" s="59">
        <f t="shared" si="4"/>
        <v>4.5</v>
      </c>
      <c r="K23" s="123"/>
      <c r="L23" s="123"/>
      <c r="M23" s="123"/>
      <c r="N23" s="123"/>
      <c r="O23" s="123"/>
      <c r="P23" s="123"/>
      <c r="Q23" s="123"/>
      <c r="R23" s="123"/>
      <c r="S23" s="123"/>
      <c r="T23" s="123"/>
    </row>
    <row r="24" spans="2:20" x14ac:dyDescent="0.35">
      <c r="B24" s="63" t="s">
        <v>288</v>
      </c>
      <c r="C24" s="59"/>
      <c r="D24" s="59"/>
      <c r="E24" s="76">
        <f>1/(1+$C$30)^E23</f>
        <v>0.94146835550742025</v>
      </c>
      <c r="F24" s="76">
        <f t="shared" ref="F24:I24" si="5">1/(1+$C$30)^F23</f>
        <v>0.83448240005641128</v>
      </c>
      <c r="G24" s="76">
        <f t="shared" si="5"/>
        <v>0.73965404352713782</v>
      </c>
      <c r="H24" s="76">
        <f t="shared" si="5"/>
        <v>0.65560172877110623</v>
      </c>
      <c r="I24" s="76">
        <f t="shared" si="5"/>
        <v>0.58110089511312635</v>
      </c>
      <c r="K24" s="123"/>
      <c r="L24" s="123"/>
      <c r="M24" s="123"/>
      <c r="N24" s="123"/>
      <c r="O24" s="123"/>
      <c r="P24" s="123"/>
      <c r="Q24" s="123"/>
      <c r="R24" s="123"/>
      <c r="S24" s="123"/>
      <c r="T24" s="123"/>
    </row>
    <row r="25" spans="2:20" ht="2" customHeight="1" x14ac:dyDescent="0.35">
      <c r="B25" s="63"/>
      <c r="C25" s="59"/>
      <c r="D25" s="59"/>
      <c r="E25" s="59"/>
      <c r="F25" s="59"/>
      <c r="G25" s="59"/>
      <c r="H25" s="59"/>
      <c r="I25" s="59"/>
      <c r="K25" s="123"/>
      <c r="L25" s="123"/>
      <c r="M25" s="123"/>
      <c r="N25" s="123"/>
      <c r="O25" s="123"/>
      <c r="P25" s="123"/>
      <c r="Q25" s="123"/>
      <c r="R25" s="123"/>
      <c r="S25" s="123"/>
      <c r="T25" s="123"/>
    </row>
    <row r="26" spans="2:20" x14ac:dyDescent="0.35">
      <c r="B26" s="350" t="s">
        <v>289</v>
      </c>
      <c r="C26" s="323"/>
      <c r="D26" s="323"/>
      <c r="E26" s="323">
        <f>E21*E24</f>
        <v>3311.2570890087309</v>
      </c>
      <c r="F26" s="323">
        <f t="shared" ref="F26:I26" si="6">F21*F24</f>
        <v>3831.245812495004</v>
      </c>
      <c r="G26" s="323">
        <f t="shared" si="6"/>
        <v>4432.8918236169602</v>
      </c>
      <c r="H26" s="323">
        <f t="shared" si="6"/>
        <v>5129.0183093454871</v>
      </c>
      <c r="I26" s="323">
        <f t="shared" si="6"/>
        <v>5934.4621669870849</v>
      </c>
      <c r="K26" s="123"/>
      <c r="L26" s="123"/>
      <c r="M26" s="123"/>
      <c r="N26" s="123"/>
      <c r="O26" s="123"/>
      <c r="P26" s="123"/>
      <c r="Q26" s="123"/>
      <c r="R26" s="123"/>
      <c r="S26" s="123"/>
      <c r="T26" s="123"/>
    </row>
    <row r="27" spans="2:20" x14ac:dyDescent="0.35">
      <c r="B27" s="124"/>
      <c r="C27" s="123"/>
      <c r="D27" s="123"/>
      <c r="E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</row>
    <row r="28" spans="2:20" outlineLevel="1" x14ac:dyDescent="0.35">
      <c r="B28" s="351" t="s">
        <v>302</v>
      </c>
      <c r="C28" s="352">
        <f>'Intrisc Value'!J74</f>
        <v>0.3053761144626555</v>
      </c>
      <c r="D28" s="123"/>
      <c r="E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</row>
    <row r="29" spans="2:20" outlineLevel="1" x14ac:dyDescent="0.35">
      <c r="B29" s="134" t="s">
        <v>290</v>
      </c>
      <c r="C29" s="135">
        <v>6.2E-2</v>
      </c>
      <c r="D29" s="123"/>
      <c r="E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</row>
    <row r="30" spans="2:20" outlineLevel="1" x14ac:dyDescent="0.35">
      <c r="B30" s="134" t="s">
        <v>291</v>
      </c>
      <c r="C30" s="136">
        <f>WACC!J49</f>
        <v>0.12820636533949287</v>
      </c>
      <c r="D30" s="123"/>
      <c r="E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</row>
    <row r="31" spans="2:20" x14ac:dyDescent="0.35">
      <c r="B31" s="63"/>
      <c r="C31" s="59"/>
      <c r="D31" s="123"/>
      <c r="E31" s="57"/>
      <c r="F31" s="57"/>
      <c r="G31" s="57"/>
      <c r="H31" s="57"/>
      <c r="I31" s="57"/>
      <c r="K31" s="123"/>
      <c r="L31" s="123"/>
      <c r="M31" s="123"/>
      <c r="N31" s="123"/>
      <c r="O31" s="123"/>
      <c r="P31" s="123"/>
      <c r="Q31" s="123"/>
      <c r="R31" s="123"/>
      <c r="S31" s="123"/>
      <c r="T31" s="123"/>
    </row>
    <row r="32" spans="2:20" ht="15.5" x14ac:dyDescent="0.35">
      <c r="B32" s="94" t="s">
        <v>303</v>
      </c>
      <c r="C32" s="59"/>
      <c r="D32" s="123"/>
      <c r="E32" s="224" t="s">
        <v>360</v>
      </c>
      <c r="F32" s="224"/>
      <c r="G32" s="224"/>
      <c r="H32" s="224"/>
      <c r="I32" s="224"/>
      <c r="K32" s="123"/>
      <c r="L32" s="123"/>
      <c r="M32" s="123"/>
      <c r="N32" s="123"/>
      <c r="O32" s="123"/>
      <c r="P32" s="123"/>
      <c r="Q32" s="123"/>
      <c r="R32" s="123"/>
      <c r="S32" s="123"/>
      <c r="T32" s="123"/>
    </row>
    <row r="33" spans="1:20" x14ac:dyDescent="0.35">
      <c r="B33" s="63"/>
      <c r="C33" s="59"/>
      <c r="D33" s="123"/>
      <c r="E33" s="120">
        <f>C38</f>
        <v>47104.797354569724</v>
      </c>
      <c r="F33" s="64">
        <v>0.11</v>
      </c>
      <c r="G33" s="60">
        <v>0.12820000000000001</v>
      </c>
      <c r="H33" s="64">
        <v>0.13</v>
      </c>
      <c r="I33" s="64">
        <v>0.14000000000000001</v>
      </c>
      <c r="K33" s="123"/>
      <c r="L33" s="123"/>
      <c r="M33" s="123"/>
      <c r="N33" s="123"/>
      <c r="O33" s="123"/>
      <c r="P33" s="123"/>
      <c r="Q33" s="123"/>
      <c r="R33" s="123"/>
      <c r="S33" s="123"/>
      <c r="T33" s="123"/>
    </row>
    <row r="34" spans="1:20" x14ac:dyDescent="0.35">
      <c r="B34" s="63" t="s">
        <v>315</v>
      </c>
      <c r="C34" s="59">
        <f>I21*C28</f>
        <v>3118.6374228994205</v>
      </c>
      <c r="D34" s="123"/>
      <c r="E34" s="64">
        <v>0.05</v>
      </c>
      <c r="F34" s="59">
        <f t="dataTable" ref="F34:I37" dt2D="1" dtr="1" r1="C35" r2="C36"/>
        <v>51977.290381657011</v>
      </c>
      <c r="G34" s="59">
        <v>39880.273950120463</v>
      </c>
      <c r="H34" s="59">
        <v>38982.967786242756</v>
      </c>
      <c r="I34" s="59">
        <v>34651.526921104669</v>
      </c>
      <c r="K34" s="123"/>
      <c r="L34" s="123"/>
      <c r="M34" s="123"/>
      <c r="N34" s="123"/>
      <c r="O34" s="123"/>
      <c r="P34" s="123"/>
      <c r="Q34" s="123"/>
      <c r="R34" s="123"/>
      <c r="S34" s="123"/>
      <c r="T34" s="123"/>
    </row>
    <row r="35" spans="1:20" x14ac:dyDescent="0.35">
      <c r="B35" s="63" t="s">
        <v>291</v>
      </c>
      <c r="C35" s="60">
        <f>C30</f>
        <v>0.12820636533949287</v>
      </c>
      <c r="D35" s="123"/>
      <c r="E35" s="60">
        <v>6.2E-2</v>
      </c>
      <c r="F35" s="59">
        <v>64971.612977071258</v>
      </c>
      <c r="G35" s="78">
        <v>47109.326629900606</v>
      </c>
      <c r="H35" s="59">
        <v>45862.315042638533</v>
      </c>
      <c r="I35" s="59">
        <v>39982.531062813076</v>
      </c>
      <c r="K35" s="123"/>
      <c r="L35" s="123"/>
      <c r="M35" s="123"/>
      <c r="N35" s="123"/>
      <c r="O35" s="123"/>
      <c r="P35" s="123"/>
      <c r="Q35" s="123"/>
      <c r="R35" s="123"/>
      <c r="S35" s="123"/>
      <c r="T35" s="123"/>
    </row>
    <row r="36" spans="1:20" x14ac:dyDescent="0.35">
      <c r="B36" s="63" t="s">
        <v>305</v>
      </c>
      <c r="C36" s="60">
        <f>C29</f>
        <v>6.2E-2</v>
      </c>
      <c r="D36" s="123"/>
      <c r="E36" s="64">
        <v>7.0000000000000007E-2</v>
      </c>
      <c r="F36" s="59">
        <v>77965.935572485527</v>
      </c>
      <c r="G36" s="59">
        <v>53584.835445007222</v>
      </c>
      <c r="H36" s="59">
        <v>51977.290381657011</v>
      </c>
      <c r="I36" s="59">
        <v>44551.963184277432</v>
      </c>
      <c r="K36" s="123"/>
      <c r="L36" s="123"/>
      <c r="M36" s="123"/>
      <c r="N36" s="123"/>
      <c r="O36" s="123"/>
      <c r="P36" s="123"/>
      <c r="Q36" s="123"/>
      <c r="R36" s="123"/>
      <c r="S36" s="123"/>
      <c r="T36" s="123"/>
    </row>
    <row r="37" spans="1:20" x14ac:dyDescent="0.35">
      <c r="B37" s="63"/>
      <c r="C37" s="59"/>
      <c r="D37" s="123"/>
      <c r="E37" s="64">
        <v>0.08</v>
      </c>
      <c r="F37" s="59">
        <v>103954.58076331402</v>
      </c>
      <c r="G37" s="59">
        <v>64702.021221979667</v>
      </c>
      <c r="H37" s="59">
        <v>62372.748457988404</v>
      </c>
      <c r="I37" s="59">
        <v>51977.290381656996</v>
      </c>
      <c r="K37" s="123"/>
      <c r="L37" s="123"/>
      <c r="M37" s="123"/>
      <c r="N37" s="123"/>
      <c r="O37" s="123"/>
      <c r="P37" s="123"/>
      <c r="Q37" s="123"/>
      <c r="R37" s="123"/>
      <c r="S37" s="123"/>
      <c r="T37" s="123"/>
    </row>
    <row r="38" spans="1:20" x14ac:dyDescent="0.35">
      <c r="B38" s="257" t="s">
        <v>304</v>
      </c>
      <c r="C38" s="254">
        <f>C34/(C35-C36)</f>
        <v>47104.797354569724</v>
      </c>
      <c r="D38" s="123"/>
      <c r="E38" s="254"/>
      <c r="F38" s="254"/>
      <c r="G38" s="254"/>
      <c r="H38" s="254"/>
      <c r="I38" s="254"/>
      <c r="K38" s="123"/>
      <c r="L38" s="123"/>
      <c r="M38" s="123"/>
      <c r="N38" s="123"/>
      <c r="O38" s="123"/>
      <c r="P38" s="123"/>
      <c r="Q38" s="123"/>
      <c r="R38" s="123"/>
      <c r="S38" s="123"/>
      <c r="T38" s="123"/>
    </row>
    <row r="39" spans="1:20" x14ac:dyDescent="0.35">
      <c r="B39" s="124"/>
      <c r="C39" s="123"/>
      <c r="D39" s="123"/>
      <c r="E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</row>
    <row r="40" spans="1:20" x14ac:dyDescent="0.35">
      <c r="B40" s="124"/>
      <c r="C40" s="123"/>
      <c r="D40" s="123"/>
      <c r="E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</row>
    <row r="41" spans="1:20" ht="15.5" x14ac:dyDescent="0.35">
      <c r="B41" s="335" t="s">
        <v>310</v>
      </c>
      <c r="C41" s="57"/>
      <c r="D41" s="123"/>
      <c r="E41" s="57"/>
      <c r="F41" s="57"/>
      <c r="G41" s="57"/>
      <c r="H41" s="57"/>
      <c r="I41" s="57"/>
      <c r="K41" s="123"/>
      <c r="L41" s="123"/>
      <c r="M41" s="123"/>
      <c r="N41" s="123"/>
      <c r="O41" s="123"/>
      <c r="P41" s="123"/>
      <c r="Q41" s="123"/>
      <c r="R41" s="123"/>
      <c r="S41" s="123"/>
      <c r="T41" s="123"/>
    </row>
    <row r="42" spans="1:20" ht="15.5" x14ac:dyDescent="0.35">
      <c r="B42" s="63"/>
      <c r="C42" s="59"/>
      <c r="D42" s="123"/>
      <c r="E42" s="224" t="s">
        <v>370</v>
      </c>
      <c r="F42" s="224"/>
      <c r="G42" s="224"/>
      <c r="H42" s="224"/>
      <c r="I42" s="224"/>
      <c r="K42" s="123"/>
      <c r="L42" s="123"/>
      <c r="M42" s="123"/>
      <c r="N42" s="123"/>
      <c r="O42" s="123"/>
      <c r="P42" s="123"/>
      <c r="Q42" s="123"/>
      <c r="R42" s="123"/>
      <c r="S42" s="123"/>
      <c r="T42" s="123"/>
    </row>
    <row r="43" spans="1:20" x14ac:dyDescent="0.35">
      <c r="B43" s="63" t="s">
        <v>289</v>
      </c>
      <c r="C43" s="76">
        <f>SUM(E26:I26)</f>
        <v>22638.875201453266</v>
      </c>
      <c r="D43" s="123"/>
      <c r="E43" s="117">
        <f>C54</f>
        <v>7122</v>
      </c>
      <c r="F43" s="64">
        <v>0.11</v>
      </c>
      <c r="G43" s="60">
        <v>0.12820000000000001</v>
      </c>
      <c r="H43" s="64">
        <v>0.13</v>
      </c>
      <c r="I43" s="64">
        <v>0.14000000000000001</v>
      </c>
      <c r="K43" s="123"/>
      <c r="L43" s="123"/>
      <c r="M43" s="123"/>
      <c r="N43" s="123"/>
      <c r="O43" s="123"/>
      <c r="P43" s="123"/>
      <c r="Q43" s="123"/>
      <c r="R43" s="123"/>
      <c r="S43" s="123"/>
      <c r="T43" s="123"/>
    </row>
    <row r="44" spans="1:20" x14ac:dyDescent="0.35">
      <c r="B44" s="63" t="s">
        <v>306</v>
      </c>
      <c r="C44" s="76">
        <f>C43*I24</f>
        <v>13155.47064391885</v>
      </c>
      <c r="D44" s="123"/>
      <c r="E44" s="64">
        <v>0.05</v>
      </c>
      <c r="F44" s="59">
        <f t="dataTable" ref="F44:I47" dt2D="1" dtr="1" r1="C35" r2="C36"/>
        <v>7122</v>
      </c>
      <c r="G44" s="59">
        <v>7122</v>
      </c>
      <c r="H44" s="59">
        <v>7122</v>
      </c>
      <c r="I44" s="59">
        <v>7122</v>
      </c>
      <c r="K44" s="123"/>
      <c r="L44" s="123"/>
      <c r="M44" s="123"/>
      <c r="N44" s="123"/>
      <c r="O44" s="123"/>
      <c r="P44" s="123"/>
      <c r="Q44" s="123"/>
      <c r="R44" s="123"/>
      <c r="S44" s="123"/>
      <c r="T44" s="123"/>
    </row>
    <row r="45" spans="1:20" x14ac:dyDescent="0.35">
      <c r="A45" t="s">
        <v>265</v>
      </c>
      <c r="B45" s="321" t="s">
        <v>307</v>
      </c>
      <c r="C45" s="348">
        <f>SUM(C43,C44)</f>
        <v>35794.345845372118</v>
      </c>
      <c r="D45" s="123"/>
      <c r="E45" s="60">
        <v>6.2E-2</v>
      </c>
      <c r="F45" s="59">
        <v>7122</v>
      </c>
      <c r="G45" s="59">
        <v>7122</v>
      </c>
      <c r="H45" s="59">
        <v>7122</v>
      </c>
      <c r="I45" s="59">
        <v>7122</v>
      </c>
      <c r="K45" s="123"/>
      <c r="L45" s="123"/>
      <c r="M45" s="123"/>
      <c r="N45" s="123"/>
      <c r="O45" s="123"/>
      <c r="P45" s="123"/>
      <c r="Q45" s="123"/>
      <c r="R45" s="123"/>
      <c r="S45" s="123"/>
      <c r="T45" s="123"/>
    </row>
    <row r="46" spans="1:20" x14ac:dyDescent="0.35">
      <c r="B46" s="124"/>
      <c r="C46" s="349"/>
      <c r="D46" s="123"/>
      <c r="E46" s="64">
        <v>7.0000000000000007E-2</v>
      </c>
      <c r="F46" s="59">
        <v>7122</v>
      </c>
      <c r="G46" s="59">
        <v>7122</v>
      </c>
      <c r="H46" s="59">
        <v>7122</v>
      </c>
      <c r="I46" s="59">
        <v>7122</v>
      </c>
      <c r="K46" s="123"/>
      <c r="L46" s="123"/>
      <c r="M46" s="123"/>
      <c r="N46" s="123"/>
      <c r="O46" s="123"/>
      <c r="P46" s="123"/>
      <c r="Q46" s="123"/>
      <c r="R46" s="123"/>
      <c r="S46" s="123"/>
      <c r="T46" s="123"/>
    </row>
    <row r="47" spans="1:20" x14ac:dyDescent="0.35">
      <c r="B47" s="90" t="s">
        <v>308</v>
      </c>
      <c r="C47" s="191">
        <f>'Data Sheet'!K69</f>
        <v>263.01</v>
      </c>
      <c r="D47" s="123"/>
      <c r="E47" s="64">
        <v>0.08</v>
      </c>
      <c r="F47" s="59">
        <v>7122</v>
      </c>
      <c r="G47" s="59">
        <v>7122</v>
      </c>
      <c r="H47" s="59">
        <v>7122</v>
      </c>
      <c r="I47" s="59">
        <v>7122</v>
      </c>
      <c r="K47" s="123"/>
      <c r="L47" s="123"/>
      <c r="M47" s="123"/>
      <c r="N47" s="123"/>
      <c r="O47" s="123"/>
      <c r="P47" s="123"/>
      <c r="Q47" s="123"/>
      <c r="R47" s="123"/>
      <c r="S47" s="123"/>
      <c r="T47" s="123"/>
    </row>
    <row r="48" spans="1:20" x14ac:dyDescent="0.35">
      <c r="B48" s="63" t="s">
        <v>309</v>
      </c>
      <c r="C48" s="119">
        <f>SUM('Historical IFS'!L55:L56)</f>
        <v>5877.92</v>
      </c>
      <c r="D48" s="123"/>
      <c r="E48" s="254"/>
      <c r="F48" s="254"/>
      <c r="G48" s="254"/>
      <c r="H48" s="254"/>
      <c r="I48" s="254"/>
      <c r="J48" s="151"/>
      <c r="K48" s="123"/>
      <c r="L48" s="123"/>
      <c r="M48" s="123"/>
      <c r="N48" s="123"/>
      <c r="O48" s="123"/>
      <c r="P48" s="123"/>
      <c r="Q48" s="123"/>
      <c r="R48" s="123"/>
      <c r="S48" s="123"/>
      <c r="T48" s="123"/>
    </row>
    <row r="49" spans="2:20" x14ac:dyDescent="0.35">
      <c r="B49" s="92" t="s">
        <v>311</v>
      </c>
      <c r="C49" s="118">
        <f>C45+C47-C48</f>
        <v>30179.435845372122</v>
      </c>
      <c r="D49" s="151"/>
      <c r="E49" s="151"/>
      <c r="F49" s="151"/>
      <c r="G49" s="151"/>
      <c r="H49" s="151"/>
      <c r="I49" s="151"/>
      <c r="J49" s="151"/>
      <c r="K49" s="123"/>
      <c r="L49" s="123"/>
      <c r="M49" s="123"/>
      <c r="N49" s="123"/>
      <c r="O49" s="123"/>
      <c r="P49" s="123"/>
      <c r="Q49" s="123"/>
      <c r="R49" s="123"/>
      <c r="S49" s="123"/>
      <c r="T49" s="123"/>
    </row>
    <row r="50" spans="2:20" x14ac:dyDescent="0.35">
      <c r="B50" s="63" t="s">
        <v>312</v>
      </c>
      <c r="C50" s="119">
        <f>'Data Sheet'!B6</f>
        <v>27.429923992542662</v>
      </c>
      <c r="D50" s="276"/>
      <c r="E50" s="276"/>
      <c r="F50" s="276"/>
      <c r="G50" s="276"/>
      <c r="H50" s="276"/>
      <c r="I50" s="276"/>
      <c r="J50" s="276"/>
      <c r="K50" s="123"/>
      <c r="L50" s="123"/>
      <c r="M50" s="123"/>
      <c r="N50" s="123"/>
      <c r="O50" s="123"/>
      <c r="P50" s="123"/>
      <c r="Q50" s="123"/>
      <c r="R50" s="123"/>
      <c r="S50" s="123"/>
      <c r="T50" s="123"/>
    </row>
    <row r="51" spans="2:20" ht="7" customHeight="1" x14ac:dyDescent="0.35">
      <c r="B51" s="90"/>
      <c r="C51" s="191"/>
      <c r="D51" s="276"/>
      <c r="E51" s="276"/>
      <c r="F51" s="276"/>
      <c r="G51" s="276"/>
      <c r="H51" s="276"/>
      <c r="I51" s="276"/>
      <c r="J51" s="276"/>
      <c r="K51" s="123"/>
      <c r="L51" s="123"/>
      <c r="M51" s="123"/>
      <c r="N51" s="123"/>
      <c r="O51" s="123"/>
      <c r="P51" s="123"/>
      <c r="Q51" s="123"/>
      <c r="R51" s="123"/>
      <c r="S51" s="123"/>
      <c r="T51" s="123"/>
    </row>
    <row r="52" spans="2:20" x14ac:dyDescent="0.35">
      <c r="B52" s="257" t="s">
        <v>313</v>
      </c>
      <c r="C52" s="258">
        <f>C49/C50</f>
        <v>1100.2376766912284</v>
      </c>
      <c r="D52" s="276"/>
      <c r="E52" s="276"/>
      <c r="F52" s="276"/>
      <c r="G52" s="276"/>
      <c r="H52" s="276"/>
      <c r="I52" s="276"/>
      <c r="J52" s="276"/>
      <c r="K52" s="123"/>
      <c r="L52" s="123"/>
      <c r="M52" s="123"/>
      <c r="N52" s="123"/>
      <c r="O52" s="123"/>
      <c r="P52" s="123"/>
      <c r="Q52" s="123"/>
      <c r="R52" s="123"/>
      <c r="S52" s="123"/>
      <c r="T52" s="123"/>
    </row>
    <row r="53" spans="2:20" x14ac:dyDescent="0.35">
      <c r="B53" s="124"/>
      <c r="C53" s="123"/>
      <c r="D53" s="276"/>
      <c r="E53" s="276"/>
      <c r="F53" s="276"/>
      <c r="G53" s="276"/>
      <c r="H53" s="276"/>
      <c r="I53" s="276"/>
      <c r="J53" s="276"/>
      <c r="K53" s="151"/>
      <c r="L53" s="151"/>
      <c r="M53" s="123"/>
      <c r="N53" s="123"/>
      <c r="O53" s="123"/>
      <c r="P53" s="123"/>
      <c r="Q53" s="123"/>
      <c r="R53" s="123"/>
      <c r="S53" s="123"/>
      <c r="T53" s="123"/>
    </row>
    <row r="54" spans="2:20" x14ac:dyDescent="0.35">
      <c r="B54" s="90" t="s">
        <v>316</v>
      </c>
      <c r="C54" s="347">
        <v>7122</v>
      </c>
      <c r="D54" s="151"/>
      <c r="E54" s="151"/>
      <c r="F54" s="151"/>
      <c r="G54" s="151"/>
      <c r="H54" s="151"/>
      <c r="I54" s="151"/>
      <c r="J54" s="151"/>
      <c r="K54" s="151"/>
      <c r="L54" s="151"/>
      <c r="M54" s="123"/>
      <c r="N54" s="123"/>
      <c r="O54" s="123"/>
      <c r="P54" s="123"/>
      <c r="Q54" s="123"/>
      <c r="R54" s="123"/>
      <c r="S54" s="123"/>
      <c r="T54" s="123"/>
    </row>
    <row r="55" spans="2:20" x14ac:dyDescent="0.35">
      <c r="B55" s="63" t="s">
        <v>314</v>
      </c>
      <c r="C55" s="72">
        <f>C54/C52-1</f>
        <v>5.4731468035326367</v>
      </c>
      <c r="D55" s="276"/>
      <c r="E55" s="276"/>
      <c r="F55" s="276"/>
      <c r="G55" s="276"/>
      <c r="H55" s="276"/>
      <c r="I55" s="276"/>
      <c r="J55" s="276"/>
      <c r="K55" s="276"/>
      <c r="L55" s="276"/>
      <c r="M55" s="123"/>
      <c r="N55" s="123"/>
      <c r="O55" s="123"/>
      <c r="P55" s="123"/>
      <c r="Q55" s="123"/>
      <c r="R55" s="123"/>
      <c r="S55" s="123"/>
      <c r="T55" s="123"/>
    </row>
    <row r="56" spans="2:20" x14ac:dyDescent="0.35">
      <c r="B56" s="254"/>
      <c r="C56" s="254"/>
      <c r="D56" s="276"/>
      <c r="E56" s="276"/>
      <c r="F56" s="276"/>
      <c r="G56" s="276"/>
      <c r="H56" s="276"/>
      <c r="I56" s="276"/>
      <c r="J56" s="276"/>
      <c r="K56" s="276"/>
      <c r="L56" s="276"/>
      <c r="M56" s="151"/>
      <c r="N56" s="151"/>
      <c r="O56" s="123"/>
      <c r="P56" s="123"/>
      <c r="Q56" s="123"/>
      <c r="R56" s="123"/>
      <c r="S56" s="123"/>
      <c r="T56" s="123"/>
    </row>
    <row r="57" spans="2:20" x14ac:dyDescent="0.35">
      <c r="B57" s="123"/>
      <c r="C57" s="123"/>
      <c r="D57" s="123"/>
      <c r="E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</row>
    <row r="58" spans="2:20" x14ac:dyDescent="0.35">
      <c r="B58" s="123"/>
      <c r="C58" s="123"/>
      <c r="D58" s="123"/>
      <c r="E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</row>
    <row r="59" spans="2:20" x14ac:dyDescent="0.35">
      <c r="B59" s="123"/>
      <c r="C59" s="123"/>
      <c r="D59" s="123"/>
      <c r="E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</row>
    <row r="60" spans="2:20" x14ac:dyDescent="0.35">
      <c r="B60" s="123"/>
      <c r="C60" s="123"/>
      <c r="D60" s="123"/>
      <c r="E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</row>
    <row r="61" spans="2:20" x14ac:dyDescent="0.35">
      <c r="B61" s="123"/>
      <c r="C61" s="123"/>
      <c r="D61" s="123"/>
      <c r="E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</row>
    <row r="62" spans="2:20" x14ac:dyDescent="0.35">
      <c r="B62" s="123"/>
      <c r="C62" s="123"/>
      <c r="D62" s="123"/>
      <c r="E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</row>
    <row r="63" spans="2:20" x14ac:dyDescent="0.35">
      <c r="B63" s="123"/>
      <c r="C63" s="123"/>
      <c r="D63" s="123"/>
      <c r="E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</row>
    <row r="64" spans="2:20" x14ac:dyDescent="0.35">
      <c r="B64" s="123"/>
      <c r="C64" s="123"/>
      <c r="D64" s="123"/>
      <c r="E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</row>
    <row r="65" spans="2:20" x14ac:dyDescent="0.35"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123"/>
      <c r="N65" s="123"/>
      <c r="O65" s="123"/>
      <c r="P65" s="123"/>
      <c r="Q65" s="123"/>
      <c r="R65" s="123"/>
      <c r="S65" s="123"/>
      <c r="T65" s="123"/>
    </row>
    <row r="66" spans="2:20" x14ac:dyDescent="0.35"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123"/>
      <c r="N66" s="123"/>
      <c r="O66" s="123"/>
      <c r="P66" s="123"/>
      <c r="Q66" s="123"/>
      <c r="R66" s="123"/>
      <c r="S66" s="123"/>
      <c r="T66" s="123"/>
    </row>
    <row r="67" spans="2:20" x14ac:dyDescent="0.35"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123"/>
      <c r="N67" s="123"/>
      <c r="O67" s="123"/>
      <c r="P67" s="123"/>
      <c r="Q67" s="123"/>
      <c r="R67" s="123"/>
      <c r="S67" s="123"/>
      <c r="T67" s="123"/>
    </row>
    <row r="68" spans="2:20" x14ac:dyDescent="0.35"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123"/>
      <c r="N68" s="123"/>
      <c r="O68" s="123"/>
      <c r="P68" s="123"/>
      <c r="Q68" s="123"/>
      <c r="R68" s="123"/>
      <c r="S68" s="123"/>
      <c r="T68" s="123"/>
    </row>
    <row r="69" spans="2:20" x14ac:dyDescent="0.35"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123"/>
      <c r="N69" s="123"/>
      <c r="O69" s="123"/>
      <c r="P69" s="123"/>
      <c r="Q69" s="123"/>
      <c r="R69" s="123"/>
      <c r="S69" s="123"/>
      <c r="T69" s="123"/>
    </row>
    <row r="70" spans="2:20" x14ac:dyDescent="0.35"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123"/>
      <c r="N70" s="123"/>
      <c r="O70" s="123"/>
      <c r="P70" s="123"/>
      <c r="Q70" s="123"/>
      <c r="R70" s="123"/>
      <c r="S70" s="123"/>
      <c r="T70" s="123"/>
    </row>
    <row r="71" spans="2:20" x14ac:dyDescent="0.35"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123"/>
      <c r="N71" s="123"/>
      <c r="O71" s="123"/>
      <c r="P71" s="123"/>
      <c r="Q71" s="123"/>
      <c r="R71" s="123"/>
      <c r="S71" s="123"/>
      <c r="T71" s="123"/>
    </row>
    <row r="72" spans="2:20" x14ac:dyDescent="0.35"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123"/>
      <c r="N72" s="123"/>
      <c r="O72" s="123"/>
      <c r="P72" s="123"/>
      <c r="Q72" s="123"/>
      <c r="R72" s="123"/>
      <c r="S72" s="123"/>
      <c r="T72" s="123"/>
    </row>
    <row r="73" spans="2:20" x14ac:dyDescent="0.35"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123"/>
      <c r="N73" s="123"/>
      <c r="O73" s="123"/>
      <c r="P73" s="123"/>
      <c r="Q73" s="123"/>
      <c r="R73" s="123"/>
      <c r="S73" s="123"/>
      <c r="T73" s="123"/>
    </row>
    <row r="74" spans="2:20" x14ac:dyDescent="0.35"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123"/>
      <c r="N74" s="123"/>
      <c r="O74" s="123"/>
      <c r="P74" s="123"/>
      <c r="Q74" s="123"/>
      <c r="R74" s="123"/>
      <c r="S74" s="123"/>
      <c r="T74" s="123"/>
    </row>
    <row r="75" spans="2:20" x14ac:dyDescent="0.35"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123"/>
      <c r="N75" s="123"/>
      <c r="O75" s="123"/>
      <c r="P75" s="123"/>
      <c r="Q75" s="123"/>
      <c r="R75" s="123"/>
      <c r="S75" s="123"/>
      <c r="T75" s="123"/>
    </row>
    <row r="76" spans="2:20" x14ac:dyDescent="0.35"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23"/>
      <c r="N76" s="123"/>
      <c r="O76" s="123"/>
      <c r="P76" s="123"/>
      <c r="Q76" s="123"/>
      <c r="R76" s="123"/>
      <c r="S76" s="123"/>
      <c r="T76" s="123"/>
    </row>
    <row r="77" spans="2:20" x14ac:dyDescent="0.35"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123"/>
      <c r="N77" s="123"/>
      <c r="O77" s="123"/>
      <c r="P77" s="123"/>
      <c r="Q77" s="123"/>
      <c r="R77" s="123"/>
      <c r="S77" s="123"/>
      <c r="T77" s="123"/>
    </row>
    <row r="78" spans="2:20" x14ac:dyDescent="0.35"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123"/>
      <c r="N78" s="123"/>
      <c r="O78" s="123"/>
      <c r="P78" s="123"/>
      <c r="Q78" s="123"/>
      <c r="R78" s="123"/>
      <c r="S78" s="123"/>
      <c r="T78" s="123"/>
    </row>
    <row r="79" spans="2:20" x14ac:dyDescent="0.35"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123"/>
      <c r="N79" s="123"/>
      <c r="O79" s="123"/>
      <c r="P79" s="123"/>
      <c r="Q79" s="123"/>
      <c r="R79" s="123"/>
      <c r="S79" s="123"/>
      <c r="T79" s="123"/>
    </row>
    <row r="80" spans="2:20" x14ac:dyDescent="0.35"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123"/>
      <c r="N80" s="123"/>
      <c r="O80" s="123"/>
      <c r="P80" s="123"/>
      <c r="Q80" s="123"/>
      <c r="R80" s="123"/>
      <c r="S80" s="123"/>
      <c r="T80" s="123"/>
    </row>
    <row r="81" spans="2:20" x14ac:dyDescent="0.35"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123"/>
      <c r="N81" s="123"/>
      <c r="O81" s="123"/>
      <c r="P81" s="123"/>
      <c r="Q81" s="123"/>
      <c r="R81" s="123"/>
      <c r="S81" s="123"/>
      <c r="T81" s="123"/>
    </row>
    <row r="82" spans="2:20" x14ac:dyDescent="0.35"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123"/>
      <c r="N82" s="123"/>
      <c r="O82" s="123"/>
      <c r="P82" s="123"/>
      <c r="Q82" s="123"/>
      <c r="R82" s="123"/>
      <c r="S82" s="123"/>
      <c r="T82" s="123"/>
    </row>
    <row r="83" spans="2:20" x14ac:dyDescent="0.35"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123"/>
      <c r="N83" s="123"/>
      <c r="O83" s="123"/>
      <c r="P83" s="123"/>
      <c r="Q83" s="123"/>
      <c r="R83" s="123"/>
      <c r="S83" s="123"/>
      <c r="T83" s="123"/>
    </row>
    <row r="84" spans="2:20" x14ac:dyDescent="0.35"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123"/>
      <c r="N84" s="123"/>
      <c r="O84" s="123"/>
      <c r="P84" s="123"/>
      <c r="Q84" s="123"/>
      <c r="R84" s="123"/>
      <c r="S84" s="123"/>
      <c r="T84" s="123"/>
    </row>
    <row r="85" spans="2:20" x14ac:dyDescent="0.35"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123"/>
      <c r="N85" s="123"/>
      <c r="O85" s="123"/>
      <c r="P85" s="123"/>
      <c r="Q85" s="123"/>
      <c r="R85" s="123"/>
      <c r="S85" s="123"/>
      <c r="T85" s="123"/>
    </row>
    <row r="86" spans="2:20" x14ac:dyDescent="0.35"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123"/>
      <c r="N86" s="123"/>
      <c r="O86" s="123"/>
      <c r="P86" s="123"/>
      <c r="Q86" s="123"/>
      <c r="R86" s="123"/>
      <c r="S86" s="123"/>
      <c r="T86" s="123"/>
    </row>
    <row r="87" spans="2:20" x14ac:dyDescent="0.35"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123"/>
      <c r="N87" s="123"/>
      <c r="O87" s="123"/>
      <c r="P87" s="123"/>
      <c r="Q87" s="123"/>
      <c r="R87" s="123"/>
      <c r="S87" s="123"/>
      <c r="T87" s="123"/>
    </row>
    <row r="88" spans="2:20" x14ac:dyDescent="0.35"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123"/>
      <c r="N88" s="123"/>
      <c r="O88" s="123"/>
      <c r="P88" s="123"/>
      <c r="Q88" s="123"/>
      <c r="R88" s="123"/>
      <c r="S88" s="123"/>
      <c r="T88" s="123"/>
    </row>
    <row r="89" spans="2:20" x14ac:dyDescent="0.35"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123"/>
      <c r="N89" s="123"/>
      <c r="O89" s="123"/>
      <c r="P89" s="123"/>
      <c r="Q89" s="123"/>
      <c r="R89" s="123"/>
      <c r="S89" s="123"/>
      <c r="T89" s="123"/>
    </row>
    <row r="90" spans="2:20" x14ac:dyDescent="0.35"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123"/>
      <c r="N90" s="123"/>
      <c r="O90" s="123"/>
      <c r="P90" s="123"/>
      <c r="Q90" s="123"/>
      <c r="R90" s="123"/>
      <c r="S90" s="123"/>
      <c r="T90" s="123"/>
    </row>
    <row r="91" spans="2:20" x14ac:dyDescent="0.35"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123"/>
      <c r="N91" s="123"/>
      <c r="O91" s="123"/>
      <c r="P91" s="123"/>
      <c r="Q91" s="123"/>
      <c r="R91" s="123"/>
      <c r="S91" s="123"/>
      <c r="T91" s="123"/>
    </row>
    <row r="92" spans="2:20" x14ac:dyDescent="0.35"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123"/>
      <c r="N92" s="123"/>
      <c r="O92" s="123"/>
      <c r="P92" s="123"/>
      <c r="Q92" s="123"/>
      <c r="R92" s="123"/>
      <c r="S92" s="123"/>
      <c r="T92" s="123"/>
    </row>
    <row r="93" spans="2:20" x14ac:dyDescent="0.35"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123"/>
      <c r="N93" s="123"/>
      <c r="O93" s="123"/>
      <c r="P93" s="123"/>
      <c r="Q93" s="123"/>
      <c r="R93" s="123"/>
      <c r="S93" s="123"/>
      <c r="T93" s="123"/>
    </row>
    <row r="94" spans="2:20" x14ac:dyDescent="0.35"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123"/>
      <c r="N94" s="123"/>
      <c r="O94" s="123"/>
      <c r="P94" s="123"/>
      <c r="Q94" s="123"/>
      <c r="R94" s="123"/>
      <c r="S94" s="123"/>
      <c r="T94" s="123"/>
    </row>
    <row r="95" spans="2:20" x14ac:dyDescent="0.35"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123"/>
      <c r="N95" s="123"/>
      <c r="O95" s="123"/>
      <c r="P95" s="123"/>
      <c r="Q95" s="123"/>
      <c r="R95" s="123"/>
      <c r="S95" s="123"/>
      <c r="T95" s="123"/>
    </row>
    <row r="96" spans="2:20" x14ac:dyDescent="0.35"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123"/>
      <c r="N96" s="123"/>
      <c r="O96" s="123"/>
      <c r="P96" s="123"/>
      <c r="Q96" s="123"/>
      <c r="R96" s="123"/>
      <c r="S96" s="123"/>
      <c r="T96" s="123"/>
    </row>
    <row r="97" spans="2:20" x14ac:dyDescent="0.35"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123"/>
      <c r="N97" s="123"/>
      <c r="O97" s="123"/>
      <c r="P97" s="123"/>
      <c r="Q97" s="123"/>
      <c r="R97" s="123"/>
      <c r="S97" s="123"/>
      <c r="T97" s="123"/>
    </row>
    <row r="98" spans="2:20" x14ac:dyDescent="0.35"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123"/>
      <c r="N98" s="123"/>
      <c r="O98" s="123"/>
      <c r="P98" s="123"/>
      <c r="Q98" s="123"/>
      <c r="R98" s="123"/>
      <c r="S98" s="123"/>
      <c r="T98" s="123"/>
    </row>
    <row r="99" spans="2:20" x14ac:dyDescent="0.35"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123"/>
      <c r="N99" s="123"/>
      <c r="O99" s="123"/>
      <c r="P99" s="123"/>
      <c r="Q99" s="123"/>
      <c r="R99" s="123"/>
      <c r="S99" s="123"/>
      <c r="T99" s="123"/>
    </row>
    <row r="100" spans="2:20" x14ac:dyDescent="0.35">
      <c r="B100" s="239"/>
      <c r="C100" s="239"/>
      <c r="D100" s="239"/>
      <c r="E100" s="239"/>
      <c r="F100" s="239"/>
      <c r="G100" s="239"/>
      <c r="H100" s="239"/>
      <c r="I100" s="239"/>
      <c r="J100" s="238"/>
      <c r="K100" s="238"/>
      <c r="L100" s="238"/>
      <c r="M100" s="43"/>
    </row>
    <row r="101" spans="2:20" x14ac:dyDescent="0.35"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123"/>
    </row>
    <row r="102" spans="2:20" x14ac:dyDescent="0.35"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123"/>
    </row>
    <row r="103" spans="2:20" x14ac:dyDescent="0.35"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123"/>
    </row>
    <row r="104" spans="2:20" x14ac:dyDescent="0.35"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123"/>
    </row>
    <row r="105" spans="2:20" x14ac:dyDescent="0.35"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123"/>
    </row>
    <row r="106" spans="2:20" x14ac:dyDescent="0.35"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123"/>
    </row>
    <row r="107" spans="2:20" x14ac:dyDescent="0.35"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123"/>
    </row>
    <row r="108" spans="2:20" x14ac:dyDescent="0.35">
      <c r="B108" s="123"/>
      <c r="C108" s="123"/>
      <c r="D108" s="123"/>
      <c r="E108" s="123"/>
      <c r="K108" s="123"/>
      <c r="L108" s="123"/>
      <c r="M108" s="123"/>
    </row>
    <row r="109" spans="2:20" x14ac:dyDescent="0.35">
      <c r="F109" s="43"/>
      <c r="G109" s="43"/>
      <c r="H109" s="43"/>
      <c r="I109" s="43"/>
      <c r="J109" s="43"/>
    </row>
  </sheetData>
  <mergeCells count="4">
    <mergeCell ref="E32:I32"/>
    <mergeCell ref="E42:I42"/>
    <mergeCell ref="B2:C7"/>
    <mergeCell ref="D2:I7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 xml:space="preserve">&amp;R </oddHeader>
    <oddFooter>&amp;RBy Nikhil Kulkarni MBA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A3A3A-297E-41A2-9D3C-1B1FC28BDA8E}">
  <sheetPr>
    <tabColor rgb="FF002060"/>
  </sheetPr>
  <dimension ref="A1:S108"/>
  <sheetViews>
    <sheetView showGridLines="0" tabSelected="1" view="pageBreakPreview" topLeftCell="A13" zoomScale="55" zoomScaleNormal="59" zoomScaleSheetLayoutView="55" workbookViewId="0">
      <selection activeCell="G72" sqref="G72"/>
    </sheetView>
  </sheetViews>
  <sheetFormatPr defaultRowHeight="14.5" x14ac:dyDescent="0.35"/>
  <cols>
    <col min="1" max="1" width="3.1796875" customWidth="1"/>
    <col min="2" max="2" width="27" customWidth="1"/>
    <col min="3" max="3" width="11.90625" customWidth="1"/>
    <col min="4" max="4" width="10.1796875" customWidth="1"/>
    <col min="5" max="5" width="14.7265625" customWidth="1"/>
    <col min="6" max="6" width="11.1796875" style="123" customWidth="1"/>
    <col min="7" max="7" width="10.453125" style="123" customWidth="1"/>
    <col min="8" max="8" width="10" style="123" customWidth="1"/>
    <col min="9" max="9" width="2.26953125" style="123" customWidth="1"/>
    <col min="10" max="10" width="10.08984375" style="123" bestFit="1" customWidth="1"/>
    <col min="11" max="12" width="9.08984375" bestFit="1" customWidth="1"/>
    <col min="13" max="13" width="3.36328125" style="123" customWidth="1"/>
    <col min="14" max="14" width="14.1796875" customWidth="1"/>
    <col min="15" max="15" width="11.36328125" customWidth="1"/>
    <col min="16" max="16" width="11.54296875" customWidth="1"/>
  </cols>
  <sheetData>
    <row r="1" spans="2:17" x14ac:dyDescent="0.35">
      <c r="F1"/>
      <c r="G1"/>
      <c r="H1"/>
      <c r="J1"/>
    </row>
    <row r="2" spans="2:17" x14ac:dyDescent="0.35">
      <c r="B2" s="217"/>
      <c r="C2" s="217"/>
      <c r="D2" s="225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</row>
    <row r="3" spans="2:17" x14ac:dyDescent="0.35">
      <c r="B3" s="217"/>
      <c r="C3" s="217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</row>
    <row r="4" spans="2:17" x14ac:dyDescent="0.35">
      <c r="B4" s="217"/>
      <c r="C4" s="217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</row>
    <row r="5" spans="2:17" x14ac:dyDescent="0.35">
      <c r="B5" s="217"/>
      <c r="C5" s="217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</row>
    <row r="6" spans="2:17" x14ac:dyDescent="0.35">
      <c r="B6" s="217"/>
      <c r="C6" s="217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</row>
    <row r="7" spans="2:17" x14ac:dyDescent="0.35">
      <c r="B7" s="217"/>
      <c r="C7" s="217"/>
      <c r="D7" s="225"/>
      <c r="E7" s="225"/>
      <c r="F7" s="225"/>
      <c r="G7" s="225"/>
      <c r="H7" s="225"/>
      <c r="I7" s="226"/>
      <c r="J7" s="226"/>
      <c r="K7" s="226"/>
      <c r="L7" s="226"/>
      <c r="M7" s="226"/>
      <c r="N7" s="226"/>
      <c r="O7" s="226"/>
      <c r="P7" s="226"/>
    </row>
    <row r="8" spans="2:17" ht="14" customHeight="1" x14ac:dyDescent="0.35">
      <c r="F8"/>
      <c r="G8"/>
      <c r="H8"/>
      <c r="I8" s="151"/>
      <c r="J8" s="151"/>
      <c r="K8" s="151"/>
      <c r="L8" s="151"/>
      <c r="M8" s="151"/>
      <c r="N8" s="151"/>
      <c r="O8" s="123"/>
      <c r="P8" s="123"/>
    </row>
    <row r="9" spans="2:17" ht="14.5" customHeight="1" x14ac:dyDescent="0.35">
      <c r="B9" s="234" t="s">
        <v>317</v>
      </c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</row>
    <row r="10" spans="2:17" ht="2.5" customHeight="1" x14ac:dyDescent="0.35">
      <c r="B10" s="57"/>
      <c r="C10" s="57"/>
      <c r="D10" s="57"/>
      <c r="E10" s="57"/>
      <c r="F10" s="57"/>
      <c r="G10" s="57"/>
      <c r="H10" s="57"/>
      <c r="I10" s="276"/>
      <c r="J10" s="276"/>
      <c r="K10" s="276"/>
      <c r="L10" s="276"/>
      <c r="M10" s="276"/>
      <c r="N10" s="276"/>
      <c r="O10" s="151"/>
      <c r="P10" s="151"/>
    </row>
    <row r="11" spans="2:17" ht="15.5" x14ac:dyDescent="0.35">
      <c r="B11" s="197"/>
      <c r="C11" s="197"/>
      <c r="D11" s="222" t="s">
        <v>323</v>
      </c>
      <c r="E11" s="233"/>
      <c r="F11" s="233"/>
      <c r="G11" s="233"/>
      <c r="H11" s="233"/>
      <c r="I11" s="93"/>
      <c r="J11" s="224" t="s">
        <v>323</v>
      </c>
      <c r="K11" s="224"/>
      <c r="L11" s="224"/>
      <c r="M11" s="93"/>
      <c r="N11" s="224" t="s">
        <v>326</v>
      </c>
      <c r="O11" s="224"/>
      <c r="P11" s="224"/>
      <c r="Q11" s="29"/>
    </row>
    <row r="12" spans="2:17" ht="46.5" x14ac:dyDescent="0.35">
      <c r="B12" s="94" t="s">
        <v>343</v>
      </c>
      <c r="C12" s="94" t="s">
        <v>344</v>
      </c>
      <c r="D12" s="95" t="s">
        <v>318</v>
      </c>
      <c r="E12" s="95" t="s">
        <v>319</v>
      </c>
      <c r="F12" s="95" t="s">
        <v>320</v>
      </c>
      <c r="G12" s="96" t="s">
        <v>321</v>
      </c>
      <c r="H12" s="95" t="s">
        <v>322</v>
      </c>
      <c r="I12" s="93"/>
      <c r="J12" s="96" t="s">
        <v>324</v>
      </c>
      <c r="K12" s="96" t="s">
        <v>221</v>
      </c>
      <c r="L12" s="96" t="s">
        <v>325</v>
      </c>
      <c r="M12" s="96"/>
      <c r="N12" s="95" t="s">
        <v>346</v>
      </c>
      <c r="O12" s="95" t="s">
        <v>347</v>
      </c>
      <c r="P12" s="95" t="s">
        <v>348</v>
      </c>
      <c r="Q12" s="29"/>
    </row>
    <row r="13" spans="2:17" x14ac:dyDescent="0.35">
      <c r="B13" s="63"/>
      <c r="C13" s="63"/>
      <c r="D13" s="97"/>
      <c r="E13" s="97"/>
      <c r="F13" s="97"/>
      <c r="G13" s="97"/>
      <c r="H13" s="97"/>
      <c r="I13" s="327"/>
      <c r="J13" s="326"/>
      <c r="K13" s="326"/>
      <c r="L13" s="326"/>
      <c r="M13" s="97"/>
      <c r="N13" s="326"/>
      <c r="O13" s="327"/>
      <c r="P13" s="327"/>
    </row>
    <row r="14" spans="2:17" x14ac:dyDescent="0.35">
      <c r="B14" s="98" t="str">
        <f>data!C6</f>
        <v>Eicher Motors</v>
      </c>
      <c r="C14" s="98"/>
      <c r="D14" s="99">
        <f>data!D6</f>
        <v>7209.5</v>
      </c>
      <c r="E14" s="99">
        <f>data!E6</f>
        <v>27.43</v>
      </c>
      <c r="F14" s="99">
        <f t="shared" ref="F14:F28" si="0">D14*E14</f>
        <v>197756.58499999999</v>
      </c>
      <c r="G14" s="99">
        <f>data!I6</f>
        <v>182.76999999999998</v>
      </c>
      <c r="H14" s="99">
        <f>F14+G14</f>
        <v>197939.35499999998</v>
      </c>
      <c r="I14" s="99"/>
      <c r="J14" s="99">
        <f>data!J6</f>
        <v>197939.35499999998</v>
      </c>
      <c r="K14" s="99">
        <f>data!K6</f>
        <v>21427.66</v>
      </c>
      <c r="L14" s="99">
        <f>data!L6</f>
        <v>5774.7543700000006</v>
      </c>
      <c r="M14" s="99"/>
      <c r="N14" s="162">
        <f>$H14/J14</f>
        <v>1</v>
      </c>
      <c r="O14" s="162">
        <f>$H14/K14</f>
        <v>9.2375628043379443</v>
      </c>
      <c r="P14" s="162">
        <f>F14/L14</f>
        <v>34.245021057060121</v>
      </c>
    </row>
    <row r="15" spans="2:17" x14ac:dyDescent="0.35">
      <c r="B15" s="63" t="str">
        <f>data!C3</f>
        <v>Maruti Suzuki</v>
      </c>
      <c r="C15" s="63"/>
      <c r="D15" s="97">
        <f>data!D3</f>
        <v>15059</v>
      </c>
      <c r="E15" s="97">
        <f>data!E3</f>
        <v>31.44</v>
      </c>
      <c r="F15" s="97">
        <f>D15*E15</f>
        <v>473454.96</v>
      </c>
      <c r="G15" s="97">
        <f>data!I3</f>
        <v>-453</v>
      </c>
      <c r="H15" s="97">
        <f>F15+G15</f>
        <v>473001.96</v>
      </c>
      <c r="I15" s="97"/>
      <c r="J15" s="97">
        <f>data!K3</f>
        <v>171773.6</v>
      </c>
      <c r="K15" s="97">
        <f>data!L3</f>
        <v>31486.100879999998</v>
      </c>
      <c r="L15" s="97">
        <f>data!M3</f>
        <v>14931.6</v>
      </c>
      <c r="M15" s="97"/>
      <c r="N15" s="163">
        <f t="shared" ref="N15:N28" si="1">$H15/J15</f>
        <v>2.7536359487138884</v>
      </c>
      <c r="O15" s="163">
        <f t="shared" ref="O15:O28" si="2">$H15/K15</f>
        <v>15.022563822770806</v>
      </c>
      <c r="P15" s="163">
        <f t="shared" ref="P15:P28" si="3">F15/L15</f>
        <v>31.708253636582818</v>
      </c>
    </row>
    <row r="16" spans="2:17" x14ac:dyDescent="0.35">
      <c r="B16" s="63" t="str">
        <f>data!C4</f>
        <v>M &amp; M</v>
      </c>
      <c r="C16" s="63"/>
      <c r="D16" s="97">
        <f>data!D4</f>
        <v>3572</v>
      </c>
      <c r="E16" s="97">
        <f>data!E4</f>
        <v>124.35</v>
      </c>
      <c r="F16" s="97">
        <f t="shared" si="0"/>
        <v>444178.19999999995</v>
      </c>
      <c r="G16" s="97">
        <f>data!I4</f>
        <v>106094.49</v>
      </c>
      <c r="H16" s="97">
        <f t="shared" ref="H16:H28" si="4">F16+G16</f>
        <v>550272.68999999994</v>
      </c>
      <c r="I16" s="97"/>
      <c r="J16" s="97">
        <f>data!K4</f>
        <v>175704.22</v>
      </c>
      <c r="K16" s="97">
        <f>data!L4</f>
        <v>25564.964010000003</v>
      </c>
      <c r="L16" s="97">
        <f>data!M4</f>
        <v>15506.66</v>
      </c>
      <c r="M16" s="97"/>
      <c r="N16" s="163">
        <f t="shared" si="1"/>
        <v>3.1318125996063153</v>
      </c>
      <c r="O16" s="163">
        <f t="shared" si="2"/>
        <v>21.524485220661958</v>
      </c>
      <c r="P16" s="163">
        <f t="shared" si="3"/>
        <v>28.644350234028472</v>
      </c>
    </row>
    <row r="17" spans="2:19" x14ac:dyDescent="0.35">
      <c r="B17" s="63" t="str">
        <f>data!C5</f>
        <v>Bajaj Auto</v>
      </c>
      <c r="C17" s="63"/>
      <c r="D17" s="97">
        <f>data!D5</f>
        <v>9647</v>
      </c>
      <c r="E17" s="97">
        <f>data!E5</f>
        <v>27.95</v>
      </c>
      <c r="F17" s="97">
        <f t="shared" si="0"/>
        <v>269633.64999999997</v>
      </c>
      <c r="G17" s="97">
        <f>data!I5</f>
        <v>16845.640000000003</v>
      </c>
      <c r="H17" s="97">
        <f t="shared" si="4"/>
        <v>286479.28999999998</v>
      </c>
      <c r="I17" s="97"/>
      <c r="J17" s="97">
        <f>data!K5</f>
        <v>57718.86</v>
      </c>
      <c r="K17" s="97">
        <f>data!L5</f>
        <v>12178.679460000001</v>
      </c>
      <c r="L17" s="97">
        <f>data!M5</f>
        <v>8884.14</v>
      </c>
      <c r="M17" s="97"/>
      <c r="N17" s="163">
        <f t="shared" si="1"/>
        <v>4.9633566913830238</v>
      </c>
      <c r="O17" s="163">
        <f t="shared" si="2"/>
        <v>23.523017494706274</v>
      </c>
      <c r="P17" s="163">
        <f t="shared" si="3"/>
        <v>30.350000112560135</v>
      </c>
    </row>
    <row r="18" spans="2:19" x14ac:dyDescent="0.35">
      <c r="B18" s="63" t="str">
        <f>data!C7</f>
        <v>TVS Motor Co.</v>
      </c>
      <c r="C18" s="63"/>
      <c r="D18" s="97">
        <f>data!D7</f>
        <v>3712.7</v>
      </c>
      <c r="E18" s="97">
        <f>data!E7</f>
        <v>47.51</v>
      </c>
      <c r="F18" s="97">
        <f t="shared" si="0"/>
        <v>176390.37699999998</v>
      </c>
      <c r="G18" s="97">
        <f>data!I7</f>
        <v>27203.050000000003</v>
      </c>
      <c r="H18" s="97">
        <f t="shared" si="4"/>
        <v>203593.42699999997</v>
      </c>
      <c r="I18" s="97"/>
      <c r="J18" s="97">
        <f>data!K7</f>
        <v>52558.79</v>
      </c>
      <c r="K18" s="97">
        <f>data!L7</f>
        <v>13302.629749</v>
      </c>
      <c r="L18" s="97">
        <f>data!M7</f>
        <v>3064.39</v>
      </c>
      <c r="M18" s="97"/>
      <c r="N18" s="163">
        <f t="shared" si="1"/>
        <v>3.8736323077452881</v>
      </c>
      <c r="O18" s="163">
        <f t="shared" si="2"/>
        <v>15.304750326927255</v>
      </c>
      <c r="P18" s="163">
        <f t="shared" si="3"/>
        <v>57.561334229650924</v>
      </c>
    </row>
    <row r="19" spans="2:19" x14ac:dyDescent="0.35">
      <c r="B19" s="63" t="str">
        <f>data!C8</f>
        <v>Hyundai Motor I</v>
      </c>
      <c r="C19" s="63"/>
      <c r="D19" s="97">
        <f>data!D8</f>
        <v>2164.3000000000002</v>
      </c>
      <c r="E19" s="97">
        <f>data!E8</f>
        <v>81.25</v>
      </c>
      <c r="F19" s="97">
        <f t="shared" si="0"/>
        <v>175849.37500000003</v>
      </c>
      <c r="G19" s="97">
        <f>data!I8</f>
        <v>-7278.7900000000009</v>
      </c>
      <c r="H19" s="97">
        <f t="shared" si="4"/>
        <v>168570.58500000002</v>
      </c>
      <c r="I19" s="97"/>
      <c r="J19" s="97">
        <f>data!K8</f>
        <v>68100.58</v>
      </c>
      <c r="K19" s="97">
        <f>data!L8</f>
        <v>11760.970165999999</v>
      </c>
      <c r="L19" s="97">
        <f>data!M8</f>
        <v>5683.48</v>
      </c>
      <c r="M19" s="97"/>
      <c r="N19" s="163">
        <f t="shared" si="1"/>
        <v>2.475317904781428</v>
      </c>
      <c r="O19" s="163">
        <f t="shared" si="2"/>
        <v>14.333050983100337</v>
      </c>
      <c r="P19" s="163">
        <f t="shared" si="3"/>
        <v>30.940440539950881</v>
      </c>
    </row>
    <row r="20" spans="2:19" x14ac:dyDescent="0.35">
      <c r="B20" s="63" t="str">
        <f>data!C9</f>
        <v>Tata Motors PVeh</v>
      </c>
      <c r="C20" s="63"/>
      <c r="D20" s="97">
        <f>data!D9</f>
        <v>374.15</v>
      </c>
      <c r="E20" s="97">
        <f>data!E9</f>
        <v>368.23</v>
      </c>
      <c r="F20" s="97">
        <f t="shared" si="0"/>
        <v>137773.25450000001</v>
      </c>
      <c r="G20" s="97">
        <f>data!I9</f>
        <v>26424</v>
      </c>
      <c r="H20" s="97">
        <f t="shared" si="4"/>
        <v>164197.25450000001</v>
      </c>
      <c r="I20" s="97"/>
      <c r="J20" s="97">
        <f>data!K9</f>
        <v>349637</v>
      </c>
      <c r="K20" s="97">
        <f>data!L9</f>
        <v>20313.9097</v>
      </c>
      <c r="L20" s="97">
        <f>data!M9</f>
        <v>85324</v>
      </c>
      <c r="M20" s="97"/>
      <c r="N20" s="163">
        <f t="shared" si="1"/>
        <v>0.46962207804093964</v>
      </c>
      <c r="O20" s="163">
        <f>$H20/K20</f>
        <v>8.0829961797063614</v>
      </c>
      <c r="P20" s="163">
        <f t="shared" si="3"/>
        <v>1.6147069347428626</v>
      </c>
    </row>
    <row r="21" spans="2:19" x14ac:dyDescent="0.35">
      <c r="B21" s="63" t="str">
        <f>data!C10</f>
        <v>Samvardh. Mothe.</v>
      </c>
      <c r="C21" s="63"/>
      <c r="D21" s="97">
        <f>data!D10</f>
        <v>120.99</v>
      </c>
      <c r="E21" s="97">
        <f>data!E10</f>
        <v>1055.44</v>
      </c>
      <c r="F21" s="97">
        <f t="shared" si="0"/>
        <v>127697.6856</v>
      </c>
      <c r="G21" s="97">
        <f>data!I10</f>
        <v>13488.670000000002</v>
      </c>
      <c r="H21" s="97">
        <f t="shared" si="4"/>
        <v>141186.35560000001</v>
      </c>
      <c r="I21" s="97"/>
      <c r="J21" s="97">
        <f>data!K10</f>
        <v>117367.72</v>
      </c>
      <c r="K21" s="97">
        <f>data!L10</f>
        <v>14588.807595999999</v>
      </c>
      <c r="L21" s="97">
        <f>data!M10</f>
        <v>3551.45</v>
      </c>
      <c r="M21" s="97"/>
      <c r="N21" s="163">
        <f t="shared" si="1"/>
        <v>1.2029402598942878</v>
      </c>
      <c r="O21" s="163">
        <f t="shared" si="2"/>
        <v>9.6777172960119717</v>
      </c>
      <c r="P21" s="163">
        <f t="shared" si="3"/>
        <v>35.956492587534669</v>
      </c>
      <c r="S21" t="s">
        <v>349</v>
      </c>
    </row>
    <row r="22" spans="2:19" x14ac:dyDescent="0.35">
      <c r="B22" s="63" t="str">
        <f>data!C11</f>
        <v>Hero Motocorp</v>
      </c>
      <c r="C22" s="63"/>
      <c r="D22" s="97">
        <f>data!D11</f>
        <v>5766</v>
      </c>
      <c r="E22" s="97">
        <f>data!E11</f>
        <v>20.010000000000002</v>
      </c>
      <c r="F22" s="97">
        <f t="shared" si="0"/>
        <v>115377.66</v>
      </c>
      <c r="G22" s="97">
        <f>data!I11</f>
        <v>143.99</v>
      </c>
      <c r="H22" s="97">
        <f t="shared" si="4"/>
        <v>115521.65000000001</v>
      </c>
      <c r="I22" s="97"/>
      <c r="J22" s="97">
        <f>data!K11</f>
        <v>42175.839999999997</v>
      </c>
      <c r="K22" s="97">
        <f>data!L11</f>
        <v>6195.6308959999997</v>
      </c>
      <c r="L22" s="97">
        <f>data!M11</f>
        <v>5303.76</v>
      </c>
      <c r="M22" s="97"/>
      <c r="N22" s="163">
        <f t="shared" si="1"/>
        <v>2.7390479952503619</v>
      </c>
      <c r="O22" s="163">
        <f t="shared" si="2"/>
        <v>18.645663684481701</v>
      </c>
      <c r="P22" s="163">
        <f t="shared" si="3"/>
        <v>21.7539368297208</v>
      </c>
    </row>
    <row r="23" spans="2:19" x14ac:dyDescent="0.35">
      <c r="B23" s="63" t="str">
        <f>data!C12</f>
        <v>Bosch</v>
      </c>
      <c r="C23" s="63"/>
      <c r="D23" s="97">
        <f>data!D12</f>
        <v>36275</v>
      </c>
      <c r="E23" s="97">
        <f>data!E12</f>
        <v>2.95</v>
      </c>
      <c r="F23" s="97">
        <f t="shared" si="0"/>
        <v>107011.25</v>
      </c>
      <c r="G23" s="97">
        <f>data!I12</f>
        <v>-398.6</v>
      </c>
      <c r="H23" s="97">
        <f t="shared" si="4"/>
        <v>106612.65</v>
      </c>
      <c r="I23" s="97"/>
      <c r="J23" s="97">
        <f>data!K12</f>
        <v>18959.7</v>
      </c>
      <c r="K23" s="97">
        <f>data!L12</f>
        <v>5941.9699800000008</v>
      </c>
      <c r="L23" s="97">
        <f>data!M12</f>
        <v>2681.5</v>
      </c>
      <c r="M23" s="97"/>
      <c r="N23" s="163">
        <f t="shared" si="1"/>
        <v>5.6231190366936179</v>
      </c>
      <c r="O23" s="163">
        <f t="shared" si="2"/>
        <v>17.942307073049193</v>
      </c>
      <c r="P23" s="163">
        <f t="shared" si="3"/>
        <v>39.907234756666043</v>
      </c>
    </row>
    <row r="24" spans="2:19" x14ac:dyDescent="0.35">
      <c r="B24" s="63" t="str">
        <f>data!C13</f>
        <v>Bharat Forge</v>
      </c>
      <c r="C24" s="63"/>
      <c r="D24" s="97">
        <f>data!D13</f>
        <v>1573.2</v>
      </c>
      <c r="E24" s="97">
        <f>data!E13</f>
        <v>47.81</v>
      </c>
      <c r="F24" s="97">
        <f t="shared" si="0"/>
        <v>75214.69200000001</v>
      </c>
      <c r="G24" s="97">
        <f>data!I13</f>
        <v>5366.99</v>
      </c>
      <c r="H24" s="97">
        <f t="shared" si="4"/>
        <v>80581.682000000015</v>
      </c>
      <c r="I24" s="97"/>
      <c r="J24" s="97">
        <f>data!K13</f>
        <v>15268.83</v>
      </c>
      <c r="K24" s="97">
        <f>data!L13</f>
        <v>4263.0573359999999</v>
      </c>
      <c r="L24" s="97">
        <f>data!M13</f>
        <v>1078.56</v>
      </c>
      <c r="M24" s="97"/>
      <c r="N24" s="163">
        <f t="shared" si="1"/>
        <v>5.2775282716488441</v>
      </c>
      <c r="O24" s="163">
        <f t="shared" si="2"/>
        <v>18.902321889859756</v>
      </c>
      <c r="P24" s="163">
        <f t="shared" si="3"/>
        <v>69.736214953271045</v>
      </c>
    </row>
    <row r="25" spans="2:19" x14ac:dyDescent="0.35">
      <c r="B25" s="63" t="str">
        <f>data!C14</f>
        <v>Uno Minda</v>
      </c>
      <c r="C25" s="63"/>
      <c r="D25" s="97">
        <f>data!D14</f>
        <v>1230.8</v>
      </c>
      <c r="E25" s="97">
        <f>data!E14</f>
        <v>57.71</v>
      </c>
      <c r="F25" s="97">
        <f t="shared" si="0"/>
        <v>71029.467999999993</v>
      </c>
      <c r="G25" s="97">
        <f>data!I14</f>
        <v>2648.12</v>
      </c>
      <c r="H25" s="97">
        <f t="shared" si="4"/>
        <v>73677.587999999989</v>
      </c>
      <c r="I25" s="97"/>
      <c r="J25" s="97">
        <f>data!K14</f>
        <v>18849.5</v>
      </c>
      <c r="K25" s="97">
        <f>data!L14</f>
        <v>5662.3897999999999</v>
      </c>
      <c r="L25" s="97">
        <f>data!M14</f>
        <v>1221.54</v>
      </c>
      <c r="M25" s="97"/>
      <c r="N25" s="163">
        <f t="shared" si="1"/>
        <v>3.908729037905514</v>
      </c>
      <c r="O25" s="163">
        <f t="shared" si="2"/>
        <v>13.011747795957104</v>
      </c>
      <c r="P25" s="163">
        <f t="shared" si="3"/>
        <v>58.147476136679927</v>
      </c>
    </row>
    <row r="26" spans="2:19" x14ac:dyDescent="0.35">
      <c r="B26" s="63" t="str">
        <f>data!C15</f>
        <v>Schaeffler India</v>
      </c>
      <c r="C26" s="63"/>
      <c r="D26" s="97">
        <f>data!D15</f>
        <v>3814.2</v>
      </c>
      <c r="E26" s="97">
        <f>data!E15</f>
        <v>15.63</v>
      </c>
      <c r="F26" s="97">
        <f t="shared" si="0"/>
        <v>59615.946000000004</v>
      </c>
      <c r="G26" s="97">
        <f>data!I15</f>
        <v>-1310.08</v>
      </c>
      <c r="H26" s="97">
        <f t="shared" si="4"/>
        <v>58305.866000000002</v>
      </c>
      <c r="I26" s="97"/>
      <c r="J26" s="97">
        <f>data!K15</f>
        <v>8834.57</v>
      </c>
      <c r="K26" s="97">
        <f>data!L15</f>
        <v>2830.5962279999999</v>
      </c>
      <c r="L26" s="97">
        <f>data!M15</f>
        <v>1117.6199999999999</v>
      </c>
      <c r="M26" s="97"/>
      <c r="N26" s="163">
        <f t="shared" si="1"/>
        <v>6.5997401118560388</v>
      </c>
      <c r="O26" s="163">
        <f t="shared" si="2"/>
        <v>20.598439799800371</v>
      </c>
      <c r="P26" s="163">
        <f t="shared" si="3"/>
        <v>53.341874698019012</v>
      </c>
    </row>
    <row r="27" spans="2:19" x14ac:dyDescent="0.35">
      <c r="B27" s="63" t="str">
        <f>data!C16</f>
        <v>MRF</v>
      </c>
      <c r="C27" s="63"/>
      <c r="D27" s="97">
        <f>data!D16</f>
        <v>134970</v>
      </c>
      <c r="E27" s="97">
        <f>data!E16</f>
        <v>0.42</v>
      </c>
      <c r="F27" s="97">
        <f t="shared" si="0"/>
        <v>56687.4</v>
      </c>
      <c r="G27" s="97">
        <f>data!I16</f>
        <v>3254.7299999999996</v>
      </c>
      <c r="H27" s="97">
        <f t="shared" si="4"/>
        <v>59942.130000000005</v>
      </c>
      <c r="I27" s="97"/>
      <c r="J27" s="97">
        <f>data!K16</f>
        <v>29130.05</v>
      </c>
      <c r="K27" s="97">
        <f>data!L16</f>
        <v>3853.9056150000001</v>
      </c>
      <c r="L27" s="97">
        <f>data!M16</f>
        <v>1853.68</v>
      </c>
      <c r="M27" s="97"/>
      <c r="N27" s="163">
        <f t="shared" si="1"/>
        <v>2.0577420910709048</v>
      </c>
      <c r="O27" s="163">
        <f t="shared" si="2"/>
        <v>15.553606130543496</v>
      </c>
      <c r="P27" s="163">
        <f t="shared" si="3"/>
        <v>30.581006430451858</v>
      </c>
    </row>
    <row r="28" spans="2:19" x14ac:dyDescent="0.35">
      <c r="B28" s="63" t="str">
        <f>data!C17</f>
        <v>Balkrishna Inds</v>
      </c>
      <c r="C28" s="63"/>
      <c r="D28" s="97">
        <f>data!D17</f>
        <v>2687.8</v>
      </c>
      <c r="E28" s="97">
        <f>data!E17</f>
        <v>19.329999999999998</v>
      </c>
      <c r="F28" s="97">
        <f t="shared" si="0"/>
        <v>51955.173999999999</v>
      </c>
      <c r="G28" s="97">
        <f>data!I17</f>
        <v>3595.72</v>
      </c>
      <c r="H28" s="97">
        <f t="shared" si="4"/>
        <v>55550.894</v>
      </c>
      <c r="I28" s="97"/>
      <c r="J28" s="97">
        <f>data!K17</f>
        <v>10642.64</v>
      </c>
      <c r="K28" s="97">
        <f>data!L17</f>
        <v>2244.532776</v>
      </c>
      <c r="L28" s="97">
        <f>data!M17</f>
        <v>1312.19</v>
      </c>
      <c r="M28" s="97"/>
      <c r="N28" s="163">
        <f t="shared" si="1"/>
        <v>5.2196535821938923</v>
      </c>
      <c r="O28" s="163">
        <f t="shared" si="2"/>
        <v>24.749424287311008</v>
      </c>
      <c r="P28" s="163">
        <f t="shared" si="3"/>
        <v>39.594246260069042</v>
      </c>
    </row>
    <row r="29" spans="2:19" x14ac:dyDescent="0.35">
      <c r="B29" s="59"/>
      <c r="C29" s="59"/>
      <c r="D29" s="59"/>
      <c r="E29" s="59"/>
      <c r="F29" s="59"/>
      <c r="G29" s="59"/>
      <c r="H29" s="254"/>
      <c r="I29" s="276"/>
      <c r="J29" s="254"/>
      <c r="K29" s="254"/>
      <c r="L29" s="254"/>
      <c r="M29" s="276"/>
      <c r="N29" s="254"/>
      <c r="O29" s="59"/>
      <c r="P29" s="59"/>
    </row>
    <row r="30" spans="2:19" x14ac:dyDescent="0.35">
      <c r="B30" s="77" t="s">
        <v>351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165">
        <f>MAX(N14:N28)</f>
        <v>6.5997401118560388</v>
      </c>
      <c r="O30" s="165">
        <f t="shared" ref="O30:P30" si="5">MAX(O14:O28)</f>
        <v>24.749424287311008</v>
      </c>
      <c r="P30" s="165">
        <f t="shared" si="5"/>
        <v>69.736214953271045</v>
      </c>
    </row>
    <row r="31" spans="2:19" x14ac:dyDescent="0.35">
      <c r="B31" s="77" t="s">
        <v>350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165">
        <f>QUARTILE(N14:N28,3)</f>
        <v>5.0915051367884576</v>
      </c>
      <c r="O31" s="165">
        <f t="shared" ref="O31:P31" si="6">QUARTILE(O14:O28,3)</f>
        <v>19.750380844830062</v>
      </c>
      <c r="P31" s="165">
        <f t="shared" si="6"/>
        <v>46.624554727342527</v>
      </c>
    </row>
    <row r="32" spans="2:19" x14ac:dyDescent="0.35">
      <c r="B32" s="62" t="s">
        <v>197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166">
        <f>AVERAGE(N14:N28)</f>
        <v>3.4197251944522895</v>
      </c>
      <c r="O32" s="166">
        <f t="shared" ref="O32:P32" si="7">AVERAGE(O14:O28)</f>
        <v>16.407310319281702</v>
      </c>
      <c r="P32" s="166">
        <f t="shared" si="7"/>
        <v>37.605505959799238</v>
      </c>
    </row>
    <row r="33" spans="2:16" x14ac:dyDescent="0.35">
      <c r="B33" s="62" t="s">
        <v>352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166">
        <f>MEDIAN(N14:N28)</f>
        <v>3.1318125996063153</v>
      </c>
      <c r="O33" s="166">
        <f t="shared" ref="O33:P33" si="8">MEDIAN(O14:O28)</f>
        <v>15.553606130543496</v>
      </c>
      <c r="P33" s="166">
        <f t="shared" si="8"/>
        <v>34.245021057060121</v>
      </c>
    </row>
    <row r="34" spans="2:16" x14ac:dyDescent="0.35">
      <c r="B34" s="77" t="s">
        <v>353</v>
      </c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165">
        <f>QUARTILE(N14:N28,1)</f>
        <v>2.2665299979261664</v>
      </c>
      <c r="O34" s="165">
        <f t="shared" ref="O34:P34" si="9">QUARTILE(O14:O28,1)</f>
        <v>13.672399389528721</v>
      </c>
      <c r="P34" s="165">
        <f t="shared" si="9"/>
        <v>30.465503271505995</v>
      </c>
    </row>
    <row r="35" spans="2:16" x14ac:dyDescent="0.35">
      <c r="B35" s="328" t="s">
        <v>354</v>
      </c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30">
        <f>MIN(N14:N28)</f>
        <v>0.46962207804093964</v>
      </c>
      <c r="O35" s="330">
        <f t="shared" ref="O35:P35" si="10">MIN(O14:O28)</f>
        <v>8.0829961797063614</v>
      </c>
      <c r="P35" s="165">
        <f t="shared" si="10"/>
        <v>1.6147069347428626</v>
      </c>
    </row>
    <row r="36" spans="2:16" x14ac:dyDescent="0.35"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276"/>
    </row>
    <row r="37" spans="2:16" x14ac:dyDescent="0.35">
      <c r="B37" s="329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329"/>
      <c r="O37" s="329"/>
      <c r="P37" s="329"/>
    </row>
    <row r="38" spans="2:16" ht="15.5" x14ac:dyDescent="0.35">
      <c r="B38" s="353" t="s">
        <v>317</v>
      </c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32"/>
      <c r="N38" s="333" t="s">
        <v>346</v>
      </c>
      <c r="O38" s="334" t="s">
        <v>347</v>
      </c>
      <c r="P38" s="334" t="s">
        <v>348</v>
      </c>
    </row>
    <row r="39" spans="2:16" x14ac:dyDescent="0.35">
      <c r="B39" s="123" t="s">
        <v>355</v>
      </c>
      <c r="C39" s="123"/>
      <c r="D39" s="123"/>
      <c r="E39" s="123"/>
      <c r="K39" s="123"/>
      <c r="L39" s="123"/>
      <c r="N39" s="59">
        <f>N33*J14</f>
        <v>619908.96594694722</v>
      </c>
      <c r="O39" s="59">
        <f>O33*K14</f>
        <v>333277.38393920165</v>
      </c>
      <c r="P39" s="76">
        <f>P40+P41</f>
        <v>6778620.1499958979</v>
      </c>
    </row>
    <row r="40" spans="2:16" x14ac:dyDescent="0.35">
      <c r="B40" s="123" t="s">
        <v>356</v>
      </c>
      <c r="C40" s="123"/>
      <c r="D40" s="123"/>
      <c r="E40" s="123"/>
      <c r="K40" s="123"/>
      <c r="L40" s="123"/>
      <c r="N40" s="65">
        <f>$G$14</f>
        <v>182.76999999999998</v>
      </c>
      <c r="O40" s="65">
        <f t="shared" ref="O40:P40" si="11">$G$14</f>
        <v>182.76999999999998</v>
      </c>
      <c r="P40" s="65">
        <f t="shared" si="11"/>
        <v>182.76999999999998</v>
      </c>
    </row>
    <row r="41" spans="2:16" x14ac:dyDescent="0.35">
      <c r="B41" s="123" t="s">
        <v>357</v>
      </c>
      <c r="C41" s="123"/>
      <c r="D41" s="123"/>
      <c r="E41" s="123"/>
      <c r="K41" s="123"/>
      <c r="L41" s="123"/>
      <c r="N41" s="76">
        <f>N39-N40</f>
        <v>619726.19594694721</v>
      </c>
      <c r="O41" s="76">
        <f>O39-O40</f>
        <v>333094.61393920163</v>
      </c>
      <c r="P41" s="59">
        <f>P33*J14</f>
        <v>6778437.3799958983</v>
      </c>
    </row>
    <row r="42" spans="2:16" x14ac:dyDescent="0.35">
      <c r="B42" s="123" t="s">
        <v>358</v>
      </c>
      <c r="C42" s="123"/>
      <c r="D42" s="123"/>
      <c r="E42" s="123"/>
      <c r="K42" s="123"/>
      <c r="L42" s="123"/>
      <c r="N42" s="65">
        <f>$E$14</f>
        <v>27.43</v>
      </c>
      <c r="O42" s="65">
        <f t="shared" ref="O42:P42" si="12">$E$14</f>
        <v>27.43</v>
      </c>
      <c r="P42" s="65">
        <f t="shared" si="12"/>
        <v>27.43</v>
      </c>
    </row>
    <row r="43" spans="2:16" x14ac:dyDescent="0.35">
      <c r="B43" s="318" t="s">
        <v>359</v>
      </c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62">
        <f>N41/N42</f>
        <v>22593.007508091403</v>
      </c>
      <c r="O43" s="62">
        <f>O41/O42</f>
        <v>12143.441995596122</v>
      </c>
      <c r="P43" s="62">
        <f>P41/P42</f>
        <v>247117.65876762298</v>
      </c>
    </row>
    <row r="44" spans="2:16" x14ac:dyDescent="0.35">
      <c r="B44" s="276"/>
      <c r="C44" s="276"/>
      <c r="D44" s="276"/>
      <c r="E44" s="276"/>
      <c r="F44" s="276"/>
      <c r="G44" s="276"/>
      <c r="H44" s="276"/>
      <c r="I44" s="43"/>
      <c r="J44" s="276"/>
      <c r="K44" s="276"/>
      <c r="L44" s="276"/>
      <c r="N44" s="254"/>
      <c r="O44" s="43"/>
      <c r="P44" s="43"/>
    </row>
    <row r="45" spans="2:16" x14ac:dyDescent="0.35">
      <c r="B45" s="123"/>
      <c r="C45" s="123"/>
      <c r="D45" s="123"/>
      <c r="E45" s="123"/>
      <c r="K45" s="123"/>
      <c r="L45" s="123"/>
      <c r="N45" s="123"/>
      <c r="O45" s="123"/>
      <c r="P45" s="123"/>
    </row>
    <row r="46" spans="2:16" x14ac:dyDescent="0.35">
      <c r="B46" s="276"/>
      <c r="C46" s="276"/>
      <c r="D46" s="276"/>
      <c r="E46" s="276"/>
      <c r="F46" s="276"/>
      <c r="G46" s="276"/>
      <c r="H46" s="276"/>
      <c r="J46" s="276"/>
      <c r="K46" s="276"/>
      <c r="L46" s="276"/>
      <c r="N46" s="276" t="str">
        <f>IF(N43&gt;$D$14,"undervalued","overvalued")</f>
        <v>undervalued</v>
      </c>
      <c r="O46" s="123" t="str">
        <f t="shared" ref="O46:P46" si="13">IF(O43&gt;$D$14,"undervalued","overvalued")</f>
        <v>undervalued</v>
      </c>
      <c r="P46" s="123" t="str">
        <f t="shared" si="13"/>
        <v>undervalued</v>
      </c>
    </row>
    <row r="47" spans="2:16" x14ac:dyDescent="0.35">
      <c r="B47" s="123"/>
      <c r="C47" s="123"/>
      <c r="D47" s="123"/>
      <c r="E47" s="123"/>
      <c r="K47" s="123"/>
      <c r="L47" s="123"/>
      <c r="N47" s="123"/>
      <c r="O47" s="123"/>
      <c r="P47" s="123"/>
    </row>
    <row r="48" spans="2:16" x14ac:dyDescent="0.35">
      <c r="B48" s="123"/>
      <c r="C48" s="123"/>
      <c r="D48" s="123"/>
      <c r="E48" s="123"/>
      <c r="K48" s="123"/>
      <c r="L48" s="123"/>
      <c r="N48" s="123"/>
    </row>
    <row r="49" spans="1:14" x14ac:dyDescent="0.35">
      <c r="B49" s="123"/>
      <c r="C49" s="123"/>
      <c r="D49" s="123"/>
      <c r="E49" s="123"/>
      <c r="K49" s="123"/>
      <c r="L49" s="123"/>
      <c r="N49" s="123"/>
    </row>
    <row r="50" spans="1:14" x14ac:dyDescent="0.35">
      <c r="B50" s="151"/>
      <c r="C50" s="151"/>
      <c r="D50" s="151"/>
      <c r="E50" s="151"/>
      <c r="F50" s="151"/>
      <c r="G50" s="151"/>
      <c r="H50" s="151"/>
      <c r="J50" s="151"/>
      <c r="K50" s="151"/>
      <c r="L50" s="151"/>
      <c r="N50" s="151"/>
    </row>
    <row r="51" spans="1:14" x14ac:dyDescent="0.35">
      <c r="A51" s="123"/>
      <c r="B51" s="123"/>
      <c r="C51" s="123"/>
      <c r="D51" s="123"/>
      <c r="E51" s="123"/>
      <c r="K51" s="123"/>
      <c r="L51" s="123"/>
      <c r="N51" s="123"/>
    </row>
    <row r="52" spans="1:14" x14ac:dyDescent="0.35">
      <c r="A52" s="123"/>
      <c r="B52" s="123"/>
      <c r="C52" s="123"/>
      <c r="D52" s="123"/>
      <c r="E52" s="123"/>
      <c r="K52" s="123"/>
      <c r="L52" s="123"/>
      <c r="N52" s="123"/>
    </row>
    <row r="53" spans="1:14" x14ac:dyDescent="0.35">
      <c r="A53" s="123"/>
      <c r="B53" s="123"/>
      <c r="C53" s="123"/>
      <c r="D53" s="123"/>
      <c r="E53" s="123"/>
      <c r="K53" s="123"/>
      <c r="L53" s="123"/>
      <c r="N53" s="123"/>
    </row>
    <row r="54" spans="1:14" x14ac:dyDescent="0.35">
      <c r="A54" s="123"/>
      <c r="B54" s="123"/>
      <c r="C54" s="123"/>
      <c r="D54" s="123"/>
      <c r="E54" s="123"/>
      <c r="K54" s="123"/>
      <c r="L54" s="123"/>
      <c r="N54" s="123"/>
    </row>
    <row r="55" spans="1:14" x14ac:dyDescent="0.35">
      <c r="A55" s="123"/>
      <c r="B55" s="123"/>
      <c r="C55" s="123"/>
      <c r="D55" s="123"/>
      <c r="E55" s="123"/>
      <c r="K55" s="123"/>
      <c r="L55" s="123"/>
      <c r="N55" s="123"/>
    </row>
    <row r="56" spans="1:14" x14ac:dyDescent="0.35">
      <c r="A56" s="123"/>
      <c r="B56" s="123"/>
      <c r="C56" s="123"/>
      <c r="D56" s="123"/>
      <c r="E56" s="123"/>
      <c r="K56" s="123"/>
      <c r="L56" s="123"/>
      <c r="N56" s="123"/>
    </row>
    <row r="57" spans="1:14" x14ac:dyDescent="0.35">
      <c r="A57" s="123"/>
      <c r="B57" s="123"/>
      <c r="C57" s="123"/>
      <c r="D57" s="123"/>
      <c r="E57" s="123"/>
      <c r="K57" s="123"/>
      <c r="L57" s="123"/>
      <c r="N57" s="123"/>
    </row>
    <row r="58" spans="1:14" x14ac:dyDescent="0.35">
      <c r="A58" s="123"/>
      <c r="B58" s="123"/>
      <c r="C58" s="123"/>
      <c r="D58" s="123"/>
      <c r="E58" s="123"/>
      <c r="K58" s="123"/>
      <c r="L58" s="123"/>
      <c r="N58" s="123"/>
    </row>
    <row r="59" spans="1:14" x14ac:dyDescent="0.35">
      <c r="A59" s="123"/>
      <c r="B59" s="123"/>
      <c r="C59" s="123"/>
      <c r="D59" s="123"/>
      <c r="E59" s="123"/>
      <c r="K59" s="123"/>
      <c r="L59" s="123"/>
      <c r="N59" s="123"/>
    </row>
    <row r="60" spans="1:14" x14ac:dyDescent="0.35">
      <c r="A60" s="123"/>
      <c r="B60" s="123"/>
      <c r="C60" s="123"/>
      <c r="D60" s="123"/>
      <c r="E60" s="123"/>
      <c r="K60" s="123"/>
      <c r="L60" s="123"/>
      <c r="N60" s="123"/>
    </row>
    <row r="61" spans="1:14" x14ac:dyDescent="0.35">
      <c r="A61" s="123"/>
      <c r="B61" s="123"/>
      <c r="C61" s="123"/>
      <c r="D61" s="123"/>
      <c r="E61" s="123"/>
      <c r="K61" s="123"/>
      <c r="L61" s="123"/>
      <c r="N61" s="123"/>
    </row>
    <row r="62" spans="1:14" x14ac:dyDescent="0.35">
      <c r="A62" s="123"/>
      <c r="B62" s="123"/>
      <c r="C62" s="123"/>
      <c r="D62" s="123"/>
      <c r="E62" s="123"/>
      <c r="K62" s="123"/>
      <c r="L62" s="123"/>
      <c r="N62" s="123"/>
    </row>
    <row r="63" spans="1:14" x14ac:dyDescent="0.35">
      <c r="A63" s="123"/>
      <c r="B63" s="123"/>
      <c r="C63" s="123"/>
      <c r="D63" s="123"/>
      <c r="E63" s="123"/>
      <c r="K63" s="123"/>
      <c r="L63" s="123"/>
      <c r="N63" s="123"/>
    </row>
    <row r="64" spans="1:14" x14ac:dyDescent="0.35">
      <c r="A64" s="123"/>
      <c r="B64" s="239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N64" s="123"/>
    </row>
    <row r="65" spans="1:14" x14ac:dyDescent="0.35">
      <c r="A65" s="123"/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N65" s="123"/>
    </row>
    <row r="66" spans="1:14" x14ac:dyDescent="0.35">
      <c r="A66" s="123"/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N66" s="123"/>
    </row>
    <row r="67" spans="1:14" x14ac:dyDescent="0.35">
      <c r="A67" s="123"/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N67" s="123"/>
    </row>
    <row r="68" spans="1:14" x14ac:dyDescent="0.35">
      <c r="B68" s="238"/>
      <c r="C68" s="238"/>
      <c r="D68" s="238"/>
      <c r="E68" s="238"/>
      <c r="F68" s="238"/>
      <c r="G68" s="238"/>
      <c r="H68" s="238"/>
      <c r="I68" s="239"/>
      <c r="J68" s="238"/>
      <c r="K68" s="238"/>
      <c r="L68" s="238"/>
    </row>
    <row r="69" spans="1:14" x14ac:dyDescent="0.35"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</row>
    <row r="70" spans="1:14" x14ac:dyDescent="0.35"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</row>
    <row r="71" spans="1:14" x14ac:dyDescent="0.35"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</row>
    <row r="72" spans="1:14" x14ac:dyDescent="0.35"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</row>
    <row r="73" spans="1:14" x14ac:dyDescent="0.35"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</row>
    <row r="74" spans="1:14" x14ac:dyDescent="0.35"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</row>
    <row r="75" spans="1:14" x14ac:dyDescent="0.35"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</row>
    <row r="76" spans="1:14" x14ac:dyDescent="0.35"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</row>
    <row r="77" spans="1:14" x14ac:dyDescent="0.35"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</row>
    <row r="78" spans="1:14" x14ac:dyDescent="0.35"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</row>
    <row r="79" spans="1:14" x14ac:dyDescent="0.35"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</row>
    <row r="80" spans="1:14" x14ac:dyDescent="0.35"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</row>
    <row r="81" spans="2:12" x14ac:dyDescent="0.35"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</row>
    <row r="82" spans="2:12" x14ac:dyDescent="0.35"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</row>
    <row r="83" spans="2:12" x14ac:dyDescent="0.35"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</row>
    <row r="84" spans="2:12" x14ac:dyDescent="0.35"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</row>
    <row r="85" spans="2:12" x14ac:dyDescent="0.35"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</row>
    <row r="86" spans="2:12" x14ac:dyDescent="0.35"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</row>
    <row r="87" spans="2:12" x14ac:dyDescent="0.35"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</row>
    <row r="88" spans="2:12" x14ac:dyDescent="0.35"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</row>
    <row r="89" spans="2:12" x14ac:dyDescent="0.35"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</row>
    <row r="90" spans="2:12" x14ac:dyDescent="0.35"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</row>
    <row r="91" spans="2:12" x14ac:dyDescent="0.35"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</row>
    <row r="92" spans="2:12" x14ac:dyDescent="0.35"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</row>
    <row r="93" spans="2:12" x14ac:dyDescent="0.35"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</row>
    <row r="94" spans="2:12" x14ac:dyDescent="0.35"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</row>
    <row r="95" spans="2:12" x14ac:dyDescent="0.35"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</row>
    <row r="96" spans="2:12" x14ac:dyDescent="0.35"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</row>
    <row r="97" spans="2:12" x14ac:dyDescent="0.35"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</row>
    <row r="98" spans="2:12" x14ac:dyDescent="0.35"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</row>
    <row r="99" spans="2:12" x14ac:dyDescent="0.35"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</row>
    <row r="100" spans="2:12" x14ac:dyDescent="0.35"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</row>
    <row r="101" spans="2:12" x14ac:dyDescent="0.35"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</row>
    <row r="102" spans="2:12" x14ac:dyDescent="0.35"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</row>
    <row r="103" spans="2:12" x14ac:dyDescent="0.35"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</row>
    <row r="104" spans="2:12" x14ac:dyDescent="0.35"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</row>
    <row r="105" spans="2:12" x14ac:dyDescent="0.35"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</row>
    <row r="106" spans="2:12" x14ac:dyDescent="0.35"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</row>
    <row r="107" spans="2:12" x14ac:dyDescent="0.35">
      <c r="B107" s="123"/>
      <c r="C107" s="123"/>
      <c r="D107" s="123"/>
      <c r="E107" s="123"/>
      <c r="K107" s="123"/>
      <c r="L107" s="123"/>
    </row>
    <row r="108" spans="2:12" x14ac:dyDescent="0.35">
      <c r="F108" s="43"/>
      <c r="G108" s="43"/>
      <c r="H108" s="43"/>
      <c r="J108" s="43"/>
    </row>
  </sheetData>
  <mergeCells count="6">
    <mergeCell ref="D11:H11"/>
    <mergeCell ref="J11:L11"/>
    <mergeCell ref="N11:P11"/>
    <mergeCell ref="B2:C7"/>
    <mergeCell ref="D2:P7"/>
    <mergeCell ref="B9:P9"/>
  </mergeCells>
  <pageMargins left="0.31496062992125984" right="0.31496062992125984" top="0.35433070866141736" bottom="0.15748031496062992" header="0.31496062992125984" footer="0.11811023622047245"/>
  <pageSetup paperSize="9" scale="80" orientation="landscape" r:id="rId1"/>
  <headerFooter>
    <oddHeader xml:space="preserve">&amp;R </oddHeader>
    <oddFooter>&amp;RBy Nikhil Kulkarni MBA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443E-FB77-4B7C-8B86-35A8BAB0371B}">
  <sheetPr>
    <tabColor rgb="FF002060"/>
  </sheetPr>
  <dimension ref="B1:U109"/>
  <sheetViews>
    <sheetView showGridLines="0" tabSelected="1" view="pageBreakPreview" zoomScale="55" zoomScaleNormal="55" zoomScaleSheetLayoutView="55" workbookViewId="0">
      <selection activeCell="G72" sqref="G72"/>
    </sheetView>
  </sheetViews>
  <sheetFormatPr defaultRowHeight="14.5" x14ac:dyDescent="0.35"/>
  <cols>
    <col min="1" max="1" width="1.81640625" customWidth="1"/>
    <col min="2" max="2" width="13.26953125" customWidth="1"/>
    <col min="3" max="3" width="15.54296875" customWidth="1"/>
    <col min="4" max="4" width="11.26953125" customWidth="1"/>
    <col min="5" max="5" width="11.90625" customWidth="1"/>
    <col min="6" max="10" width="8.7265625" style="123"/>
  </cols>
  <sheetData>
    <row r="1" spans="2:21" x14ac:dyDescent="0.35">
      <c r="B1" s="217"/>
      <c r="C1" s="210" t="str">
        <f>data!C23</f>
        <v>Eicher Motors Limited is an Indian multinational automotive company that manufactures motorcycles and commercial vehicles, headquartered in New Delhi. Eicher is the parent company of Royal Enfield, a manufacturer of middleweight motorcycles. It also manufactures Eicher branded trucks and buses, under a joint venture with Volvo Group.</v>
      </c>
      <c r="D1" s="210"/>
      <c r="E1" s="210"/>
      <c r="F1" s="210"/>
      <c r="G1" s="210"/>
      <c r="H1"/>
      <c r="I1"/>
      <c r="J1"/>
    </row>
    <row r="2" spans="2:21" x14ac:dyDescent="0.35">
      <c r="B2" s="217"/>
      <c r="C2" s="210"/>
      <c r="D2" s="210"/>
      <c r="E2" s="210"/>
      <c r="F2" s="210"/>
      <c r="G2" s="210"/>
      <c r="H2"/>
      <c r="I2"/>
      <c r="J2"/>
    </row>
    <row r="3" spans="2:21" x14ac:dyDescent="0.35">
      <c r="B3" s="217"/>
      <c r="C3" s="210"/>
      <c r="D3" s="210"/>
      <c r="E3" s="210"/>
      <c r="F3" s="210"/>
      <c r="G3" s="210"/>
      <c r="H3"/>
      <c r="I3"/>
      <c r="J3"/>
    </row>
    <row r="4" spans="2:21" x14ac:dyDescent="0.35">
      <c r="B4" s="217"/>
      <c r="C4" s="210"/>
      <c r="D4" s="210"/>
      <c r="E4" s="210"/>
      <c r="F4" s="210"/>
      <c r="G4" s="210"/>
      <c r="H4"/>
      <c r="I4"/>
      <c r="J4"/>
    </row>
    <row r="5" spans="2:21" x14ac:dyDescent="0.35">
      <c r="B5" s="217"/>
      <c r="C5" s="210"/>
      <c r="D5" s="210"/>
      <c r="E5" s="210"/>
      <c r="F5" s="210"/>
      <c r="G5" s="210"/>
      <c r="H5"/>
      <c r="I5"/>
      <c r="J5"/>
    </row>
    <row r="6" spans="2:21" x14ac:dyDescent="0.35">
      <c r="B6" s="217"/>
      <c r="C6" s="210"/>
      <c r="D6" s="210"/>
      <c r="E6" s="210"/>
      <c r="F6" s="210"/>
      <c r="G6" s="210"/>
      <c r="H6"/>
      <c r="I6"/>
      <c r="J6"/>
    </row>
    <row r="7" spans="2:21" x14ac:dyDescent="0.35">
      <c r="C7" s="210"/>
      <c r="D7" s="210"/>
      <c r="E7" s="210"/>
      <c r="F7" s="210"/>
      <c r="G7" s="210"/>
      <c r="H7"/>
      <c r="I7" s="151"/>
      <c r="J7" s="151"/>
      <c r="K7" s="151"/>
      <c r="L7" s="151"/>
      <c r="M7" s="151"/>
      <c r="N7" s="151"/>
      <c r="O7" s="151"/>
      <c r="P7" s="151"/>
    </row>
    <row r="8" spans="2:21" x14ac:dyDescent="0.35">
      <c r="E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</row>
    <row r="9" spans="2:21" x14ac:dyDescent="0.35">
      <c r="B9" s="220" t="s">
        <v>421</v>
      </c>
      <c r="C9" s="220"/>
      <c r="D9" s="123"/>
      <c r="E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</row>
    <row r="10" spans="2:21" ht="7.5" customHeight="1" x14ac:dyDescent="0.35">
      <c r="B10" s="59"/>
      <c r="C10" s="59"/>
      <c r="D10" s="123"/>
      <c r="E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</row>
    <row r="11" spans="2:21" ht="15.5" x14ac:dyDescent="0.35">
      <c r="B11" s="96" t="s">
        <v>214</v>
      </c>
      <c r="C11" s="96" t="s">
        <v>215</v>
      </c>
      <c r="D11" s="123"/>
      <c r="E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</row>
    <row r="12" spans="2:21" x14ac:dyDescent="0.35">
      <c r="B12" s="22">
        <v>2000</v>
      </c>
      <c r="C12" s="5">
        <v>-0.14649999999999999</v>
      </c>
      <c r="D12" s="123"/>
      <c r="E12" s="16" t="s">
        <v>216</v>
      </c>
      <c r="F12" s="16"/>
      <c r="G12" s="89">
        <f>AVERAGE(C12:C37)</f>
        <v>0.1514923076923077</v>
      </c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</row>
    <row r="13" spans="2:21" ht="16.5" x14ac:dyDescent="0.35">
      <c r="B13" s="61">
        <v>2001</v>
      </c>
      <c r="C13" s="60">
        <v>-0.1618</v>
      </c>
      <c r="D13" s="123"/>
      <c r="E13" s="63" t="s">
        <v>217</v>
      </c>
      <c r="F13" s="63"/>
      <c r="G13" s="71" t="s">
        <v>219</v>
      </c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</row>
    <row r="14" spans="2:21" x14ac:dyDescent="0.35">
      <c r="B14" s="61">
        <v>2002</v>
      </c>
      <c r="C14" s="60">
        <v>3.2500000000000001E-2</v>
      </c>
      <c r="D14" s="123"/>
      <c r="E14" s="321" t="s">
        <v>218</v>
      </c>
      <c r="F14" s="321"/>
      <c r="G14" s="322">
        <f>SUM(G12:G13)</f>
        <v>0.1514923076923077</v>
      </c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</row>
    <row r="15" spans="2:21" x14ac:dyDescent="0.35">
      <c r="B15" s="61">
        <v>2003</v>
      </c>
      <c r="C15" s="60">
        <v>0.71900000000000008</v>
      </c>
      <c r="D15" s="123"/>
      <c r="E15" s="123"/>
      <c r="G15" s="128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</row>
    <row r="16" spans="2:21" x14ac:dyDescent="0.35">
      <c r="B16" s="61">
        <v>2004</v>
      </c>
      <c r="C16" s="60">
        <v>0.10679999999999999</v>
      </c>
      <c r="D16" s="123"/>
      <c r="E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</row>
    <row r="17" spans="2:21" x14ac:dyDescent="0.35">
      <c r="B17" s="61">
        <v>2005</v>
      </c>
      <c r="C17" s="60">
        <v>0.36340000000000006</v>
      </c>
      <c r="D17" s="123"/>
      <c r="E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</row>
    <row r="18" spans="2:21" x14ac:dyDescent="0.35">
      <c r="B18" s="61">
        <v>2006</v>
      </c>
      <c r="C18" s="60">
        <v>0.39829999999999999</v>
      </c>
      <c r="D18" s="123"/>
      <c r="E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</row>
    <row r="19" spans="2:21" x14ac:dyDescent="0.35">
      <c r="B19" s="61">
        <v>2007</v>
      </c>
      <c r="C19" s="60">
        <v>0.54770000000000008</v>
      </c>
      <c r="D19" s="123"/>
      <c r="E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</row>
    <row r="20" spans="2:21" x14ac:dyDescent="0.35">
      <c r="B20" s="61">
        <v>2008</v>
      </c>
      <c r="C20" s="60">
        <v>-0.51790000000000003</v>
      </c>
      <c r="D20" s="123"/>
      <c r="E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</row>
    <row r="21" spans="2:21" x14ac:dyDescent="0.35">
      <c r="B21" s="61">
        <v>2009</v>
      </c>
      <c r="C21" s="60">
        <v>0.75760000000000005</v>
      </c>
      <c r="D21" s="123"/>
      <c r="E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</row>
    <row r="22" spans="2:21" x14ac:dyDescent="0.35">
      <c r="B22" s="61">
        <v>2010</v>
      </c>
      <c r="C22" s="60">
        <v>0.17949999999999999</v>
      </c>
      <c r="D22" s="123"/>
      <c r="E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</row>
    <row r="23" spans="2:21" x14ac:dyDescent="0.35">
      <c r="B23" s="61">
        <v>2011</v>
      </c>
      <c r="C23" s="60">
        <v>-0.2462</v>
      </c>
      <c r="D23" s="123"/>
      <c r="E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</row>
    <row r="24" spans="2:21" x14ac:dyDescent="0.35">
      <c r="B24" s="61">
        <v>2012</v>
      </c>
      <c r="C24" s="60">
        <v>0.27699999999999997</v>
      </c>
      <c r="D24" s="123"/>
      <c r="E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</row>
    <row r="25" spans="2:21" x14ac:dyDescent="0.35">
      <c r="B25" s="61">
        <v>2013</v>
      </c>
      <c r="C25" s="60">
        <v>6.7599999999999993E-2</v>
      </c>
      <c r="D25" s="123"/>
      <c r="E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</row>
    <row r="26" spans="2:21" x14ac:dyDescent="0.35">
      <c r="B26" s="61">
        <v>2014</v>
      </c>
      <c r="C26" s="60">
        <v>0.31390000000000001</v>
      </c>
      <c r="D26" s="123"/>
      <c r="E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</row>
    <row r="27" spans="2:21" x14ac:dyDescent="0.35">
      <c r="B27" s="61">
        <v>2015</v>
      </c>
      <c r="C27" s="60">
        <v>-4.0599999999999997E-2</v>
      </c>
      <c r="D27" s="123"/>
      <c r="E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</row>
    <row r="28" spans="2:21" x14ac:dyDescent="0.35">
      <c r="B28" s="61">
        <v>2016</v>
      </c>
      <c r="C28" s="60">
        <v>3.0099999999999998E-2</v>
      </c>
      <c r="D28" s="123"/>
      <c r="E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</row>
    <row r="29" spans="2:21" x14ac:dyDescent="0.35">
      <c r="B29" s="61">
        <v>2017</v>
      </c>
      <c r="C29" s="60">
        <v>0.28649999999999998</v>
      </c>
      <c r="D29" s="123"/>
      <c r="E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</row>
    <row r="30" spans="2:21" x14ac:dyDescent="0.35">
      <c r="B30" s="61">
        <v>2018</v>
      </c>
      <c r="C30" s="60">
        <v>3.15E-2</v>
      </c>
      <c r="D30" s="123"/>
      <c r="E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</row>
    <row r="31" spans="2:21" x14ac:dyDescent="0.35">
      <c r="B31" s="61">
        <v>2019</v>
      </c>
      <c r="C31" s="60">
        <v>0.1202</v>
      </c>
      <c r="D31" s="123"/>
      <c r="E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</row>
    <row r="32" spans="2:21" x14ac:dyDescent="0.35">
      <c r="B32" s="61">
        <v>2020</v>
      </c>
      <c r="C32" s="60">
        <v>0.14899999999999999</v>
      </c>
      <c r="D32" s="123"/>
      <c r="E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</row>
    <row r="33" spans="2:21" x14ac:dyDescent="0.35">
      <c r="B33" s="61">
        <v>2021</v>
      </c>
      <c r="C33" s="60">
        <v>0.2412</v>
      </c>
      <c r="D33" s="123"/>
      <c r="E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</row>
    <row r="34" spans="2:21" x14ac:dyDescent="0.35">
      <c r="B34" s="61">
        <v>2022</v>
      </c>
      <c r="C34" s="60">
        <v>4.3200000000000002E-2</v>
      </c>
      <c r="D34" s="123"/>
      <c r="E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</row>
    <row r="35" spans="2:21" x14ac:dyDescent="0.35">
      <c r="B35" s="61">
        <v>2023</v>
      </c>
      <c r="C35" s="60">
        <v>0.19420000000000001</v>
      </c>
      <c r="D35" s="123"/>
      <c r="E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</row>
    <row r="36" spans="2:21" x14ac:dyDescent="0.35">
      <c r="B36" s="61">
        <v>2024</v>
      </c>
      <c r="C36" s="60">
        <v>8.7499999999999994E-2</v>
      </c>
      <c r="D36" s="123"/>
      <c r="E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</row>
    <row r="37" spans="2:21" x14ac:dyDescent="0.35">
      <c r="B37" s="319">
        <v>2025</v>
      </c>
      <c r="C37" s="320">
        <v>0.1051</v>
      </c>
      <c r="D37" s="123"/>
      <c r="E37" s="123"/>
      <c r="H37" s="151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</row>
    <row r="38" spans="2:21" x14ac:dyDescent="0.35">
      <c r="B38" s="123"/>
      <c r="C38" s="123"/>
      <c r="D38" s="123"/>
      <c r="E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</row>
    <row r="39" spans="2:21" x14ac:dyDescent="0.35">
      <c r="B39" s="123"/>
      <c r="C39" s="123"/>
      <c r="D39" s="123"/>
      <c r="E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</row>
    <row r="40" spans="2:21" x14ac:dyDescent="0.35">
      <c r="B40" s="123"/>
      <c r="C40" s="123"/>
      <c r="D40" s="123"/>
      <c r="E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</row>
    <row r="41" spans="2:21" x14ac:dyDescent="0.35">
      <c r="B41" s="123"/>
      <c r="C41" s="123"/>
      <c r="D41" s="123"/>
      <c r="E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</row>
    <row r="42" spans="2:21" x14ac:dyDescent="0.35">
      <c r="B42" s="123"/>
      <c r="C42" s="123"/>
      <c r="D42" s="123"/>
      <c r="E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</row>
    <row r="43" spans="2:21" x14ac:dyDescent="0.35">
      <c r="B43" s="123"/>
      <c r="C43" s="123"/>
      <c r="D43" s="123"/>
      <c r="E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</row>
    <row r="44" spans="2:21" x14ac:dyDescent="0.35">
      <c r="B44" s="123"/>
      <c r="C44" s="123"/>
      <c r="D44" s="123"/>
      <c r="E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</row>
    <row r="45" spans="2:21" x14ac:dyDescent="0.35">
      <c r="B45" s="123"/>
      <c r="C45" s="123"/>
      <c r="D45" s="123"/>
      <c r="E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</row>
    <row r="46" spans="2:21" x14ac:dyDescent="0.35">
      <c r="B46" s="123"/>
      <c r="C46" s="123"/>
      <c r="D46" s="123"/>
      <c r="E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</row>
    <row r="47" spans="2:21" x14ac:dyDescent="0.35">
      <c r="B47" s="123"/>
      <c r="C47" s="123"/>
      <c r="D47" s="123"/>
      <c r="E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</row>
    <row r="48" spans="2:21" x14ac:dyDescent="0.35">
      <c r="B48" s="123"/>
      <c r="C48" s="123"/>
      <c r="D48" s="123"/>
      <c r="E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</row>
    <row r="49" spans="2:21" x14ac:dyDescent="0.35">
      <c r="B49" s="123"/>
      <c r="C49" s="123"/>
      <c r="D49" s="123"/>
      <c r="E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</row>
    <row r="50" spans="2:21" x14ac:dyDescent="0.35">
      <c r="B50" s="123"/>
      <c r="C50" s="123"/>
      <c r="D50" s="123"/>
      <c r="E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</row>
    <row r="51" spans="2:21" x14ac:dyDescent="0.35">
      <c r="B51" s="123"/>
      <c r="C51" s="123"/>
      <c r="D51" s="123"/>
      <c r="E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</row>
    <row r="52" spans="2:21" x14ac:dyDescent="0.35">
      <c r="B52" s="123"/>
      <c r="C52" s="123"/>
      <c r="D52" s="123"/>
      <c r="E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</row>
    <row r="53" spans="2:21" x14ac:dyDescent="0.35">
      <c r="B53" s="123"/>
      <c r="C53" s="123"/>
      <c r="D53" s="123"/>
      <c r="E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</row>
    <row r="54" spans="2:21" x14ac:dyDescent="0.35">
      <c r="B54" s="123"/>
      <c r="C54" s="123"/>
      <c r="D54" s="123"/>
      <c r="E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</row>
    <row r="55" spans="2:21" x14ac:dyDescent="0.35">
      <c r="B55" s="123"/>
      <c r="C55" s="123"/>
      <c r="D55" s="123"/>
      <c r="E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</row>
    <row r="56" spans="2:21" x14ac:dyDescent="0.35">
      <c r="B56" s="123"/>
      <c r="C56" s="123"/>
      <c r="D56" s="123"/>
      <c r="E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</row>
    <row r="57" spans="2:21" x14ac:dyDescent="0.35">
      <c r="B57" s="123"/>
      <c r="C57" s="123"/>
      <c r="D57" s="123"/>
      <c r="E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</row>
    <row r="58" spans="2:21" x14ac:dyDescent="0.35">
      <c r="B58" s="123"/>
      <c r="C58" s="123"/>
      <c r="D58" s="123"/>
      <c r="E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</row>
    <row r="59" spans="2:21" x14ac:dyDescent="0.35">
      <c r="B59" s="123"/>
      <c r="C59" s="123"/>
      <c r="D59" s="123"/>
      <c r="E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</row>
    <row r="60" spans="2:21" x14ac:dyDescent="0.35">
      <c r="B60" s="123"/>
      <c r="C60" s="123"/>
      <c r="D60" s="123"/>
      <c r="E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</row>
    <row r="61" spans="2:21" x14ac:dyDescent="0.35">
      <c r="B61" s="123"/>
      <c r="C61" s="123"/>
      <c r="D61" s="123"/>
      <c r="E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</row>
    <row r="62" spans="2:21" x14ac:dyDescent="0.35">
      <c r="B62" s="123"/>
      <c r="C62" s="123"/>
      <c r="D62" s="123"/>
      <c r="E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</row>
    <row r="63" spans="2:21" x14ac:dyDescent="0.35">
      <c r="B63" s="123"/>
      <c r="C63" s="123"/>
      <c r="D63" s="123"/>
      <c r="E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</row>
    <row r="64" spans="2:21" x14ac:dyDescent="0.35">
      <c r="B64" s="123"/>
      <c r="C64" s="123"/>
      <c r="D64" s="123"/>
      <c r="E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</row>
    <row r="65" spans="2:21" x14ac:dyDescent="0.35"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123"/>
      <c r="N65" s="123"/>
      <c r="O65" s="123"/>
      <c r="P65" s="123"/>
      <c r="Q65" s="123"/>
      <c r="R65" s="123"/>
      <c r="S65" s="123"/>
      <c r="T65" s="123"/>
      <c r="U65" s="123"/>
    </row>
    <row r="66" spans="2:21" x14ac:dyDescent="0.35"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123"/>
      <c r="N66" s="123"/>
      <c r="O66" s="123"/>
      <c r="P66" s="123"/>
      <c r="Q66" s="123"/>
      <c r="R66" s="123"/>
      <c r="S66" s="123"/>
      <c r="T66" s="123"/>
      <c r="U66" s="123"/>
    </row>
    <row r="67" spans="2:21" x14ac:dyDescent="0.35"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123"/>
      <c r="N67" s="123"/>
      <c r="O67" s="123"/>
      <c r="P67" s="123"/>
      <c r="Q67" s="123"/>
      <c r="R67" s="123"/>
      <c r="S67" s="123"/>
      <c r="T67" s="123"/>
      <c r="U67" s="123"/>
    </row>
    <row r="68" spans="2:21" x14ac:dyDescent="0.35"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123"/>
      <c r="N68" s="123"/>
      <c r="O68" s="123"/>
      <c r="P68" s="123"/>
      <c r="Q68" s="123"/>
      <c r="R68" s="123"/>
      <c r="S68" s="123"/>
      <c r="T68" s="123"/>
      <c r="U68" s="123"/>
    </row>
    <row r="69" spans="2:21" x14ac:dyDescent="0.35"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123"/>
      <c r="N69" s="123"/>
      <c r="O69" s="123"/>
      <c r="P69" s="123"/>
      <c r="Q69" s="123"/>
      <c r="R69" s="123"/>
      <c r="S69" s="123"/>
      <c r="T69" s="123"/>
      <c r="U69" s="123"/>
    </row>
    <row r="70" spans="2:21" x14ac:dyDescent="0.35"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123"/>
      <c r="N70" s="123"/>
      <c r="O70" s="123"/>
      <c r="P70" s="123"/>
      <c r="Q70" s="123"/>
      <c r="R70" s="123"/>
      <c r="S70" s="123"/>
      <c r="T70" s="123"/>
      <c r="U70" s="123"/>
    </row>
    <row r="71" spans="2:21" x14ac:dyDescent="0.35"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123"/>
      <c r="N71" s="123"/>
      <c r="O71" s="123"/>
      <c r="P71" s="123"/>
      <c r="Q71" s="123"/>
      <c r="R71" s="123"/>
      <c r="S71" s="123"/>
      <c r="T71" s="123"/>
      <c r="U71" s="123"/>
    </row>
    <row r="72" spans="2:21" x14ac:dyDescent="0.35">
      <c r="B72" s="239"/>
      <c r="C72" s="239"/>
      <c r="D72" s="239"/>
      <c r="E72" s="239"/>
      <c r="F72" s="239"/>
      <c r="G72" s="239"/>
      <c r="H72" s="238"/>
      <c r="I72" s="238"/>
      <c r="J72" s="238"/>
      <c r="K72" s="238"/>
      <c r="L72" s="238"/>
      <c r="M72" s="43"/>
    </row>
    <row r="73" spans="2:21" x14ac:dyDescent="0.35"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123"/>
    </row>
    <row r="74" spans="2:21" x14ac:dyDescent="0.35"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123"/>
    </row>
    <row r="75" spans="2:21" x14ac:dyDescent="0.35"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123"/>
    </row>
    <row r="76" spans="2:21" x14ac:dyDescent="0.35"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123"/>
    </row>
    <row r="77" spans="2:21" x14ac:dyDescent="0.35"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123"/>
    </row>
    <row r="78" spans="2:21" x14ac:dyDescent="0.35"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123"/>
    </row>
    <row r="79" spans="2:21" x14ac:dyDescent="0.35"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123"/>
    </row>
    <row r="80" spans="2:21" x14ac:dyDescent="0.35"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123"/>
    </row>
    <row r="81" spans="2:13" x14ac:dyDescent="0.35"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123"/>
    </row>
    <row r="82" spans="2:13" x14ac:dyDescent="0.35"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123"/>
    </row>
    <row r="83" spans="2:13" x14ac:dyDescent="0.35"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123"/>
    </row>
    <row r="84" spans="2:13" x14ac:dyDescent="0.35"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123"/>
    </row>
    <row r="85" spans="2:13" x14ac:dyDescent="0.35"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123"/>
    </row>
    <row r="86" spans="2:13" x14ac:dyDescent="0.35"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123"/>
    </row>
    <row r="87" spans="2:13" x14ac:dyDescent="0.35"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123"/>
    </row>
    <row r="88" spans="2:13" x14ac:dyDescent="0.35"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123"/>
    </row>
    <row r="89" spans="2:13" x14ac:dyDescent="0.35"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123"/>
    </row>
    <row r="90" spans="2:13" x14ac:dyDescent="0.35"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123"/>
    </row>
    <row r="91" spans="2:13" x14ac:dyDescent="0.35"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123"/>
    </row>
    <row r="92" spans="2:13" x14ac:dyDescent="0.35"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123"/>
    </row>
    <row r="93" spans="2:13" x14ac:dyDescent="0.35"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123"/>
    </row>
    <row r="94" spans="2:13" x14ac:dyDescent="0.35"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123"/>
    </row>
    <row r="95" spans="2:13" x14ac:dyDescent="0.35"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123"/>
    </row>
    <row r="96" spans="2:13" x14ac:dyDescent="0.35"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123"/>
    </row>
    <row r="97" spans="2:13" x14ac:dyDescent="0.35"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123"/>
    </row>
    <row r="98" spans="2:13" x14ac:dyDescent="0.35"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123"/>
    </row>
    <row r="99" spans="2:13" x14ac:dyDescent="0.35"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123"/>
    </row>
    <row r="100" spans="2:13" x14ac:dyDescent="0.35"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123"/>
    </row>
    <row r="101" spans="2:13" x14ac:dyDescent="0.35"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123"/>
    </row>
    <row r="102" spans="2:13" x14ac:dyDescent="0.35"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123"/>
    </row>
    <row r="103" spans="2:13" x14ac:dyDescent="0.35"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123"/>
    </row>
    <row r="104" spans="2:13" x14ac:dyDescent="0.35"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123"/>
    </row>
    <row r="105" spans="2:13" x14ac:dyDescent="0.35"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123"/>
    </row>
    <row r="106" spans="2:13" x14ac:dyDescent="0.35"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123"/>
    </row>
    <row r="107" spans="2:13" x14ac:dyDescent="0.35"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123"/>
    </row>
    <row r="108" spans="2:13" x14ac:dyDescent="0.35">
      <c r="B108" s="123"/>
      <c r="C108" s="123"/>
      <c r="D108" s="123"/>
      <c r="E108" s="123"/>
      <c r="K108" s="123"/>
      <c r="L108" s="123"/>
      <c r="M108" s="123"/>
    </row>
    <row r="109" spans="2:13" x14ac:dyDescent="0.35">
      <c r="F109" s="43"/>
      <c r="G109" s="43"/>
      <c r="H109" s="43"/>
      <c r="I109" s="43"/>
      <c r="J109" s="43"/>
    </row>
  </sheetData>
  <mergeCells count="3">
    <mergeCell ref="B9:C9"/>
    <mergeCell ref="C1:G7"/>
    <mergeCell ref="B1:B6"/>
  </mergeCells>
  <pageMargins left="0.70866141732283472" right="0.70866141732283472" top="0.74803149606299213" bottom="0.74803149606299213" header="0.31496062992125984" footer="0.31496062992125984"/>
  <pageSetup paperSize="9" scale="120" orientation="portrait" r:id="rId1"/>
  <headerFooter>
    <oddHeader xml:space="preserve">&amp;R </oddHeader>
    <oddFooter>&amp;RBy Nikhil Kulkarni MBA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K24"/>
  <sheetViews>
    <sheetView zoomScale="75" workbookViewId="0">
      <pane xSplit="1" ySplit="3" topLeftCell="B4" activePane="bottomRight" state="frozen"/>
      <selection activeCell="AD44" sqref="AD44"/>
      <selection pane="topRight" activeCell="AD44" sqref="AD44"/>
      <selection pane="bottomLeft" activeCell="AD44" sqref="AD44"/>
      <selection pane="bottomRight" activeCell="AD44" sqref="AD44"/>
    </sheetView>
  </sheetViews>
  <sheetFormatPr defaultColWidth="8.81640625" defaultRowHeight="14.5" x14ac:dyDescent="0.35"/>
  <cols>
    <col min="1" max="1" width="22.8164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EICHER MOTORS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8" t="s">
        <v>2</v>
      </c>
      <c r="B3" s="9">
        <f>'Data Sheet'!B56</f>
        <v>42460</v>
      </c>
      <c r="C3" s="9">
        <f>'Data Sheet'!C56</f>
        <v>42825</v>
      </c>
      <c r="D3" s="9">
        <f>'Data Sheet'!D56</f>
        <v>43190</v>
      </c>
      <c r="E3" s="9">
        <f>'Data Sheet'!E56</f>
        <v>43555</v>
      </c>
      <c r="F3" s="9">
        <f>'Data Sheet'!F56</f>
        <v>43921</v>
      </c>
      <c r="G3" s="9">
        <f>'Data Sheet'!G56</f>
        <v>44286</v>
      </c>
      <c r="H3" s="9">
        <f>'Data Sheet'!H56</f>
        <v>44651</v>
      </c>
      <c r="I3" s="9">
        <f>'Data Sheet'!I56</f>
        <v>45016</v>
      </c>
      <c r="J3" s="9">
        <f>'Data Sheet'!J56</f>
        <v>45382</v>
      </c>
      <c r="K3" s="9">
        <f>'Data Sheet'!K56</f>
        <v>45747</v>
      </c>
    </row>
    <row r="4" spans="1:11" x14ac:dyDescent="0.35">
      <c r="A4" t="s">
        <v>19</v>
      </c>
      <c r="B4" s="10">
        <f>'Data Sheet'!B57</f>
        <v>27.16</v>
      </c>
      <c r="C4" s="10">
        <f>'Data Sheet'!C57</f>
        <v>27.21</v>
      </c>
      <c r="D4" s="10">
        <f>'Data Sheet'!D57</f>
        <v>27.26</v>
      </c>
      <c r="E4" s="10">
        <f>'Data Sheet'!E57</f>
        <v>27.28</v>
      </c>
      <c r="F4" s="10">
        <f>'Data Sheet'!F57</f>
        <v>27.3</v>
      </c>
      <c r="G4" s="10">
        <f>'Data Sheet'!G57</f>
        <v>27.33</v>
      </c>
      <c r="H4" s="10">
        <f>'Data Sheet'!H57</f>
        <v>27.34</v>
      </c>
      <c r="I4" s="10">
        <f>'Data Sheet'!I57</f>
        <v>27.35</v>
      </c>
      <c r="J4" s="10">
        <f>'Data Sheet'!J57</f>
        <v>27.38</v>
      </c>
      <c r="K4" s="10">
        <f>'Data Sheet'!K57</f>
        <v>27.42</v>
      </c>
    </row>
    <row r="5" spans="1:11" x14ac:dyDescent="0.35">
      <c r="A5" t="s">
        <v>20</v>
      </c>
      <c r="B5" s="10">
        <f>'Data Sheet'!B58</f>
        <v>3625.93</v>
      </c>
      <c r="C5" s="10">
        <f>'Data Sheet'!C58</f>
        <v>5317.86</v>
      </c>
      <c r="D5" s="10">
        <f>'Data Sheet'!D58</f>
        <v>7002.81</v>
      </c>
      <c r="E5" s="10">
        <f>'Data Sheet'!E58</f>
        <v>8891.44</v>
      </c>
      <c r="F5" s="10">
        <f>'Data Sheet'!F58</f>
        <v>9953.6299999999992</v>
      </c>
      <c r="G5" s="10">
        <f>'Data Sheet'!G58</f>
        <v>11410.75</v>
      </c>
      <c r="H5" s="10">
        <f>'Data Sheet'!H58</f>
        <v>12580.66</v>
      </c>
      <c r="I5" s="10">
        <f>'Data Sheet'!I58</f>
        <v>14962.93</v>
      </c>
      <c r="J5" s="10">
        <f>'Data Sheet'!J58</f>
        <v>18018.150000000001</v>
      </c>
      <c r="K5" s="10">
        <f>'Data Sheet'!K58</f>
        <v>21269.07</v>
      </c>
    </row>
    <row r="6" spans="1:11" x14ac:dyDescent="0.35">
      <c r="A6" t="s">
        <v>56</v>
      </c>
      <c r="B6" s="10">
        <f>'Data Sheet'!B59</f>
        <v>22.57</v>
      </c>
      <c r="C6" s="10">
        <f>'Data Sheet'!C59</f>
        <v>111.85</v>
      </c>
      <c r="D6" s="10">
        <f>'Data Sheet'!D59</f>
        <v>150.84</v>
      </c>
      <c r="E6" s="10">
        <f>'Data Sheet'!E59</f>
        <v>186.76</v>
      </c>
      <c r="F6" s="10">
        <f>'Data Sheet'!F59</f>
        <v>249</v>
      </c>
      <c r="G6" s="10">
        <f>'Data Sheet'!G59</f>
        <v>219.25</v>
      </c>
      <c r="H6" s="10">
        <f>'Data Sheet'!H59</f>
        <v>107.71</v>
      </c>
      <c r="I6" s="10">
        <f>'Data Sheet'!I59</f>
        <v>288.41000000000003</v>
      </c>
      <c r="J6" s="10">
        <f>'Data Sheet'!J59</f>
        <v>419.44</v>
      </c>
      <c r="K6" s="10">
        <f>'Data Sheet'!K59</f>
        <v>458.13</v>
      </c>
    </row>
    <row r="7" spans="1:11" x14ac:dyDescent="0.35">
      <c r="A7" t="s">
        <v>57</v>
      </c>
      <c r="B7" s="10">
        <f>'Data Sheet'!B60</f>
        <v>1263.3499999999999</v>
      </c>
      <c r="C7" s="10">
        <f>'Data Sheet'!C60</f>
        <v>1552.16</v>
      </c>
      <c r="D7" s="10">
        <f>'Data Sheet'!D60</f>
        <v>2341.3200000000002</v>
      </c>
      <c r="E7" s="10">
        <f>'Data Sheet'!E60</f>
        <v>2281.35</v>
      </c>
      <c r="F7" s="10">
        <f>'Data Sheet'!F60</f>
        <v>2219.79</v>
      </c>
      <c r="G7" s="10">
        <f>'Data Sheet'!G60</f>
        <v>2901.28</v>
      </c>
      <c r="H7" s="10">
        <f>'Data Sheet'!H60</f>
        <v>3424.12</v>
      </c>
      <c r="I7" s="10">
        <f>'Data Sheet'!I60</f>
        <v>3918.95</v>
      </c>
      <c r="J7" s="10">
        <f>'Data Sheet'!J60</f>
        <v>4650.16</v>
      </c>
      <c r="K7" s="10">
        <f>'Data Sheet'!K60</f>
        <v>5419.79</v>
      </c>
    </row>
    <row r="8" spans="1:11" s="2" customFormat="1" x14ac:dyDescent="0.35">
      <c r="A8" s="2" t="s">
        <v>21</v>
      </c>
      <c r="B8" s="11">
        <f>'Data Sheet'!B61</f>
        <v>4939.01</v>
      </c>
      <c r="C8" s="11">
        <f>'Data Sheet'!C61</f>
        <v>7009.08</v>
      </c>
      <c r="D8" s="11">
        <f>'Data Sheet'!D61</f>
        <v>9522.23</v>
      </c>
      <c r="E8" s="11">
        <f>'Data Sheet'!E61</f>
        <v>11386.83</v>
      </c>
      <c r="F8" s="11">
        <f>'Data Sheet'!F61</f>
        <v>12449.72</v>
      </c>
      <c r="G8" s="11">
        <f>'Data Sheet'!G61</f>
        <v>14558.61</v>
      </c>
      <c r="H8" s="11">
        <f>'Data Sheet'!H61</f>
        <v>16139.83</v>
      </c>
      <c r="I8" s="11">
        <f>'Data Sheet'!I61</f>
        <v>19197.64</v>
      </c>
      <c r="J8" s="11">
        <f>'Data Sheet'!J61</f>
        <v>23115.13</v>
      </c>
      <c r="K8" s="11">
        <f>'Data Sheet'!K61</f>
        <v>27174.41</v>
      </c>
    </row>
    <row r="9" spans="1:11" s="2" customFormat="1" x14ac:dyDescent="0.35"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 x14ac:dyDescent="0.35">
      <c r="A10" t="s">
        <v>22</v>
      </c>
      <c r="B10" s="10">
        <f>'Data Sheet'!B62</f>
        <v>789.59</v>
      </c>
      <c r="C10" s="10">
        <f>'Data Sheet'!C62</f>
        <v>872.78</v>
      </c>
      <c r="D10" s="10">
        <f>'Data Sheet'!D62</f>
        <v>1501.69</v>
      </c>
      <c r="E10" s="10">
        <f>'Data Sheet'!E62</f>
        <v>1874.58</v>
      </c>
      <c r="F10" s="10">
        <f>'Data Sheet'!F62</f>
        <v>2377.52</v>
      </c>
      <c r="G10" s="10">
        <f>'Data Sheet'!G62</f>
        <v>2433.3000000000002</v>
      </c>
      <c r="H10" s="10">
        <f>'Data Sheet'!H62</f>
        <v>2424.2800000000002</v>
      </c>
      <c r="I10" s="10">
        <f>'Data Sheet'!I62</f>
        <v>2689.99</v>
      </c>
      <c r="J10" s="10">
        <f>'Data Sheet'!J62</f>
        <v>2914.38</v>
      </c>
      <c r="K10" s="10">
        <f>'Data Sheet'!K62</f>
        <v>3473.47</v>
      </c>
    </row>
    <row r="11" spans="1:11" x14ac:dyDescent="0.35">
      <c r="A11" t="s">
        <v>23</v>
      </c>
      <c r="B11" s="10">
        <f>'Data Sheet'!B63</f>
        <v>94.48</v>
      </c>
      <c r="C11" s="10">
        <f>'Data Sheet'!C63</f>
        <v>373.77</v>
      </c>
      <c r="D11" s="10">
        <f>'Data Sheet'!D63</f>
        <v>333.21</v>
      </c>
      <c r="E11" s="10">
        <f>'Data Sheet'!E63</f>
        <v>449.74</v>
      </c>
      <c r="F11" s="10">
        <f>'Data Sheet'!F63</f>
        <v>312.17</v>
      </c>
      <c r="G11" s="10">
        <f>'Data Sheet'!G63</f>
        <v>314.29000000000002</v>
      </c>
      <c r="H11" s="10">
        <f>'Data Sheet'!H63</f>
        <v>504.78</v>
      </c>
      <c r="I11" s="10">
        <f>'Data Sheet'!I63</f>
        <v>472.07</v>
      </c>
      <c r="J11" s="10">
        <f>'Data Sheet'!J63</f>
        <v>555.1</v>
      </c>
      <c r="K11" s="10">
        <f>'Data Sheet'!K63</f>
        <v>491.47</v>
      </c>
    </row>
    <row r="12" spans="1:11" x14ac:dyDescent="0.35">
      <c r="A12" t="s">
        <v>24</v>
      </c>
      <c r="B12" s="10">
        <f>'Data Sheet'!B64</f>
        <v>3388.24</v>
      </c>
      <c r="C12" s="10">
        <f>'Data Sheet'!C64</f>
        <v>4987.13</v>
      </c>
      <c r="D12" s="10">
        <f>'Data Sheet'!D64</f>
        <v>5580.84</v>
      </c>
      <c r="E12" s="10">
        <f>'Data Sheet'!E64</f>
        <v>4922.5200000000004</v>
      </c>
      <c r="F12" s="10">
        <f>'Data Sheet'!F64</f>
        <v>5748.77</v>
      </c>
      <c r="G12" s="10">
        <f>'Data Sheet'!G64</f>
        <v>3902.14</v>
      </c>
      <c r="H12" s="10">
        <f>'Data Sheet'!H64</f>
        <v>7720.58</v>
      </c>
      <c r="I12" s="10">
        <f>'Data Sheet'!I64</f>
        <v>12320.66</v>
      </c>
      <c r="J12" s="10">
        <f>'Data Sheet'!J64</f>
        <v>13526.96</v>
      </c>
      <c r="K12" s="10">
        <f>'Data Sheet'!K64</f>
        <v>14790.9</v>
      </c>
    </row>
    <row r="13" spans="1:11" x14ac:dyDescent="0.35">
      <c r="A13" t="s">
        <v>58</v>
      </c>
      <c r="B13" s="10">
        <f>'Data Sheet'!B65</f>
        <v>666.7</v>
      </c>
      <c r="C13" s="10">
        <f>'Data Sheet'!C65</f>
        <v>775.4</v>
      </c>
      <c r="D13" s="10">
        <f>'Data Sheet'!D65</f>
        <v>2106.4899999999998</v>
      </c>
      <c r="E13" s="10">
        <f>'Data Sheet'!E65</f>
        <v>4139.99</v>
      </c>
      <c r="F13" s="10">
        <f>'Data Sheet'!F65</f>
        <v>4011.26</v>
      </c>
      <c r="G13" s="10">
        <f>'Data Sheet'!G65</f>
        <v>7908.88</v>
      </c>
      <c r="H13" s="10">
        <f>'Data Sheet'!H65</f>
        <v>5490.19</v>
      </c>
      <c r="I13" s="10">
        <f>'Data Sheet'!I65</f>
        <v>3714.92</v>
      </c>
      <c r="J13" s="10">
        <f>'Data Sheet'!J65</f>
        <v>6118.69</v>
      </c>
      <c r="K13" s="10">
        <f>'Data Sheet'!K65</f>
        <v>8418.57</v>
      </c>
    </row>
    <row r="14" spans="1:11" s="2" customFormat="1" x14ac:dyDescent="0.35">
      <c r="A14" s="2" t="s">
        <v>21</v>
      </c>
      <c r="B14" s="10">
        <f>'Data Sheet'!B66</f>
        <v>4939.01</v>
      </c>
      <c r="C14" s="10">
        <f>'Data Sheet'!C66</f>
        <v>7009.08</v>
      </c>
      <c r="D14" s="10">
        <f>'Data Sheet'!D66</f>
        <v>9522.23</v>
      </c>
      <c r="E14" s="10">
        <f>'Data Sheet'!E66</f>
        <v>11386.83</v>
      </c>
      <c r="F14" s="10">
        <f>'Data Sheet'!F66</f>
        <v>12449.72</v>
      </c>
      <c r="G14" s="10">
        <f>'Data Sheet'!G66</f>
        <v>14558.61</v>
      </c>
      <c r="H14" s="10">
        <f>'Data Sheet'!H66</f>
        <v>16139.83</v>
      </c>
      <c r="I14" s="10">
        <f>'Data Sheet'!I66</f>
        <v>19197.64</v>
      </c>
      <c r="J14" s="10">
        <f>'Data Sheet'!J66</f>
        <v>23115.13</v>
      </c>
      <c r="K14" s="10">
        <f>'Data Sheet'!K66</f>
        <v>27174.41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25</v>
      </c>
      <c r="B16" s="4">
        <f>B13-B7</f>
        <v>-596.64999999999986</v>
      </c>
      <c r="C16" s="4">
        <f t="shared" ref="C16:K16" si="0">C13-C7</f>
        <v>-776.7600000000001</v>
      </c>
      <c r="D16" s="4">
        <f t="shared" si="0"/>
        <v>-234.83000000000038</v>
      </c>
      <c r="E16" s="4">
        <f t="shared" si="0"/>
        <v>1858.6399999999999</v>
      </c>
      <c r="F16" s="4">
        <f t="shared" si="0"/>
        <v>1791.4700000000003</v>
      </c>
      <c r="G16" s="4">
        <f t="shared" si="0"/>
        <v>5007.6000000000004</v>
      </c>
      <c r="H16" s="4">
        <f t="shared" si="0"/>
        <v>2066.0699999999997</v>
      </c>
      <c r="I16" s="4">
        <f t="shared" si="0"/>
        <v>-204.02999999999975</v>
      </c>
      <c r="J16" s="4">
        <f t="shared" si="0"/>
        <v>1468.5299999999997</v>
      </c>
      <c r="K16" s="4">
        <f t="shared" si="0"/>
        <v>2998.7799999999997</v>
      </c>
    </row>
    <row r="17" spans="1:11" x14ac:dyDescent="0.35">
      <c r="A17" t="s">
        <v>39</v>
      </c>
      <c r="B17" s="4">
        <f>'Data Sheet'!B67</f>
        <v>32.64</v>
      </c>
      <c r="C17" s="4">
        <f>'Data Sheet'!C67</f>
        <v>50.04</v>
      </c>
      <c r="D17" s="4">
        <f>'Data Sheet'!D67</f>
        <v>68</v>
      </c>
      <c r="E17" s="4">
        <f>'Data Sheet'!E67</f>
        <v>84.29</v>
      </c>
      <c r="F17" s="4">
        <f>'Data Sheet'!F67</f>
        <v>86.76</v>
      </c>
      <c r="G17" s="4">
        <f>'Data Sheet'!G67</f>
        <v>158.16</v>
      </c>
      <c r="H17" s="4">
        <f>'Data Sheet'!H67</f>
        <v>302.04000000000002</v>
      </c>
      <c r="I17" s="4">
        <f>'Data Sheet'!I67</f>
        <v>368.92</v>
      </c>
      <c r="J17" s="4">
        <f>'Data Sheet'!J67</f>
        <v>373.78</v>
      </c>
      <c r="K17" s="4">
        <f>'Data Sheet'!K67</f>
        <v>549.64</v>
      </c>
    </row>
    <row r="18" spans="1:11" x14ac:dyDescent="0.35">
      <c r="A18" t="s">
        <v>40</v>
      </c>
      <c r="B18" s="4">
        <f>'Data Sheet'!B68</f>
        <v>308.39</v>
      </c>
      <c r="C18" s="4">
        <f>'Data Sheet'!C68</f>
        <v>335.9</v>
      </c>
      <c r="D18" s="4">
        <f>'Data Sheet'!D68</f>
        <v>394.64</v>
      </c>
      <c r="E18" s="4">
        <f>'Data Sheet'!E68</f>
        <v>633.38</v>
      </c>
      <c r="F18" s="4">
        <f>'Data Sheet'!F68</f>
        <v>572.35</v>
      </c>
      <c r="G18" s="4">
        <f>'Data Sheet'!G68</f>
        <v>874.6</v>
      </c>
      <c r="H18" s="4">
        <f>'Data Sheet'!H68</f>
        <v>1132.4000000000001</v>
      </c>
      <c r="I18" s="4">
        <f>'Data Sheet'!I68</f>
        <v>1278.44</v>
      </c>
      <c r="J18" s="4">
        <f>'Data Sheet'!J68</f>
        <v>1409.64</v>
      </c>
      <c r="K18" s="4">
        <f>'Data Sheet'!K68</f>
        <v>1563.75</v>
      </c>
    </row>
    <row r="20" spans="1:11" x14ac:dyDescent="0.35">
      <c r="A20" t="s">
        <v>41</v>
      </c>
      <c r="B20" s="4">
        <f>IF('Profit &amp; Loss'!B4&gt;0,'Balance Sheet'!B17/('Profit &amp; Loss'!B4/365),0)</f>
        <v>1.9298092155776503</v>
      </c>
      <c r="C20" s="4">
        <f>IF('Profit &amp; Loss'!C4&gt;0,'Balance Sheet'!C17/('Profit &amp; Loss'!C4/365),0)</f>
        <v>2.5968527133546417</v>
      </c>
      <c r="D20" s="4">
        <f>IF('Profit &amp; Loss'!D4&gt;0,'Balance Sheet'!D17/('Profit &amp; Loss'!D4/365),0)</f>
        <v>2.7685566918313076</v>
      </c>
      <c r="E20" s="4">
        <f>IF('Profit &amp; Loss'!E4&gt;0,'Balance Sheet'!E17/('Profit &amp; Loss'!E4/365),0)</f>
        <v>3.140314543342595</v>
      </c>
      <c r="F20" s="4">
        <f>IF('Profit &amp; Loss'!F4&gt;0,'Balance Sheet'!F17/('Profit &amp; Loss'!F4/365),0)</f>
        <v>3.4595644545631332</v>
      </c>
      <c r="G20" s="4">
        <f>IF('Profit &amp; Loss'!G4&gt;0,'Balance Sheet'!G17/('Profit &amp; Loss'!G4/365),0)</f>
        <v>6.6199636482480626</v>
      </c>
      <c r="H20" s="4">
        <f>IF('Profit &amp; Loss'!H4&gt;0,'Balance Sheet'!H17/('Profit &amp; Loss'!H4/365),0)</f>
        <v>10.705614678043821</v>
      </c>
      <c r="I20" s="4">
        <f>IF('Profit &amp; Loss'!I4&gt;0,'Balance Sheet'!I17/('Profit &amp; Loss'!I4/365),0)</f>
        <v>9.3237862981904396</v>
      </c>
      <c r="J20" s="4">
        <f>IF('Profit &amp; Loss'!J4&gt;0,'Balance Sheet'!J17/('Profit &amp; Loss'!J4/365),0)</f>
        <v>8.2505754188795457</v>
      </c>
      <c r="K20" s="4">
        <f>IF('Profit &amp; Loss'!K4&gt;0,'Balance Sheet'!K17/('Profit &amp; Loss'!K4/365),0)</f>
        <v>10.631419131070702</v>
      </c>
    </row>
    <row r="21" spans="1:11" x14ac:dyDescent="0.35">
      <c r="A21" t="s">
        <v>42</v>
      </c>
      <c r="B21" s="4">
        <f>IF('Balance Sheet'!B18&gt;0,'Profit &amp; Loss'!B4/'Balance Sheet'!B18,0)</f>
        <v>20.018353383702454</v>
      </c>
      <c r="C21" s="4">
        <f>IF('Balance Sheet'!C18&gt;0,'Profit &amp; Loss'!C4/'Balance Sheet'!C18,0)</f>
        <v>20.938850848466807</v>
      </c>
      <c r="D21" s="4">
        <f>IF('Balance Sheet'!D18&gt;0,'Profit &amp; Loss'!D4/'Balance Sheet'!D18,0)</f>
        <v>22.716805189539834</v>
      </c>
      <c r="E21" s="4">
        <f>IF('Balance Sheet'!E18&gt;0,'Profit &amp; Loss'!E4/'Balance Sheet'!E18,0)</f>
        <v>15.467902365088888</v>
      </c>
      <c r="F21" s="4">
        <f>IF('Balance Sheet'!F18&gt;0,'Profit &amp; Loss'!F4/'Balance Sheet'!F18,0)</f>
        <v>15.992976325674849</v>
      </c>
      <c r="G21" s="4">
        <f>IF('Balance Sheet'!G18&gt;0,'Profit &amp; Loss'!G4/'Balance Sheet'!G18,0)</f>
        <v>9.9706723073404984</v>
      </c>
      <c r="H21" s="4">
        <f>IF('Balance Sheet'!H18&gt;0,'Profit &amp; Loss'!H4/'Balance Sheet'!H18,0)</f>
        <v>9.093809607912398</v>
      </c>
      <c r="I21" s="4">
        <f>IF('Balance Sheet'!I18&gt;0,'Profit &amp; Loss'!I4/'Balance Sheet'!I18,0)</f>
        <v>11.296721003723288</v>
      </c>
      <c r="J21" s="4">
        <f>IF('Balance Sheet'!J18&gt;0,'Profit &amp; Loss'!J4/'Balance Sheet'!J18,0)</f>
        <v>11.730498567010015</v>
      </c>
      <c r="K21" s="4">
        <f>IF('Balance Sheet'!K18&gt;0,'Profit &amp; Loss'!K4/'Balance Sheet'!K18,0)</f>
        <v>12.067370103916865</v>
      </c>
    </row>
    <row r="23" spans="1:11" s="2" customFormat="1" x14ac:dyDescent="0.35">
      <c r="A23" s="2" t="s">
        <v>45</v>
      </c>
      <c r="B23" s="7">
        <f>IF(SUM('Balance Sheet'!B4:B5)&gt;0,'Profit &amp; Loss'!B12/SUM('Balance Sheet'!B4:B5),"")</f>
        <v>0.36627622095267298</v>
      </c>
      <c r="C23" s="7">
        <f>IF(SUM('Balance Sheet'!C4:C5)&gt;0,'Profit &amp; Loss'!C12/SUM('Balance Sheet'!C4:C5),"")</f>
        <v>0.31189114455002459</v>
      </c>
      <c r="D23" s="7">
        <f>IF(SUM('Balance Sheet'!D4:D5)&gt;0,'Profit &amp; Loss'!D12/SUM('Balance Sheet'!D4:D5),"")</f>
        <v>0.27875540357350637</v>
      </c>
      <c r="E23" s="7">
        <f>IF(SUM('Balance Sheet'!E4:E5)&gt;0,'Profit &amp; Loss'!E12/SUM('Balance Sheet'!E4:E5),"")</f>
        <v>0.24697826593950697</v>
      </c>
      <c r="F23" s="7">
        <f>IF(SUM('Balance Sheet'!F4:F5)&gt;0,'Profit &amp; Loss'!F12/SUM('Balance Sheet'!F4:F5),"")</f>
        <v>0.18309315865355236</v>
      </c>
      <c r="G23" s="7">
        <f>IF(SUM('Balance Sheet'!G4:G5)&gt;0,'Profit &amp; Loss'!G12/SUM('Balance Sheet'!G4:G5),"")</f>
        <v>0.11775490292076993</v>
      </c>
      <c r="H23" s="7">
        <f>IF(SUM('Balance Sheet'!H4:H5)&gt;0,'Profit &amp; Loss'!H12/SUM('Balance Sheet'!H4:H5),"")</f>
        <v>0.13297906091370557</v>
      </c>
      <c r="I23" s="7">
        <f>IF(SUM('Balance Sheet'!I4:I5)&gt;0,'Profit &amp; Loss'!I12/SUM('Balance Sheet'!I4:I5),"")</f>
        <v>0.19438863049923016</v>
      </c>
      <c r="J23" s="7">
        <f>IF(SUM('Balance Sheet'!J4:J5)&gt;0,'Profit &amp; Loss'!J12/SUM('Balance Sheet'!J4:J5),"")</f>
        <v>0.22171751120637631</v>
      </c>
      <c r="K23" s="7">
        <f>IF(SUM('Balance Sheet'!K4:K5)&gt;0,'Profit &amp; Loss'!K12/SUM('Balance Sheet'!K4:K5),"")</f>
        <v>0.22231081272078168</v>
      </c>
    </row>
    <row r="24" spans="1:11" s="2" customFormat="1" x14ac:dyDescent="0.35">
      <c r="A24" s="2" t="s">
        <v>46</v>
      </c>
      <c r="B24" s="7"/>
      <c r="C24" s="7">
        <f>IF((B4+B5+B6+C4+C5+C6)&gt;0,('Profit &amp; Loss'!C10+'Profit &amp; Loss'!C9)*2/(B4+B5+B6+C4+C5+C6),"")</f>
        <v>0.53368051525417792</v>
      </c>
      <c r="D24" s="7">
        <f>IF((C4+C5+C6+D4+D5+D6)&gt;0,('Profit &amp; Loss'!D10+'Profit &amp; Loss'!D9)*2/(C4+C5+C6+D4+D5+D6),"")</f>
        <v>0.49391232513809724</v>
      </c>
      <c r="E24" s="7">
        <f>IF((D4+D5+D6+E4+E5+E6)&gt;0,('Profit &amp; Loss'!E10+'Profit &amp; Loss'!E9)*2/(D4+D5+D6+E4+E5+E6),"")</f>
        <v>0.4058136886074814</v>
      </c>
      <c r="F24" s="7">
        <f>IF((E4+E5+E6+F4+F5+F6)&gt;0,('Profit &amp; Loss'!F10+'Profit &amp; Loss'!F9)*2/(E4+E5+E6+F4+F5+F6),"")</f>
        <v>0.24553603983572109</v>
      </c>
      <c r="G24" s="7">
        <f>IF((F4+F5+F6+G4+G5+G6)&gt;0,('Profit &amp; Loss'!G10+'Profit &amp; Loss'!G9)*2/(F4+F5+F6+G4+G5+G6),"")</f>
        <v>0.16583528500141181</v>
      </c>
      <c r="H24" s="7">
        <f>IF((G4+G5+G6+H4+H5+H6)&gt;0,('Profit &amp; Loss'!H10+'Profit &amp; Loss'!H9)*2/(G4+G5+G6+H4+H5+H6),"")</f>
        <v>0.18227434903483525</v>
      </c>
      <c r="I24" s="7">
        <f>IF((H4+H5+H6+I4+I5+I6)&gt;0,('Profit &amp; Loss'!I10+'Profit &amp; Loss'!I9)*2/(H4+H5+H6+I4+I5+I6),"")</f>
        <v>0.2734582630811877</v>
      </c>
      <c r="J24" s="7">
        <f>IF((I4+I5+I6+J4+J5+J6)&gt;0,('Profit &amp; Loss'!J10+'Profit &amp; Loss'!J9)*2/(I4+I5+I6+J4+J5+J6),"")</f>
        <v>0.31134144903072164</v>
      </c>
      <c r="K24" s="7">
        <f>IF((J4+J5+J6+K4+K5+K6)&gt;0,('Profit &amp; Loss'!K10+'Profit &amp; Loss'!K9)*2/(J4+J5+J6+K4+K5+K6),"")</f>
        <v>0.29773600377328563</v>
      </c>
    </row>
  </sheetData>
  <hyperlinks>
    <hyperlink ref="J1" r:id="rId1" xr:uid="{00000000-0004-0000-0200-000000000000}"/>
  </hyperlinks>
  <pageMargins left="0.70866141732283472" right="0.70866141732283472" top="0.74803149606299213" bottom="0.74803149606299213" header="0.31496062992125984" footer="0.31496062992125984"/>
  <pageSetup paperSize="9" scale="40" orientation="portrait" r:id="rId2"/>
  <headerFooter>
    <oddHeader xml:space="preserve">&amp;R </oddHeader>
    <oddFooter>&amp;RBy Nikhil Kulkarni MBA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N42"/>
  <sheetViews>
    <sheetView zoomScaleNormal="120" zoomScaleSheetLayoutView="100" zoomScalePageLayoutView="120" workbookViewId="0">
      <pane xSplit="1" ySplit="4" topLeftCell="B5" activePane="bottomRight" state="frozen"/>
      <selection activeCell="AD44" sqref="AD44"/>
      <selection pane="topRight" activeCell="AD44" sqref="AD44"/>
      <selection pane="bottomLeft" activeCell="AD44" sqref="AD44"/>
      <selection pane="bottomRight" activeCell="AD44" sqref="AD44"/>
    </sheetView>
  </sheetViews>
  <sheetFormatPr defaultColWidth="8.81640625" defaultRowHeight="14.5" x14ac:dyDescent="0.35"/>
  <cols>
    <col min="1" max="1" width="20.6328125" customWidth="1"/>
    <col min="2" max="6" width="13.453125" customWidth="1"/>
    <col min="7" max="7" width="14.81640625" bestFit="1" customWidth="1"/>
    <col min="8" max="11" width="13.453125" customWidth="1"/>
    <col min="12" max="12" width="13.36328125" customWidth="1"/>
    <col min="13" max="14" width="12.1796875" customWidth="1"/>
  </cols>
  <sheetData>
    <row r="1" spans="1:14" s="2" customFormat="1" x14ac:dyDescent="0.35">
      <c r="A1" s="2" t="str">
        <f>'Data Sheet'!B1</f>
        <v>EICHER MOTORS LTD</v>
      </c>
      <c r="H1" t="str">
        <f>UPDATE</f>
        <v/>
      </c>
      <c r="J1" s="3"/>
      <c r="K1" s="3"/>
      <c r="L1" s="31"/>
      <c r="M1" s="31"/>
      <c r="N1" s="31"/>
    </row>
    <row r="2" spans="1:14" x14ac:dyDescent="0.35">
      <c r="L2" s="32"/>
      <c r="M2" s="32"/>
      <c r="N2" s="32"/>
    </row>
    <row r="3" spans="1:14" s="2" customFormat="1" x14ac:dyDescent="0.35">
      <c r="A3" s="8" t="s">
        <v>2</v>
      </c>
      <c r="B3" s="9">
        <f>'Data Sheet'!B16</f>
        <v>42460</v>
      </c>
      <c r="C3" s="9">
        <f>'Data Sheet'!C16</f>
        <v>42825</v>
      </c>
      <c r="D3" s="9">
        <f>'Data Sheet'!D16</f>
        <v>43190</v>
      </c>
      <c r="E3" s="9">
        <f>'Data Sheet'!E16</f>
        <v>43555</v>
      </c>
      <c r="F3" s="9">
        <f>'Data Sheet'!F16</f>
        <v>43921</v>
      </c>
      <c r="G3" s="9">
        <f>'Data Sheet'!G16</f>
        <v>44286</v>
      </c>
      <c r="H3" s="9">
        <f>'Data Sheet'!H16</f>
        <v>44651</v>
      </c>
      <c r="I3" s="9">
        <f>'Data Sheet'!I16</f>
        <v>45016</v>
      </c>
      <c r="J3" s="9">
        <f>'Data Sheet'!J16</f>
        <v>45382</v>
      </c>
      <c r="K3" s="9">
        <f>'Data Sheet'!K16</f>
        <v>45747</v>
      </c>
      <c r="L3" s="33"/>
      <c r="M3" s="33"/>
      <c r="N3" s="33"/>
    </row>
    <row r="4" spans="1:14" s="2" customFormat="1" x14ac:dyDescent="0.35">
      <c r="A4" s="2" t="s">
        <v>3</v>
      </c>
      <c r="B4" s="1">
        <f>'Data Sheet'!B17</f>
        <v>6173.46</v>
      </c>
      <c r="C4" s="1">
        <f>'Data Sheet'!C17</f>
        <v>7033.36</v>
      </c>
      <c r="D4" s="1">
        <f>'Data Sheet'!D17</f>
        <v>8964.9599999999991</v>
      </c>
      <c r="E4" s="1">
        <f>'Data Sheet'!E17</f>
        <v>9797.06</v>
      </c>
      <c r="F4" s="1">
        <f>'Data Sheet'!F17</f>
        <v>9153.58</v>
      </c>
      <c r="G4" s="1">
        <f>'Data Sheet'!G17</f>
        <v>8720.35</v>
      </c>
      <c r="H4" s="1">
        <f>'Data Sheet'!H17</f>
        <v>10297.83</v>
      </c>
      <c r="I4" s="1">
        <f>'Data Sheet'!I17</f>
        <v>14442.18</v>
      </c>
      <c r="J4" s="1">
        <f>'Data Sheet'!J17</f>
        <v>16535.78</v>
      </c>
      <c r="K4" s="1">
        <f>'Data Sheet'!K17</f>
        <v>18870.349999999999</v>
      </c>
      <c r="L4" s="34"/>
      <c r="M4" s="34"/>
      <c r="N4" s="34"/>
    </row>
    <row r="5" spans="1:14" x14ac:dyDescent="0.35">
      <c r="A5" t="s">
        <v>4</v>
      </c>
      <c r="B5" s="6">
        <f>SUM('Data Sheet'!B18,'Data Sheet'!B20:B24, -1*'Data Sheet'!B19)</f>
        <v>4483.7299999999996</v>
      </c>
      <c r="C5" s="6">
        <f>SUM('Data Sheet'!C18,'Data Sheet'!C20:C24, -1*'Data Sheet'!C19)</f>
        <v>4859.05</v>
      </c>
      <c r="D5" s="6">
        <f>SUM('Data Sheet'!D18,'Data Sheet'!D20:D24, -1*'Data Sheet'!D19)</f>
        <v>6156.33</v>
      </c>
      <c r="E5" s="6">
        <f>SUM('Data Sheet'!E18,'Data Sheet'!E20:E24, -1*'Data Sheet'!E19)</f>
        <v>6892.8200000000006</v>
      </c>
      <c r="F5" s="6">
        <f>SUM('Data Sheet'!F18,'Data Sheet'!F20:F24, -1*'Data Sheet'!F19)</f>
        <v>6970.69</v>
      </c>
      <c r="G5" s="6">
        <f>SUM('Data Sheet'!G18,'Data Sheet'!G20:G24, -1*'Data Sheet'!G19)</f>
        <v>6937.1200000000008</v>
      </c>
      <c r="H5" s="6">
        <f>SUM('Data Sheet'!H18,'Data Sheet'!H20:H24, -1*'Data Sheet'!H19)</f>
        <v>8120.26</v>
      </c>
      <c r="I5" s="6">
        <f>SUM('Data Sheet'!I18,'Data Sheet'!I20:I24, -1*'Data Sheet'!I19)</f>
        <v>10996.46</v>
      </c>
      <c r="J5" s="6">
        <f>SUM('Data Sheet'!J18,'Data Sheet'!J20:J24, -1*'Data Sheet'!J19)</f>
        <v>12206.410000000002</v>
      </c>
      <c r="K5" s="6">
        <f>SUM('Data Sheet'!K18,'Data Sheet'!K20:K24, -1*'Data Sheet'!K19)</f>
        <v>14147.78</v>
      </c>
      <c r="L5" s="35"/>
      <c r="M5" s="35"/>
      <c r="N5" s="35"/>
    </row>
    <row r="6" spans="1:14" s="2" customFormat="1" x14ac:dyDescent="0.35">
      <c r="A6" s="2" t="s">
        <v>5</v>
      </c>
      <c r="B6" s="1">
        <f>B4-B5</f>
        <v>1689.7300000000005</v>
      </c>
      <c r="C6" s="1">
        <f t="shared" ref="C6:K6" si="0">C4-C5</f>
        <v>2174.3099999999995</v>
      </c>
      <c r="D6" s="1">
        <f t="shared" si="0"/>
        <v>2808.6299999999992</v>
      </c>
      <c r="E6" s="1">
        <f t="shared" si="0"/>
        <v>2904.2399999999989</v>
      </c>
      <c r="F6" s="1">
        <f t="shared" si="0"/>
        <v>2182.8900000000003</v>
      </c>
      <c r="G6" s="1">
        <f t="shared" si="0"/>
        <v>1783.2299999999996</v>
      </c>
      <c r="H6" s="1">
        <f t="shared" si="0"/>
        <v>2177.5699999999997</v>
      </c>
      <c r="I6" s="1">
        <f t="shared" si="0"/>
        <v>3445.7200000000012</v>
      </c>
      <c r="J6" s="1">
        <f t="shared" si="0"/>
        <v>4329.3699999999972</v>
      </c>
      <c r="K6" s="1">
        <f t="shared" si="0"/>
        <v>4722.5699999999979</v>
      </c>
      <c r="L6" s="34"/>
      <c r="M6" s="34"/>
      <c r="N6" s="34"/>
    </row>
    <row r="7" spans="1:14" x14ac:dyDescent="0.35">
      <c r="A7" t="s">
        <v>6</v>
      </c>
      <c r="B7" s="6">
        <f>'Data Sheet'!B25</f>
        <v>325.91000000000003</v>
      </c>
      <c r="C7" s="6">
        <f>'Data Sheet'!C25</f>
        <v>416.44</v>
      </c>
      <c r="D7" s="6">
        <f>'Data Sheet'!D25</f>
        <v>535.66</v>
      </c>
      <c r="E7" s="6">
        <f>'Data Sheet'!E25</f>
        <v>700.66</v>
      </c>
      <c r="F7" s="6">
        <f>'Data Sheet'!F25</f>
        <v>572.41999999999996</v>
      </c>
      <c r="G7" s="6">
        <f>'Data Sheet'!G25</f>
        <v>482.34</v>
      </c>
      <c r="H7" s="6">
        <f>'Data Sheet'!H25</f>
        <v>495.65</v>
      </c>
      <c r="I7" s="6">
        <f>'Data Sheet'!I25</f>
        <v>908.14</v>
      </c>
      <c r="J7" s="6">
        <f>'Data Sheet'!J25</f>
        <v>1521.13</v>
      </c>
      <c r="K7" s="6">
        <f>'Data Sheet'!K25</f>
        <v>1994.17</v>
      </c>
      <c r="L7" s="35"/>
      <c r="M7" s="35"/>
      <c r="N7" s="35"/>
    </row>
    <row r="8" spans="1:14" x14ac:dyDescent="0.35">
      <c r="A8" t="s">
        <v>7</v>
      </c>
      <c r="B8" s="6">
        <f>'Data Sheet'!B26</f>
        <v>136.6</v>
      </c>
      <c r="C8" s="6">
        <f>'Data Sheet'!C26</f>
        <v>153.81</v>
      </c>
      <c r="D8" s="6">
        <f>'Data Sheet'!D26</f>
        <v>223.3</v>
      </c>
      <c r="E8" s="6">
        <f>'Data Sheet'!E26</f>
        <v>300.27999999999997</v>
      </c>
      <c r="F8" s="6">
        <f>'Data Sheet'!F26</f>
        <v>381.54</v>
      </c>
      <c r="G8" s="6">
        <f>'Data Sheet'!G26</f>
        <v>450.73</v>
      </c>
      <c r="H8" s="6">
        <f>'Data Sheet'!H26</f>
        <v>451.93</v>
      </c>
      <c r="I8" s="6">
        <f>'Data Sheet'!I26</f>
        <v>526.21</v>
      </c>
      <c r="J8" s="6">
        <f>'Data Sheet'!J26</f>
        <v>597.6</v>
      </c>
      <c r="K8" s="6">
        <f>'Data Sheet'!K26</f>
        <v>729.33</v>
      </c>
      <c r="L8" s="35"/>
      <c r="M8" s="35"/>
      <c r="N8" s="35"/>
    </row>
    <row r="9" spans="1:14" x14ac:dyDescent="0.35">
      <c r="A9" t="s">
        <v>8</v>
      </c>
      <c r="B9" s="6">
        <f>'Data Sheet'!B27</f>
        <v>2.12</v>
      </c>
      <c r="C9" s="6">
        <f>'Data Sheet'!C27</f>
        <v>3.56</v>
      </c>
      <c r="D9" s="6">
        <f>'Data Sheet'!D27</f>
        <v>5.34</v>
      </c>
      <c r="E9" s="6">
        <f>'Data Sheet'!E27</f>
        <v>7.33</v>
      </c>
      <c r="F9" s="6">
        <f>'Data Sheet'!F27</f>
        <v>18.88</v>
      </c>
      <c r="G9" s="6">
        <f>'Data Sheet'!G27</f>
        <v>16.45</v>
      </c>
      <c r="H9" s="6">
        <f>'Data Sheet'!H27</f>
        <v>18.78</v>
      </c>
      <c r="I9" s="6">
        <f>'Data Sheet'!I27</f>
        <v>28.02</v>
      </c>
      <c r="J9" s="6">
        <f>'Data Sheet'!J27</f>
        <v>50.88</v>
      </c>
      <c r="K9" s="6">
        <f>'Data Sheet'!K27</f>
        <v>54.34</v>
      </c>
      <c r="L9" s="35"/>
      <c r="M9" s="35"/>
      <c r="N9" s="35"/>
    </row>
    <row r="10" spans="1:14" x14ac:dyDescent="0.35">
      <c r="A10" t="s">
        <v>9</v>
      </c>
      <c r="B10" s="6">
        <f>'Data Sheet'!B28</f>
        <v>1876.92</v>
      </c>
      <c r="C10" s="6">
        <f>'Data Sheet'!C28</f>
        <v>2433.38</v>
      </c>
      <c r="D10" s="6">
        <f>'Data Sheet'!D28</f>
        <v>3115.65</v>
      </c>
      <c r="E10" s="6">
        <f>'Data Sheet'!E28</f>
        <v>3297.29</v>
      </c>
      <c r="F10" s="6">
        <f>'Data Sheet'!F28</f>
        <v>2354.89</v>
      </c>
      <c r="G10" s="6">
        <f>'Data Sheet'!G28</f>
        <v>1798.39</v>
      </c>
      <c r="H10" s="6">
        <f>'Data Sheet'!H28</f>
        <v>2202.5100000000002</v>
      </c>
      <c r="I10" s="6">
        <f>'Data Sheet'!I28</f>
        <v>3799.63</v>
      </c>
      <c r="J10" s="6">
        <f>'Data Sheet'!J28</f>
        <v>5202.0200000000004</v>
      </c>
      <c r="K10" s="6">
        <f>'Data Sheet'!K28</f>
        <v>5933.07</v>
      </c>
      <c r="L10" s="35"/>
      <c r="M10" s="35"/>
      <c r="N10" s="35"/>
    </row>
    <row r="11" spans="1:14" x14ac:dyDescent="0.35">
      <c r="A11" t="s">
        <v>10</v>
      </c>
      <c r="B11" s="6">
        <f>'Data Sheet'!B29</f>
        <v>538.88</v>
      </c>
      <c r="C11" s="6">
        <f>'Data Sheet'!C29</f>
        <v>720.3</v>
      </c>
      <c r="D11" s="6">
        <f>'Data Sheet'!D29</f>
        <v>935.93</v>
      </c>
      <c r="E11" s="6">
        <f>'Data Sheet'!E29</f>
        <v>1077.04</v>
      </c>
      <c r="F11" s="6">
        <f>'Data Sheet'!F29</f>
        <v>527.45000000000005</v>
      </c>
      <c r="G11" s="6">
        <f>'Data Sheet'!G29</f>
        <v>451.5</v>
      </c>
      <c r="H11" s="6">
        <f>'Data Sheet'!H29</f>
        <v>525.91</v>
      </c>
      <c r="I11" s="6">
        <f>'Data Sheet'!I29</f>
        <v>885.69</v>
      </c>
      <c r="J11" s="6">
        <f>'Data Sheet'!J29</f>
        <v>1201.01</v>
      </c>
      <c r="K11" s="6">
        <f>'Data Sheet'!K29</f>
        <v>1198.6300000000001</v>
      </c>
      <c r="L11" s="35"/>
      <c r="M11" s="36"/>
      <c r="N11" s="36"/>
    </row>
    <row r="12" spans="1:14" s="2" customFormat="1" x14ac:dyDescent="0.35">
      <c r="A12" s="2" t="s">
        <v>11</v>
      </c>
      <c r="B12" s="1">
        <f>'Data Sheet'!B30</f>
        <v>1338.04</v>
      </c>
      <c r="C12" s="1">
        <f>'Data Sheet'!C30</f>
        <v>1667.08</v>
      </c>
      <c r="D12" s="1">
        <f>'Data Sheet'!D30</f>
        <v>1959.67</v>
      </c>
      <c r="E12" s="1">
        <f>'Data Sheet'!E30</f>
        <v>2202.73</v>
      </c>
      <c r="F12" s="1">
        <f>'Data Sheet'!F30</f>
        <v>1827.44</v>
      </c>
      <c r="G12" s="1">
        <f>'Data Sheet'!G30</f>
        <v>1346.89</v>
      </c>
      <c r="H12" s="1">
        <f>'Data Sheet'!H30</f>
        <v>1676.6</v>
      </c>
      <c r="I12" s="1">
        <f>'Data Sheet'!I30</f>
        <v>2913.94</v>
      </c>
      <c r="J12" s="1">
        <f>'Data Sheet'!J30</f>
        <v>4001.01</v>
      </c>
      <c r="K12" s="1">
        <f>'Data Sheet'!K30</f>
        <v>4734.4399999999996</v>
      </c>
      <c r="L12" s="34"/>
      <c r="M12" s="34"/>
      <c r="N12" s="34"/>
    </row>
    <row r="13" spans="1:14" x14ac:dyDescent="0.35">
      <c r="A13" t="s">
        <v>43</v>
      </c>
      <c r="B13" s="6">
        <f>IF('Data Sheet'!B93&gt;0,B12/'Data Sheet'!B93,0)</f>
        <v>49.265095729013254</v>
      </c>
      <c r="C13" s="6">
        <f>IF('Data Sheet'!C93&gt;0,C12/'Data Sheet'!C93,0)</f>
        <v>61.267181183388459</v>
      </c>
      <c r="D13" s="6">
        <f>IF('Data Sheet'!D93&gt;0,D12/'Data Sheet'!D93,0)</f>
        <v>71.888114453411589</v>
      </c>
      <c r="E13" s="6">
        <f>IF('Data Sheet'!E93&gt;0,E12/'Data Sheet'!E93,0)</f>
        <v>80.745234604105576</v>
      </c>
      <c r="F13" s="6">
        <f>IF('Data Sheet'!F93&gt;0,F12/'Data Sheet'!F93,0)</f>
        <v>66.914683266202857</v>
      </c>
      <c r="G13" s="6">
        <f>IF('Data Sheet'!G93&gt;0,G12/'Data Sheet'!G93,0)</f>
        <v>49.28247347237469</v>
      </c>
      <c r="H13" s="6">
        <f>IF('Data Sheet'!H93&gt;0,H12/'Data Sheet'!H93,0)</f>
        <v>61.324067300658371</v>
      </c>
      <c r="I13" s="6">
        <f>IF('Data Sheet'!I93&gt;0,I12/'Data Sheet'!I93,0)</f>
        <v>106.54259597806215</v>
      </c>
      <c r="J13" s="6">
        <f>IF('Data Sheet'!J93&gt;0,J12/'Data Sheet'!J93,0)</f>
        <v>146.12892622352084</v>
      </c>
      <c r="K13" s="6">
        <f>IF('Data Sheet'!K93&gt;0,K12/'Data Sheet'!K93,0)</f>
        <v>172.66374908825671</v>
      </c>
      <c r="L13" s="35"/>
      <c r="M13" s="35"/>
      <c r="N13" s="35"/>
    </row>
    <row r="14" spans="1:14" x14ac:dyDescent="0.35">
      <c r="A14" t="s">
        <v>13</v>
      </c>
      <c r="B14" s="6">
        <f>IF(B15&gt;0,B15/B13,"")</f>
        <v>38.933447131625364</v>
      </c>
      <c r="C14" s="6">
        <f t="shared" ref="C14:K14" si="1">IF(C15&gt;0,C15/C13,"")</f>
        <v>41.763795078820451</v>
      </c>
      <c r="D14" s="6">
        <f t="shared" si="1"/>
        <v>39.467859486546203</v>
      </c>
      <c r="E14" s="6">
        <f t="shared" si="1"/>
        <v>25.44756987919536</v>
      </c>
      <c r="F14" s="6">
        <f t="shared" si="1"/>
        <v>19.571040854966508</v>
      </c>
      <c r="G14" s="6">
        <f t="shared" si="1"/>
        <v>52.837242462264904</v>
      </c>
      <c r="H14" s="6">
        <f t="shared" si="1"/>
        <v>40.068281641417158</v>
      </c>
      <c r="I14" s="6">
        <f t="shared" si="1"/>
        <v>27.677662374654247</v>
      </c>
      <c r="J14" s="6">
        <f t="shared" si="1"/>
        <v>27.505163446229826</v>
      </c>
      <c r="K14" s="6">
        <f t="shared" si="1"/>
        <v>30.971758856380063</v>
      </c>
      <c r="L14" s="35"/>
      <c r="M14" s="35"/>
      <c r="N14" s="35"/>
    </row>
    <row r="15" spans="1:14" s="2" customFormat="1" x14ac:dyDescent="0.35">
      <c r="A15" s="2" t="s">
        <v>44</v>
      </c>
      <c r="B15" s="1">
        <f>'Data Sheet'!B90</f>
        <v>1918.06</v>
      </c>
      <c r="C15" s="1">
        <f>'Data Sheet'!C90</f>
        <v>2558.75</v>
      </c>
      <c r="D15" s="1">
        <f>'Data Sheet'!D90</f>
        <v>2837.27</v>
      </c>
      <c r="E15" s="1">
        <f>'Data Sheet'!E90</f>
        <v>2054.77</v>
      </c>
      <c r="F15" s="1">
        <f>'Data Sheet'!F90</f>
        <v>1309.5899999999999</v>
      </c>
      <c r="G15" s="1">
        <f>'Data Sheet'!G90</f>
        <v>2603.9499999999998</v>
      </c>
      <c r="H15" s="1">
        <f>'Data Sheet'!H90</f>
        <v>2457.15</v>
      </c>
      <c r="I15" s="1">
        <f>'Data Sheet'!I90</f>
        <v>2948.85</v>
      </c>
      <c r="J15" s="1">
        <f>'Data Sheet'!J90</f>
        <v>4019.3</v>
      </c>
      <c r="K15" s="1">
        <f>'Data Sheet'!K90</f>
        <v>5347.7</v>
      </c>
      <c r="L15" s="34"/>
      <c r="M15" s="37"/>
      <c r="N15" s="38"/>
    </row>
    <row r="16" spans="1:14" x14ac:dyDescent="0.35">
      <c r="L16" s="32"/>
      <c r="M16" s="32"/>
      <c r="N16" s="32"/>
    </row>
    <row r="17" spans="1:14" s="2" customFormat="1" x14ac:dyDescent="0.35">
      <c r="A17" s="2" t="s">
        <v>12</v>
      </c>
      <c r="L17" s="31"/>
      <c r="M17" s="31"/>
      <c r="N17" s="31"/>
    </row>
    <row r="18" spans="1:14" x14ac:dyDescent="0.35">
      <c r="A18" t="s">
        <v>14</v>
      </c>
      <c r="B18" s="5">
        <f>IF('Data Sheet'!B30&gt;0, 'Data Sheet'!B31/'Data Sheet'!B30, 0)</f>
        <v>0.20298346835670086</v>
      </c>
      <c r="C18" s="5">
        <f>IF('Data Sheet'!C30&gt;0, 'Data Sheet'!C31/'Data Sheet'!C30, 0)</f>
        <v>0.16321952155865346</v>
      </c>
      <c r="D18" s="5">
        <f>IF('Data Sheet'!D30&gt;0, 'Data Sheet'!D31/'Data Sheet'!D30, 0)</f>
        <v>0.1530155587420331</v>
      </c>
      <c r="E18" s="5">
        <f>IF('Data Sheet'!E30&gt;0, 'Data Sheet'!E31/'Data Sheet'!E30, 0)</f>
        <v>0.15480789747268162</v>
      </c>
      <c r="F18" s="5">
        <f>IF('Data Sheet'!F30&gt;0, 'Data Sheet'!F31/'Data Sheet'!F30, 0)</f>
        <v>0.18673663704417107</v>
      </c>
      <c r="G18" s="5">
        <f>IF('Data Sheet'!G30&gt;0, 'Data Sheet'!G31/'Data Sheet'!G30, 0)</f>
        <v>0.34495021865185721</v>
      </c>
      <c r="H18" s="5">
        <f>IF('Data Sheet'!H30&gt;0, 'Data Sheet'!H31/'Data Sheet'!H30, 0)</f>
        <v>0.34244303948467136</v>
      </c>
      <c r="I18" s="5">
        <f>IF('Data Sheet'!I30&gt;0, 'Data Sheet'!I31/'Data Sheet'!I30, 0)</f>
        <v>0.34727894191369763</v>
      </c>
      <c r="J18" s="5">
        <f>IF('Data Sheet'!J30&gt;0, 'Data Sheet'!J31/'Data Sheet'!J30, 0)</f>
        <v>0.34900687576386963</v>
      </c>
      <c r="K18" s="5">
        <f>IF('Data Sheet'!K30&gt;0, 'Data Sheet'!K31/'Data Sheet'!K30, 0)</f>
        <v>0.40541225572612605</v>
      </c>
      <c r="L18" s="32"/>
      <c r="M18" s="32"/>
      <c r="N18" s="32"/>
    </row>
    <row r="19" spans="1:14" x14ac:dyDescent="0.35">
      <c r="A19" t="s">
        <v>15</v>
      </c>
      <c r="B19" s="5">
        <f t="shared" ref="B19" si="2">IF(B6&gt;0,B6/B4,0)</f>
        <v>0.27370874679677204</v>
      </c>
      <c r="C19" s="5">
        <f t="shared" ref="C19:K19" si="3">IF(C6&gt;0,C6/C4,0)</f>
        <v>0.30914242979173534</v>
      </c>
      <c r="D19" s="5">
        <f t="shared" si="3"/>
        <v>0.31328974139315729</v>
      </c>
      <c r="E19" s="5">
        <f t="shared" si="3"/>
        <v>0.29643995239388132</v>
      </c>
      <c r="F19" s="5">
        <f t="shared" si="3"/>
        <v>0.23847390856910633</v>
      </c>
      <c r="G19" s="5">
        <f t="shared" si="3"/>
        <v>0.20449064544427684</v>
      </c>
      <c r="H19" s="5">
        <f t="shared" si="3"/>
        <v>0.21145911323065147</v>
      </c>
      <c r="I19" s="5">
        <f t="shared" si="3"/>
        <v>0.23858724929338931</v>
      </c>
      <c r="J19" s="5">
        <f t="shared" si="3"/>
        <v>0.26181831156437724</v>
      </c>
      <c r="K19" s="5">
        <f t="shared" si="3"/>
        <v>0.25026403855784329</v>
      </c>
      <c r="L19" s="39"/>
      <c r="M19" s="32"/>
      <c r="N19" s="32"/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39"/>
      <c r="M20" s="32"/>
      <c r="N20" s="32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39"/>
      <c r="M21" s="32"/>
      <c r="N21" s="32"/>
    </row>
    <row r="22" spans="1:14" s="2" customFormat="1" x14ac:dyDescent="0.35">
      <c r="A22" s="8"/>
      <c r="B22" s="9"/>
      <c r="C22" s="9"/>
      <c r="D22" s="9"/>
      <c r="E22" s="9"/>
      <c r="F22" s="9"/>
      <c r="G22" s="9" t="s">
        <v>16</v>
      </c>
      <c r="H22" s="9" t="s">
        <v>51</v>
      </c>
      <c r="I22" s="9" t="s">
        <v>52</v>
      </c>
      <c r="J22" s="9" t="s">
        <v>53</v>
      </c>
      <c r="K22" s="9" t="s">
        <v>54</v>
      </c>
      <c r="L22" s="33"/>
      <c r="M22" s="33"/>
      <c r="N22" s="33"/>
    </row>
    <row r="23" spans="1:14" s="2" customFormat="1" x14ac:dyDescent="0.35">
      <c r="A23"/>
      <c r="B23"/>
      <c r="C23"/>
      <c r="D23"/>
      <c r="E23"/>
      <c r="F23"/>
      <c r="G23" t="s">
        <v>17</v>
      </c>
      <c r="H23" s="5">
        <f>IF(B4=0,"",POWER($K4/B4,1/9)-1)</f>
        <v>0.13218347816326093</v>
      </c>
      <c r="I23" s="5">
        <f>IF(D4=0,"",POWER($K4/D4,1/7)-1)</f>
        <v>0.11218220677231638</v>
      </c>
      <c r="J23" s="5">
        <f>IF(F4=0,"",POWER($K4/F4,1/5)-1)</f>
        <v>0.15568052490284168</v>
      </c>
      <c r="K23" s="5">
        <f>IF(H4=0,"",POWER($K4/H4, 1/3)-1)</f>
        <v>0.22370878852741982</v>
      </c>
      <c r="L23" s="39"/>
      <c r="M23" s="40"/>
      <c r="N23" s="40"/>
    </row>
    <row r="24" spans="1:14" x14ac:dyDescent="0.35">
      <c r="G24" t="s">
        <v>15</v>
      </c>
      <c r="H24" s="5">
        <f>IF(SUM(B4:$K$4)=0,"",SUMPRODUCT(B19:$K$19,B4:$K$4)/SUM(B4:$K$4))</f>
        <v>0.25655550182286552</v>
      </c>
      <c r="I24" s="5">
        <f>IF(SUM(E4:$K$4)=0,"",SUMPRODUCT(E19:$K$19,E4:$K$4)/SUM(E4:$K$4))</f>
        <v>0.24534609591545517</v>
      </c>
      <c r="J24" s="5">
        <f>IF(SUM(G4:$K$4)=0,"",SUMPRODUCT(G19:$K$19,G4:$K$4)/SUM(G4:$K$4))</f>
        <v>0.23899083574609362</v>
      </c>
      <c r="K24" s="5">
        <f>IF(SUM(I4:$K$4)=0, "", SUMPRODUCT(I19:$K$19,I4:$K$4)/SUM(I4:$K$4))</f>
        <v>0.25071381557368738</v>
      </c>
      <c r="L24" s="39"/>
      <c r="M24" s="40"/>
      <c r="N24" s="40"/>
    </row>
    <row r="25" spans="1:14" x14ac:dyDescent="0.35">
      <c r="G25" t="s">
        <v>18</v>
      </c>
      <c r="H25" s="6">
        <f>IF(ISERROR(AVERAGEIF(B14:$L14,"&gt;0")),"",AVERAGEIF(B14:$L14,"&gt;0"))</f>
        <v>34.424382121210002</v>
      </c>
      <c r="I25" s="6">
        <f>IF(ISERROR(AVERAGEIF(E14:$L14,"&gt;0")),"",AVERAGEIF(E14:$L14,"&gt;0"))</f>
        <v>32.011245645015443</v>
      </c>
      <c r="J25" s="6">
        <f>IF(ISERROR(AVERAGEIF(G14:$L14,"&gt;0")),"",AVERAGEIF(G14:$L14,"&gt;0"))</f>
        <v>35.812021756189239</v>
      </c>
      <c r="K25" s="6">
        <f>IF(ISERROR(AVERAGEIF(I14:$L14,"&gt;0")),"",AVERAGEIF(I14:$L14,"&gt;0"))</f>
        <v>28.71819489242138</v>
      </c>
      <c r="L25" s="35"/>
      <c r="M25" s="34"/>
      <c r="N25" s="34"/>
    </row>
    <row r="26" spans="1:14" x14ac:dyDescent="0.35">
      <c r="L26" s="32"/>
      <c r="M26" s="32"/>
      <c r="N26" s="32"/>
    </row>
    <row r="27" spans="1:14" x14ac:dyDescent="0.35">
      <c r="L27" s="32"/>
      <c r="M27" s="32"/>
      <c r="N27" s="32"/>
    </row>
    <row r="28" spans="1:14" x14ac:dyDescent="0.35">
      <c r="A28" t="s">
        <v>412</v>
      </c>
      <c r="B28" s="30">
        <f>B6/B4</f>
        <v>0.27370874679677204</v>
      </c>
      <c r="C28" s="30">
        <f t="shared" ref="C28:K28" si="4">C6/C4</f>
        <v>0.30914242979173534</v>
      </c>
      <c r="D28" s="30">
        <f t="shared" si="4"/>
        <v>0.31328974139315729</v>
      </c>
      <c r="E28" s="30">
        <f t="shared" si="4"/>
        <v>0.29643995239388132</v>
      </c>
      <c r="F28" s="30">
        <f t="shared" si="4"/>
        <v>0.23847390856910633</v>
      </c>
      <c r="G28" s="30">
        <f t="shared" si="4"/>
        <v>0.20449064544427684</v>
      </c>
      <c r="H28" s="30">
        <f t="shared" si="4"/>
        <v>0.21145911323065147</v>
      </c>
      <c r="I28" s="30">
        <f t="shared" si="4"/>
        <v>0.23858724929338931</v>
      </c>
      <c r="J28" s="30">
        <f t="shared" si="4"/>
        <v>0.26181831156437724</v>
      </c>
      <c r="K28" s="30">
        <f t="shared" si="4"/>
        <v>0.25026403855784329</v>
      </c>
      <c r="L28" s="32"/>
      <c r="M28" s="32"/>
      <c r="N28" s="32"/>
    </row>
    <row r="29" spans="1:14" x14ac:dyDescent="0.35">
      <c r="A29" t="s">
        <v>413</v>
      </c>
      <c r="B29" s="30">
        <f>IFERROR((B6-B8)/B4,0)</f>
        <v>0.25158177100037915</v>
      </c>
      <c r="C29" s="30">
        <f t="shared" ref="C29:K29" si="5">IFERROR((C6-C8)/C4,0)</f>
        <v>0.28727379232685368</v>
      </c>
      <c r="D29" s="30">
        <f t="shared" si="5"/>
        <v>0.28838165479823663</v>
      </c>
      <c r="E29" s="30">
        <f t="shared" si="5"/>
        <v>0.26578994106395176</v>
      </c>
      <c r="F29" s="30">
        <f t="shared" si="5"/>
        <v>0.19679185630103199</v>
      </c>
      <c r="G29" s="30">
        <f t="shared" si="5"/>
        <v>0.15280349985952393</v>
      </c>
      <c r="H29" s="30">
        <f t="shared" si="5"/>
        <v>0.1675731683276962</v>
      </c>
      <c r="I29" s="30">
        <f t="shared" si="5"/>
        <v>0.20215161422998473</v>
      </c>
      <c r="J29" s="30">
        <f t="shared" si="5"/>
        <v>0.2256784983835052</v>
      </c>
      <c r="K29" s="30">
        <f t="shared" si="5"/>
        <v>0.21161451695384551</v>
      </c>
    </row>
    <row r="32" spans="1:14" x14ac:dyDescent="0.35">
      <c r="A32" t="s">
        <v>417</v>
      </c>
      <c r="B32">
        <f>IFERROR(B13*B18,0)</f>
        <v>10</v>
      </c>
      <c r="C32">
        <f t="shared" ref="C32:K32" si="6">IFERROR(C13*C18,0)</f>
        <v>10</v>
      </c>
      <c r="D32">
        <f t="shared" si="6"/>
        <v>11</v>
      </c>
      <c r="E32">
        <f t="shared" si="6"/>
        <v>12.5</v>
      </c>
      <c r="F32">
        <f t="shared" si="6"/>
        <v>12.49542292200659</v>
      </c>
      <c r="G32">
        <f t="shared" si="6"/>
        <v>17.000000000000004</v>
      </c>
      <c r="H32">
        <f t="shared" si="6"/>
        <v>21</v>
      </c>
      <c r="I32">
        <f t="shared" si="6"/>
        <v>37</v>
      </c>
      <c r="J32">
        <f t="shared" si="6"/>
        <v>51.000000000000007</v>
      </c>
      <c r="K32">
        <f t="shared" si="6"/>
        <v>69.999999999999986</v>
      </c>
    </row>
    <row r="33" spans="1:11" x14ac:dyDescent="0.35">
      <c r="A33" t="s">
        <v>418</v>
      </c>
      <c r="D33">
        <f>D32/C32-1</f>
        <v>0.10000000000000009</v>
      </c>
      <c r="E33">
        <f t="shared" ref="E33:K33" si="7">E32/D32-1</f>
        <v>0.13636363636363646</v>
      </c>
      <c r="F33">
        <f t="shared" si="7"/>
        <v>-3.6616623947283156E-4</v>
      </c>
      <c r="G33">
        <f t="shared" si="7"/>
        <v>0.36049816849816896</v>
      </c>
      <c r="H33">
        <f t="shared" si="7"/>
        <v>0.23529411764705865</v>
      </c>
      <c r="I33">
        <f t="shared" si="7"/>
        <v>0.76190476190476186</v>
      </c>
      <c r="J33">
        <f t="shared" si="7"/>
        <v>0.37837837837837851</v>
      </c>
      <c r="K33">
        <f t="shared" si="7"/>
        <v>0.3725490196078427</v>
      </c>
    </row>
    <row r="35" spans="1:11" x14ac:dyDescent="0.35">
      <c r="A35" t="s">
        <v>423</v>
      </c>
      <c r="B35">
        <f>'Data Sheet'!B93*'Data Sheet'!B90</f>
        <v>52094.509599999998</v>
      </c>
      <c r="C35">
        <f>'Data Sheet'!C93*'Data Sheet'!C90</f>
        <v>69623.587500000009</v>
      </c>
      <c r="D35">
        <f>'Data Sheet'!D93*'Data Sheet'!D90</f>
        <v>77343.980200000005</v>
      </c>
      <c r="E35">
        <f>'Data Sheet'!E93*'Data Sheet'!E90</f>
        <v>56054.125599999999</v>
      </c>
      <c r="F35">
        <f>'Data Sheet'!F93*'Data Sheet'!F90</f>
        <v>35764.902899999994</v>
      </c>
      <c r="G35">
        <f>'Data Sheet'!G93*'Data Sheet'!G90</f>
        <v>71165.953499999989</v>
      </c>
      <c r="H35">
        <f>'Data Sheet'!H93*'Data Sheet'!H90</f>
        <v>67178.481</v>
      </c>
      <c r="I35">
        <f>'Data Sheet'!I93*'Data Sheet'!I90</f>
        <v>80651.047500000001</v>
      </c>
      <c r="J35">
        <f>'Data Sheet'!J93*'Data Sheet'!J90</f>
        <v>110048.43399999999</v>
      </c>
      <c r="K35">
        <f>'Data Sheet'!K93*'Data Sheet'!K90</f>
        <v>146633.93400000001</v>
      </c>
    </row>
    <row r="36" spans="1:11" x14ac:dyDescent="0.35">
      <c r="A36" t="s">
        <v>424</v>
      </c>
      <c r="B36">
        <f>'Data Sheet'!B59</f>
        <v>22.57</v>
      </c>
      <c r="C36">
        <f>'Data Sheet'!C59</f>
        <v>111.85</v>
      </c>
      <c r="D36">
        <f>'Data Sheet'!D59</f>
        <v>150.84</v>
      </c>
      <c r="E36">
        <f>'Data Sheet'!E59</f>
        <v>186.76</v>
      </c>
      <c r="F36">
        <f>'Data Sheet'!F59</f>
        <v>249</v>
      </c>
      <c r="G36">
        <f>'Data Sheet'!G59</f>
        <v>219.25</v>
      </c>
      <c r="H36">
        <f>'Data Sheet'!H59</f>
        <v>107.71</v>
      </c>
      <c r="I36">
        <f>'Data Sheet'!I59</f>
        <v>288.41000000000003</v>
      </c>
      <c r="J36">
        <f>'Data Sheet'!J59</f>
        <v>419.44</v>
      </c>
      <c r="K36">
        <f>'Data Sheet'!K59</f>
        <v>458.13</v>
      </c>
    </row>
    <row r="37" spans="1:11" x14ac:dyDescent="0.35">
      <c r="A37" t="s">
        <v>425</v>
      </c>
      <c r="B37">
        <f>'Data Sheet'!B69</f>
        <v>49.17</v>
      </c>
      <c r="C37">
        <f>'Data Sheet'!C69</f>
        <v>25.06</v>
      </c>
      <c r="D37">
        <f>'Data Sheet'!D69</f>
        <v>1212</v>
      </c>
      <c r="E37">
        <f>'Data Sheet'!E69</f>
        <v>2965.29</v>
      </c>
      <c r="F37">
        <f>'Data Sheet'!F69</f>
        <v>2950.59</v>
      </c>
      <c r="G37">
        <f>'Data Sheet'!G69</f>
        <v>5830.36</v>
      </c>
      <c r="H37">
        <f>'Data Sheet'!H69</f>
        <v>2722.47</v>
      </c>
      <c r="I37">
        <f>'Data Sheet'!I69</f>
        <v>765.58</v>
      </c>
      <c r="J37">
        <f>'Data Sheet'!J69</f>
        <v>146.31</v>
      </c>
      <c r="K37">
        <f>'Data Sheet'!K69</f>
        <v>263.01</v>
      </c>
    </row>
    <row r="38" spans="1:11" x14ac:dyDescent="0.35">
      <c r="A38" t="s">
        <v>426</v>
      </c>
      <c r="B38">
        <f>B35+B36-B37</f>
        <v>52067.909599999999</v>
      </c>
      <c r="C38">
        <f t="shared" ref="C38:K38" si="8">C35+C36-C37</f>
        <v>69710.377500000017</v>
      </c>
      <c r="D38">
        <f t="shared" si="8"/>
        <v>76282.820200000002</v>
      </c>
      <c r="E38">
        <f t="shared" si="8"/>
        <v>53275.595600000001</v>
      </c>
      <c r="F38">
        <f t="shared" si="8"/>
        <v>33063.31289999999</v>
      </c>
      <c r="G38">
        <f t="shared" si="8"/>
        <v>65554.843499999988</v>
      </c>
      <c r="H38">
        <f t="shared" si="8"/>
        <v>64563.721000000005</v>
      </c>
      <c r="I38">
        <f t="shared" si="8"/>
        <v>80173.877500000002</v>
      </c>
      <c r="J38">
        <f t="shared" si="8"/>
        <v>110321.564</v>
      </c>
      <c r="K38">
        <f t="shared" si="8"/>
        <v>146829.054</v>
      </c>
    </row>
    <row r="40" spans="1:11" x14ac:dyDescent="0.35">
      <c r="A40" t="s">
        <v>427</v>
      </c>
      <c r="B40" s="48">
        <f>B38/B6</f>
        <v>30.814336965077253</v>
      </c>
      <c r="C40" s="48">
        <f t="shared" ref="C40:K40" si="9">C38/C6</f>
        <v>32.060919326131064</v>
      </c>
      <c r="D40" s="48">
        <f t="shared" si="9"/>
        <v>27.1601528859266</v>
      </c>
      <c r="E40" s="48">
        <f t="shared" si="9"/>
        <v>18.344074732115811</v>
      </c>
      <c r="F40" s="48">
        <f t="shared" si="9"/>
        <v>15.146577656226372</v>
      </c>
      <c r="G40" s="48">
        <f t="shared" si="9"/>
        <v>36.761855453306644</v>
      </c>
      <c r="H40" s="48">
        <f t="shared" si="9"/>
        <v>29.6494353798041</v>
      </c>
      <c r="I40" s="48">
        <f t="shared" si="9"/>
        <v>23.267670472354101</v>
      </c>
      <c r="J40" s="48">
        <f t="shared" si="9"/>
        <v>25.482128808579557</v>
      </c>
      <c r="K40" s="48">
        <f t="shared" si="9"/>
        <v>31.09092168035626</v>
      </c>
    </row>
    <row r="41" spans="1:11" x14ac:dyDescent="0.35">
      <c r="A41" t="s">
        <v>428</v>
      </c>
      <c r="B41" s="48">
        <f>B38/B4</f>
        <v>8.4341535540847428</v>
      </c>
      <c r="C41" s="48">
        <f t="shared" ref="C41:K41" si="10">C38/C4</f>
        <v>9.9113905018369621</v>
      </c>
      <c r="D41" s="48">
        <f t="shared" si="10"/>
        <v>8.508997273830559</v>
      </c>
      <c r="E41" s="48">
        <f t="shared" si="10"/>
        <v>5.4379166402982122</v>
      </c>
      <c r="F41" s="48">
        <f t="shared" si="10"/>
        <v>3.6120635751257968</v>
      </c>
      <c r="G41" s="48">
        <f t="shared" si="10"/>
        <v>7.5174555493758835</v>
      </c>
      <c r="H41" s="48">
        <f t="shared" si="10"/>
        <v>6.269643313202879</v>
      </c>
      <c r="I41" s="48">
        <f t="shared" si="10"/>
        <v>5.5513694954639812</v>
      </c>
      <c r="J41" s="48">
        <f t="shared" si="10"/>
        <v>6.6716879397282742</v>
      </c>
      <c r="K41" s="48">
        <f t="shared" si="10"/>
        <v>7.7809396222115659</v>
      </c>
    </row>
    <row r="42" spans="1:11" x14ac:dyDescent="0.35">
      <c r="A42" t="s">
        <v>430</v>
      </c>
      <c r="B42">
        <f>B35/'Data Sheet'!B95</f>
        <v>14.260395884032423</v>
      </c>
      <c r="C42">
        <f>C35/'Data Sheet'!C95</f>
        <v>13.025757847885998</v>
      </c>
      <c r="D42">
        <f>D35/'Data Sheet'!D95</f>
        <v>11.00187909935463</v>
      </c>
      <c r="E42">
        <f>E35/'Data Sheet'!E95</f>
        <v>6.2849966811380993</v>
      </c>
      <c r="F42">
        <f>F35/'Data Sheet'!F95</f>
        <v>3.5833236882735378</v>
      </c>
      <c r="G42">
        <f>G35/'Data Sheet'!G95</f>
        <v>6.2218443567451871</v>
      </c>
      <c r="H42">
        <f>H35/'Data Sheet'!H95</f>
        <v>5.328242465101523</v>
      </c>
      <c r="I42">
        <f>I35/'Data Sheet'!I95</f>
        <v>5.3802228844291102</v>
      </c>
      <c r="J42">
        <f>J35/'Data Sheet'!J95</f>
        <v>6.0983763846226724</v>
      </c>
      <c r="K42">
        <f>K35/'Data Sheet'!K95</f>
        <v>6.8853568827539195</v>
      </c>
    </row>
  </sheetData>
  <pageMargins left="0.70866141732283472" right="0.70866141732283472" top="0.74803149606299213" bottom="0.74803149606299213" header="0.31496062992125984" footer="0.31496062992125984"/>
  <pageSetup paperSize="9" scale="40" orientation="portrait" r:id="rId1"/>
  <headerFooter>
    <oddHeader xml:space="preserve">&amp;R </oddHeader>
    <oddFooter>&amp;RBy Nikhil Kulkarni MBA</oddFoot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O95"/>
  <sheetViews>
    <sheetView zoomScaleNormal="120" zoomScalePageLayoutView="120" workbookViewId="0">
      <pane xSplit="1" ySplit="1" topLeftCell="B2" activePane="bottomRight" state="frozen"/>
      <selection activeCell="AD44" sqref="AD44"/>
      <selection pane="topRight" activeCell="AD44" sqref="AD44"/>
      <selection pane="bottomLeft" activeCell="AD44" sqref="AD44"/>
      <selection pane="bottomRight" activeCell="AD44" sqref="AD44"/>
    </sheetView>
  </sheetViews>
  <sheetFormatPr defaultColWidth="8.81640625" defaultRowHeight="14.5" x14ac:dyDescent="0.35"/>
  <cols>
    <col min="1" max="1" width="27.6328125" style="4" bestFit="1" customWidth="1"/>
    <col min="2" max="11" width="13.453125" style="4" bestFit="1" customWidth="1"/>
    <col min="12" max="13" width="8.81640625" style="4"/>
    <col min="14" max="14" width="16.54296875" style="4" customWidth="1"/>
    <col min="15" max="15" width="8.81640625" style="4"/>
    <col min="16" max="16" width="9.90625" style="4" bestFit="1" customWidth="1"/>
    <col min="17" max="18" width="8.81640625" style="4"/>
    <col min="19" max="19" width="9.90625" style="4" bestFit="1" customWidth="1"/>
    <col min="20" max="16384" width="8.81640625" style="4"/>
  </cols>
  <sheetData>
    <row r="1" spans="1:15" s="1" customFormat="1" x14ac:dyDescent="0.35">
      <c r="A1" s="1" t="s">
        <v>0</v>
      </c>
      <c r="B1" s="1" t="s">
        <v>49</v>
      </c>
      <c r="E1" s="235" t="str">
        <f>IF(B2&lt;&gt;B3, "A NEW VERSION OF THE WORKSHEET IS AVAILABLE", "")</f>
        <v/>
      </c>
      <c r="F1" s="235"/>
      <c r="G1" s="235"/>
      <c r="H1" s="235"/>
      <c r="I1" s="235"/>
      <c r="J1" s="235"/>
      <c r="K1" s="235"/>
    </row>
    <row r="2" spans="1:15" x14ac:dyDescent="0.35">
      <c r="A2" s="1" t="s">
        <v>47</v>
      </c>
      <c r="B2" s="4">
        <v>2.1</v>
      </c>
      <c r="E2" s="236" t="s">
        <v>31</v>
      </c>
      <c r="F2" s="236"/>
      <c r="G2" s="236"/>
      <c r="H2" s="236"/>
      <c r="I2" s="236"/>
      <c r="J2" s="236"/>
      <c r="K2" s="236"/>
    </row>
    <row r="3" spans="1:15" x14ac:dyDescent="0.35">
      <c r="A3" s="1" t="s">
        <v>48</v>
      </c>
      <c r="B3" s="4">
        <v>2.1</v>
      </c>
    </row>
    <row r="4" spans="1:15" x14ac:dyDescent="0.35">
      <c r="A4" s="1"/>
    </row>
    <row r="5" spans="1:15" x14ac:dyDescent="0.35">
      <c r="A5" s="1" t="s">
        <v>50</v>
      </c>
    </row>
    <row r="6" spans="1:15" x14ac:dyDescent="0.35">
      <c r="A6" s="4" t="s">
        <v>37</v>
      </c>
      <c r="B6" s="4">
        <f>IF(B9&gt;0, B9/B8, 0)</f>
        <v>27.429923992542662</v>
      </c>
    </row>
    <row r="7" spans="1:15" x14ac:dyDescent="0.35">
      <c r="A7" s="4" t="s">
        <v>26</v>
      </c>
      <c r="B7">
        <v>1</v>
      </c>
    </row>
    <row r="8" spans="1:15" x14ac:dyDescent="0.35">
      <c r="A8" s="4" t="s">
        <v>38</v>
      </c>
      <c r="B8">
        <v>6973</v>
      </c>
    </row>
    <row r="9" spans="1:15" x14ac:dyDescent="0.35">
      <c r="A9" s="4" t="s">
        <v>64</v>
      </c>
      <c r="B9">
        <v>191268.86</v>
      </c>
    </row>
    <row r="14" spans="1:15" x14ac:dyDescent="0.35">
      <c r="N14" s="23"/>
      <c r="O14" s="23"/>
    </row>
    <row r="15" spans="1:15" x14ac:dyDescent="0.35">
      <c r="A15" s="1" t="s">
        <v>32</v>
      </c>
      <c r="N15" s="23"/>
      <c r="O15" s="23"/>
    </row>
    <row r="16" spans="1:15" s="13" customFormat="1" x14ac:dyDescent="0.35">
      <c r="A16" s="12" t="s">
        <v>33</v>
      </c>
      <c r="B16" s="9">
        <v>42460</v>
      </c>
      <c r="C16" s="9">
        <v>42825</v>
      </c>
      <c r="D16" s="9">
        <v>43190</v>
      </c>
      <c r="E16" s="9">
        <v>43555</v>
      </c>
      <c r="F16" s="9">
        <v>43921</v>
      </c>
      <c r="G16" s="9">
        <v>44286</v>
      </c>
      <c r="H16" s="9">
        <v>44651</v>
      </c>
      <c r="I16" s="9">
        <v>45016</v>
      </c>
      <c r="J16" s="9">
        <v>45382</v>
      </c>
      <c r="K16" s="9">
        <v>45747</v>
      </c>
      <c r="N16" s="24"/>
      <c r="O16" s="25"/>
    </row>
    <row r="17" spans="1:15" s="6" customFormat="1" x14ac:dyDescent="0.35">
      <c r="A17" s="6" t="s">
        <v>3</v>
      </c>
      <c r="B17">
        <v>6173.46</v>
      </c>
      <c r="C17">
        <v>7033.36</v>
      </c>
      <c r="D17">
        <v>8964.9599999999991</v>
      </c>
      <c r="E17">
        <v>9797.06</v>
      </c>
      <c r="F17">
        <v>9153.58</v>
      </c>
      <c r="G17">
        <v>8720.35</v>
      </c>
      <c r="H17">
        <v>10297.83</v>
      </c>
      <c r="I17">
        <v>14442.18</v>
      </c>
      <c r="J17">
        <v>16535.78</v>
      </c>
      <c r="K17">
        <v>18870.349999999999</v>
      </c>
      <c r="N17" s="26"/>
      <c r="O17"/>
    </row>
    <row r="18" spans="1:15" s="6" customFormat="1" x14ac:dyDescent="0.35">
      <c r="A18" s="4" t="s">
        <v>65</v>
      </c>
      <c r="B18">
        <v>3497.73</v>
      </c>
      <c r="C18">
        <v>3725.72</v>
      </c>
      <c r="D18">
        <v>4679.07</v>
      </c>
      <c r="E18">
        <v>5269.64</v>
      </c>
      <c r="F18">
        <v>4914.58</v>
      </c>
      <c r="G18">
        <v>5319.85</v>
      </c>
      <c r="H18">
        <v>6107.28</v>
      </c>
      <c r="I18">
        <v>8281.0400000000009</v>
      </c>
      <c r="J18">
        <v>9187.35</v>
      </c>
      <c r="K18">
        <v>10470.09</v>
      </c>
      <c r="N18" s="23"/>
      <c r="O18"/>
    </row>
    <row r="19" spans="1:15" s="6" customFormat="1" x14ac:dyDescent="0.35">
      <c r="A19" s="4" t="s">
        <v>66</v>
      </c>
      <c r="B19">
        <v>62.05</v>
      </c>
      <c r="C19">
        <v>19.61</v>
      </c>
      <c r="D19">
        <v>33.869999999999997</v>
      </c>
      <c r="E19">
        <v>210.16</v>
      </c>
      <c r="F19">
        <v>-84.09</v>
      </c>
      <c r="G19">
        <v>205.9</v>
      </c>
      <c r="H19">
        <v>148.59</v>
      </c>
      <c r="I19">
        <v>63.25</v>
      </c>
      <c r="J19">
        <v>197.03</v>
      </c>
      <c r="K19">
        <v>163.51</v>
      </c>
      <c r="N19" s="4"/>
      <c r="O19"/>
    </row>
    <row r="20" spans="1:15" s="6" customFormat="1" x14ac:dyDescent="0.35">
      <c r="A20" s="4" t="s">
        <v>67</v>
      </c>
      <c r="B20">
        <v>46.18</v>
      </c>
      <c r="C20">
        <v>46.02</v>
      </c>
      <c r="D20">
        <v>52.41</v>
      </c>
      <c r="E20">
        <v>66.959999999999994</v>
      </c>
      <c r="F20">
        <v>62.86</v>
      </c>
      <c r="G20">
        <v>52.98</v>
      </c>
      <c r="H20">
        <v>55.78</v>
      </c>
      <c r="I20">
        <v>72.97</v>
      </c>
      <c r="J20">
        <v>80.61</v>
      </c>
      <c r="K20">
        <v>89.53</v>
      </c>
      <c r="N20" s="4"/>
      <c r="O20"/>
    </row>
    <row r="21" spans="1:15" s="6" customFormat="1" x14ac:dyDescent="0.35">
      <c r="A21" s="4" t="s">
        <v>68</v>
      </c>
      <c r="B21">
        <v>173.76</v>
      </c>
      <c r="C21">
        <v>173.09</v>
      </c>
      <c r="D21">
        <v>210.76</v>
      </c>
      <c r="E21">
        <v>263.49</v>
      </c>
      <c r="F21">
        <v>256.58</v>
      </c>
      <c r="G21">
        <v>250.85</v>
      </c>
      <c r="H21">
        <v>332.41</v>
      </c>
      <c r="I21">
        <v>397.21</v>
      </c>
      <c r="J21">
        <v>394.36</v>
      </c>
      <c r="K21">
        <v>453.77</v>
      </c>
      <c r="N21" s="4"/>
      <c r="O21"/>
    </row>
    <row r="22" spans="1:15" s="6" customFormat="1" x14ac:dyDescent="0.35">
      <c r="A22" s="4" t="s">
        <v>69</v>
      </c>
      <c r="B22">
        <v>350.21</v>
      </c>
      <c r="C22">
        <v>426.28</v>
      </c>
      <c r="D22">
        <v>573.67999999999995</v>
      </c>
      <c r="E22">
        <v>702.44</v>
      </c>
      <c r="F22">
        <v>795.78</v>
      </c>
      <c r="G22">
        <v>843.23</v>
      </c>
      <c r="H22">
        <v>821.02</v>
      </c>
      <c r="I22">
        <v>1001.93</v>
      </c>
      <c r="J22">
        <v>1235.69</v>
      </c>
      <c r="K22">
        <v>1391.23</v>
      </c>
      <c r="N22" s="4"/>
      <c r="O22"/>
    </row>
    <row r="23" spans="1:15" s="6" customFormat="1" x14ac:dyDescent="0.35">
      <c r="A23" s="4" t="s">
        <v>70</v>
      </c>
      <c r="B23">
        <v>397.4</v>
      </c>
      <c r="C23">
        <v>412.25</v>
      </c>
      <c r="D23">
        <v>565.66</v>
      </c>
      <c r="E23">
        <v>654.82000000000005</v>
      </c>
      <c r="F23">
        <v>667.16</v>
      </c>
      <c r="G23">
        <v>522.52</v>
      </c>
      <c r="H23">
        <v>815.51</v>
      </c>
      <c r="I23">
        <v>1164.58</v>
      </c>
      <c r="J23">
        <v>1293.02</v>
      </c>
      <c r="K23">
        <v>1669.63</v>
      </c>
      <c r="N23" s="4"/>
      <c r="O23"/>
    </row>
    <row r="24" spans="1:15" s="6" customFormat="1" x14ac:dyDescent="0.35">
      <c r="A24" s="4" t="s">
        <v>71</v>
      </c>
      <c r="B24">
        <v>80.5</v>
      </c>
      <c r="C24">
        <v>95.3</v>
      </c>
      <c r="D24">
        <v>108.62</v>
      </c>
      <c r="E24">
        <v>145.63</v>
      </c>
      <c r="F24">
        <v>189.64</v>
      </c>
      <c r="G24">
        <v>153.59</v>
      </c>
      <c r="H24">
        <v>136.85</v>
      </c>
      <c r="I24">
        <v>141.97999999999999</v>
      </c>
      <c r="J24">
        <v>212.41</v>
      </c>
      <c r="K24">
        <v>237.04</v>
      </c>
      <c r="N24" s="4"/>
      <c r="O24"/>
    </row>
    <row r="25" spans="1:15" s="6" customFormat="1" x14ac:dyDescent="0.35">
      <c r="A25" s="6" t="s">
        <v>6</v>
      </c>
      <c r="B25">
        <v>325.91000000000003</v>
      </c>
      <c r="C25">
        <v>416.44</v>
      </c>
      <c r="D25">
        <v>535.66</v>
      </c>
      <c r="E25">
        <v>700.66</v>
      </c>
      <c r="F25">
        <v>572.41999999999996</v>
      </c>
      <c r="G25">
        <v>482.34</v>
      </c>
      <c r="H25">
        <v>495.65</v>
      </c>
      <c r="I25">
        <v>908.14</v>
      </c>
      <c r="J25">
        <v>1521.13</v>
      </c>
      <c r="K25">
        <v>1994.17</v>
      </c>
      <c r="O25"/>
    </row>
    <row r="26" spans="1:15" s="6" customFormat="1" x14ac:dyDescent="0.35">
      <c r="A26" s="6" t="s">
        <v>7</v>
      </c>
      <c r="B26">
        <v>136.6</v>
      </c>
      <c r="C26">
        <v>153.81</v>
      </c>
      <c r="D26">
        <v>223.3</v>
      </c>
      <c r="E26">
        <v>300.27999999999997</v>
      </c>
      <c r="F26">
        <v>381.54</v>
      </c>
      <c r="G26">
        <v>450.73</v>
      </c>
      <c r="H26">
        <v>451.93</v>
      </c>
      <c r="I26">
        <v>526.21</v>
      </c>
      <c r="J26">
        <v>597.6</v>
      </c>
      <c r="K26">
        <v>729.33</v>
      </c>
      <c r="O26"/>
    </row>
    <row r="27" spans="1:15" s="6" customFormat="1" x14ac:dyDescent="0.35">
      <c r="A27" s="6" t="s">
        <v>8</v>
      </c>
      <c r="B27">
        <v>2.12</v>
      </c>
      <c r="C27">
        <v>3.56</v>
      </c>
      <c r="D27">
        <v>5.34</v>
      </c>
      <c r="E27">
        <v>7.33</v>
      </c>
      <c r="F27">
        <v>18.88</v>
      </c>
      <c r="G27">
        <v>16.45</v>
      </c>
      <c r="H27">
        <v>18.78</v>
      </c>
      <c r="I27">
        <v>28.02</v>
      </c>
      <c r="J27">
        <v>50.88</v>
      </c>
      <c r="K27">
        <v>54.34</v>
      </c>
      <c r="O27"/>
    </row>
    <row r="28" spans="1:15" s="6" customFormat="1" x14ac:dyDescent="0.35">
      <c r="A28" s="6" t="s">
        <v>9</v>
      </c>
      <c r="B28">
        <v>1876.92</v>
      </c>
      <c r="C28">
        <v>2433.38</v>
      </c>
      <c r="D28">
        <v>3115.65</v>
      </c>
      <c r="E28">
        <v>3297.29</v>
      </c>
      <c r="F28">
        <v>2354.89</v>
      </c>
      <c r="G28">
        <v>1798.39</v>
      </c>
      <c r="H28">
        <v>2202.5100000000002</v>
      </c>
      <c r="I28">
        <v>3799.63</v>
      </c>
      <c r="J28">
        <v>5202.0200000000004</v>
      </c>
      <c r="K28">
        <v>5933.07</v>
      </c>
      <c r="O28"/>
    </row>
    <row r="29" spans="1:15" s="6" customFormat="1" x14ac:dyDescent="0.35">
      <c r="A29" s="6" t="s">
        <v>10</v>
      </c>
      <c r="B29">
        <v>538.88</v>
      </c>
      <c r="C29">
        <v>720.3</v>
      </c>
      <c r="D29">
        <v>935.93</v>
      </c>
      <c r="E29">
        <v>1077.04</v>
      </c>
      <c r="F29">
        <v>527.45000000000005</v>
      </c>
      <c r="G29">
        <v>451.5</v>
      </c>
      <c r="H29">
        <v>525.91</v>
      </c>
      <c r="I29">
        <v>885.69</v>
      </c>
      <c r="J29">
        <v>1201.01</v>
      </c>
      <c r="K29">
        <v>1198.6300000000001</v>
      </c>
      <c r="O29"/>
    </row>
    <row r="30" spans="1:15" s="6" customFormat="1" x14ac:dyDescent="0.35">
      <c r="A30" s="1" t="s">
        <v>11</v>
      </c>
      <c r="B30" s="2">
        <v>1338.04</v>
      </c>
      <c r="C30" s="2">
        <v>1667.08</v>
      </c>
      <c r="D30" s="2">
        <v>1959.67</v>
      </c>
      <c r="E30" s="2">
        <v>2202.73</v>
      </c>
      <c r="F30" s="2">
        <v>1827.44</v>
      </c>
      <c r="G30" s="2">
        <v>1346.89</v>
      </c>
      <c r="H30" s="2">
        <v>1676.6</v>
      </c>
      <c r="I30" s="2">
        <v>2913.94</v>
      </c>
      <c r="J30" s="2">
        <v>4001.01</v>
      </c>
      <c r="K30" s="2">
        <v>4734.4399999999996</v>
      </c>
      <c r="O30"/>
    </row>
    <row r="31" spans="1:15" s="6" customFormat="1" x14ac:dyDescent="0.35">
      <c r="A31" s="6" t="s">
        <v>55</v>
      </c>
      <c r="B31">
        <v>271.60000000000002</v>
      </c>
      <c r="C31">
        <v>272.10000000000002</v>
      </c>
      <c r="D31">
        <v>299.86</v>
      </c>
      <c r="E31">
        <v>341</v>
      </c>
      <c r="F31">
        <v>341.25</v>
      </c>
      <c r="G31">
        <v>464.61</v>
      </c>
      <c r="H31">
        <v>574.14</v>
      </c>
      <c r="I31">
        <v>1011.95</v>
      </c>
      <c r="J31">
        <v>1396.38</v>
      </c>
      <c r="K31">
        <v>1919.4</v>
      </c>
      <c r="O31"/>
    </row>
    <row r="32" spans="1:15" s="6" customFormat="1" x14ac:dyDescent="0.35">
      <c r="A32" s="6" t="s">
        <v>221</v>
      </c>
      <c r="B32" s="6">
        <f>B30+B27+B26+B29</f>
        <v>2015.6399999999999</v>
      </c>
      <c r="C32" s="6">
        <f t="shared" ref="C32:J32" si="0">C30+C27+C26+C29</f>
        <v>2544.75</v>
      </c>
      <c r="D32" s="6">
        <f t="shared" si="0"/>
        <v>3124.24</v>
      </c>
      <c r="E32" s="6">
        <f t="shared" si="0"/>
        <v>3587.38</v>
      </c>
      <c r="F32" s="6">
        <f t="shared" si="0"/>
        <v>2755.3100000000004</v>
      </c>
      <c r="G32" s="6">
        <f t="shared" si="0"/>
        <v>2265.5700000000002</v>
      </c>
      <c r="H32" s="6">
        <f t="shared" si="0"/>
        <v>2673.22</v>
      </c>
      <c r="I32" s="6">
        <f t="shared" si="0"/>
        <v>4353.8600000000006</v>
      </c>
      <c r="J32" s="6">
        <f t="shared" si="0"/>
        <v>5850.5000000000009</v>
      </c>
      <c r="K32" s="6">
        <f>K30+K27+K26+K29</f>
        <v>6716.74</v>
      </c>
    </row>
    <row r="33" spans="1:11" x14ac:dyDescent="0.35">
      <c r="A33" s="6"/>
    </row>
    <row r="34" spans="1:11" x14ac:dyDescent="0.35">
      <c r="A34" s="6"/>
      <c r="J34"/>
    </row>
    <row r="35" spans="1:11" x14ac:dyDescent="0.35">
      <c r="A35" s="4" t="s">
        <v>409</v>
      </c>
      <c r="B35" s="4">
        <f>IFERROR(B17-B18-B19-B20-B21-B22,0)</f>
        <v>2043.5299999999997</v>
      </c>
      <c r="C35" s="4">
        <f t="shared" ref="C35:K35" si="1">IFERROR(C17-C18-C19-C20-C21-C22,0)</f>
        <v>2642.6399999999994</v>
      </c>
      <c r="D35" s="4">
        <f t="shared" si="1"/>
        <v>3415.1699999999996</v>
      </c>
      <c r="E35" s="4">
        <f t="shared" si="1"/>
        <v>3284.3699999999994</v>
      </c>
      <c r="F35" s="4">
        <f t="shared" si="1"/>
        <v>3207.8700000000008</v>
      </c>
      <c r="G35" s="4">
        <f t="shared" si="1"/>
        <v>2047.54</v>
      </c>
      <c r="H35" s="4">
        <f t="shared" si="1"/>
        <v>2832.75</v>
      </c>
      <c r="I35" s="4">
        <f t="shared" si="1"/>
        <v>4625.7799999999988</v>
      </c>
      <c r="J35" s="4">
        <f t="shared" si="1"/>
        <v>5440.74</v>
      </c>
      <c r="K35" s="4">
        <f t="shared" si="1"/>
        <v>6302.2199999999993</v>
      </c>
    </row>
    <row r="36" spans="1:11" x14ac:dyDescent="0.35">
      <c r="A36" s="4" t="s">
        <v>410</v>
      </c>
      <c r="B36" s="46">
        <f>B35/B17</f>
        <v>0.33101858601173406</v>
      </c>
      <c r="C36" s="46">
        <f t="shared" ref="C36:K36" si="2">C35/C17</f>
        <v>0.37572938112082982</v>
      </c>
      <c r="D36" s="46">
        <f t="shared" si="2"/>
        <v>0.38094648498152806</v>
      </c>
      <c r="E36" s="46">
        <f t="shared" si="2"/>
        <v>0.33524036802877594</v>
      </c>
      <c r="F36" s="46">
        <f t="shared" si="2"/>
        <v>0.35044976937984929</v>
      </c>
      <c r="G36" s="46">
        <f t="shared" si="2"/>
        <v>0.23480020870721929</v>
      </c>
      <c r="H36" s="46">
        <f t="shared" si="2"/>
        <v>0.27508222606121874</v>
      </c>
      <c r="I36" s="46">
        <f t="shared" si="2"/>
        <v>0.32029652033141803</v>
      </c>
      <c r="J36" s="46">
        <f t="shared" si="2"/>
        <v>0.32902832524380465</v>
      </c>
      <c r="K36" s="46">
        <f t="shared" si="2"/>
        <v>0.33397472754877361</v>
      </c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34</v>
      </c>
    </row>
    <row r="41" spans="1:11" s="13" customFormat="1" x14ac:dyDescent="0.35">
      <c r="A41" s="12" t="s">
        <v>33</v>
      </c>
      <c r="B41" s="9">
        <v>45107</v>
      </c>
      <c r="C41" s="9">
        <v>45199</v>
      </c>
      <c r="D41" s="9">
        <v>45291</v>
      </c>
      <c r="E41" s="9">
        <v>45382</v>
      </c>
      <c r="F41" s="9">
        <v>45473</v>
      </c>
      <c r="G41" s="9">
        <v>45565</v>
      </c>
      <c r="H41" s="9">
        <v>45657</v>
      </c>
      <c r="I41" s="9">
        <v>45747</v>
      </c>
      <c r="J41" s="9">
        <v>45838</v>
      </c>
      <c r="K41" s="9">
        <v>45930</v>
      </c>
    </row>
    <row r="42" spans="1:11" s="6" customFormat="1" x14ac:dyDescent="0.35">
      <c r="A42" s="6" t="s">
        <v>3</v>
      </c>
      <c r="B42">
        <v>3986.37</v>
      </c>
      <c r="C42">
        <v>4114.53</v>
      </c>
      <c r="D42">
        <v>4178.84</v>
      </c>
      <c r="E42">
        <v>4256.04</v>
      </c>
      <c r="F42">
        <v>4393.05</v>
      </c>
      <c r="G42">
        <v>4263.07</v>
      </c>
      <c r="H42">
        <v>4973.12</v>
      </c>
      <c r="I42">
        <v>5241.1099999999997</v>
      </c>
      <c r="J42">
        <v>5041.84</v>
      </c>
      <c r="K42">
        <v>6171.59</v>
      </c>
    </row>
    <row r="43" spans="1:11" s="6" customFormat="1" x14ac:dyDescent="0.35">
      <c r="A43" s="6" t="s">
        <v>4</v>
      </c>
      <c r="B43">
        <v>2965.53</v>
      </c>
      <c r="C43">
        <v>3027.37</v>
      </c>
      <c r="D43">
        <v>3088.57</v>
      </c>
      <c r="E43">
        <v>3127.4</v>
      </c>
      <c r="F43">
        <v>3227.62</v>
      </c>
      <c r="G43">
        <v>3175.35</v>
      </c>
      <c r="H43">
        <v>3771.93</v>
      </c>
      <c r="I43">
        <v>3983.42</v>
      </c>
      <c r="J43">
        <v>3839.06</v>
      </c>
      <c r="K43">
        <v>4659.6899999999996</v>
      </c>
    </row>
    <row r="44" spans="1:11" s="6" customFormat="1" x14ac:dyDescent="0.35">
      <c r="A44" s="6" t="s">
        <v>6</v>
      </c>
      <c r="B44">
        <v>343.65</v>
      </c>
      <c r="C44">
        <v>375.4</v>
      </c>
      <c r="D44">
        <v>367.58</v>
      </c>
      <c r="E44">
        <v>436.96</v>
      </c>
      <c r="F44">
        <v>456.51</v>
      </c>
      <c r="G44">
        <v>467.53</v>
      </c>
      <c r="H44">
        <v>452.29</v>
      </c>
      <c r="I44">
        <v>628.38</v>
      </c>
      <c r="J44">
        <v>603.16999999999996</v>
      </c>
      <c r="K44">
        <v>485.83</v>
      </c>
    </row>
    <row r="45" spans="1:11" s="6" customFormat="1" x14ac:dyDescent="0.35">
      <c r="A45" s="6" t="s">
        <v>7</v>
      </c>
      <c r="B45">
        <v>142.27000000000001</v>
      </c>
      <c r="C45">
        <v>142.54</v>
      </c>
      <c r="D45">
        <v>147.54</v>
      </c>
      <c r="E45">
        <v>165.25</v>
      </c>
      <c r="F45">
        <v>168.63</v>
      </c>
      <c r="G45">
        <v>180.06</v>
      </c>
      <c r="H45">
        <v>179.27</v>
      </c>
      <c r="I45">
        <v>201.37</v>
      </c>
      <c r="J45">
        <v>198.06</v>
      </c>
      <c r="K45">
        <v>199.56</v>
      </c>
    </row>
    <row r="46" spans="1:11" s="6" customFormat="1" x14ac:dyDescent="0.35">
      <c r="A46" s="6" t="s">
        <v>8</v>
      </c>
      <c r="B46">
        <v>10.43</v>
      </c>
      <c r="C46">
        <v>12.68</v>
      </c>
      <c r="D46">
        <v>12.43</v>
      </c>
      <c r="E46">
        <v>15.34</v>
      </c>
      <c r="F46">
        <v>12.27</v>
      </c>
      <c r="G46">
        <v>13.14</v>
      </c>
      <c r="H46">
        <v>13.39</v>
      </c>
      <c r="I46">
        <v>15.54</v>
      </c>
      <c r="J46">
        <v>14.9</v>
      </c>
      <c r="K46">
        <v>19.16</v>
      </c>
    </row>
    <row r="47" spans="1:11" s="6" customFormat="1" x14ac:dyDescent="0.35">
      <c r="A47" s="6" t="s">
        <v>9</v>
      </c>
      <c r="B47">
        <v>1211.79</v>
      </c>
      <c r="C47">
        <v>1307.3399999999999</v>
      </c>
      <c r="D47">
        <v>1297.8800000000001</v>
      </c>
      <c r="E47">
        <v>1385.01</v>
      </c>
      <c r="F47">
        <v>1441.04</v>
      </c>
      <c r="G47">
        <v>1362.05</v>
      </c>
      <c r="H47">
        <v>1460.82</v>
      </c>
      <c r="I47">
        <v>1669.16</v>
      </c>
      <c r="J47">
        <v>1592.99</v>
      </c>
      <c r="K47">
        <v>1779.01</v>
      </c>
    </row>
    <row r="48" spans="1:11" s="6" customFormat="1" x14ac:dyDescent="0.35">
      <c r="A48" s="6" t="s">
        <v>10</v>
      </c>
      <c r="B48">
        <v>293.45</v>
      </c>
      <c r="C48">
        <v>291.08999999999997</v>
      </c>
      <c r="D48">
        <v>301.91000000000003</v>
      </c>
      <c r="E48">
        <v>314.56</v>
      </c>
      <c r="F48">
        <v>339.58</v>
      </c>
      <c r="G48">
        <v>261.72000000000003</v>
      </c>
      <c r="H48">
        <v>290.32</v>
      </c>
      <c r="I48">
        <v>307.01</v>
      </c>
      <c r="J48">
        <v>387.77</v>
      </c>
      <c r="K48">
        <v>409.56</v>
      </c>
    </row>
    <row r="49" spans="1:11" s="6" customFormat="1" x14ac:dyDescent="0.35">
      <c r="A49" s="6" t="s">
        <v>11</v>
      </c>
      <c r="B49">
        <v>918.34</v>
      </c>
      <c r="C49">
        <v>1016.25</v>
      </c>
      <c r="D49">
        <v>995.97</v>
      </c>
      <c r="E49">
        <v>1070.45</v>
      </c>
      <c r="F49">
        <v>1101.46</v>
      </c>
      <c r="G49">
        <v>1100.33</v>
      </c>
      <c r="H49">
        <v>1170.5</v>
      </c>
      <c r="I49">
        <v>1362.15</v>
      </c>
      <c r="J49">
        <v>1205.22</v>
      </c>
      <c r="K49">
        <v>1369.45</v>
      </c>
    </row>
    <row r="50" spans="1:11" x14ac:dyDescent="0.35">
      <c r="A50" s="6" t="s">
        <v>5</v>
      </c>
      <c r="B50">
        <v>1020.84</v>
      </c>
      <c r="C50">
        <v>1087.1600000000001</v>
      </c>
      <c r="D50">
        <v>1090.27</v>
      </c>
      <c r="E50">
        <v>1128.6400000000001</v>
      </c>
      <c r="F50">
        <v>1165.43</v>
      </c>
      <c r="G50">
        <v>1087.72</v>
      </c>
      <c r="H50">
        <v>1201.19</v>
      </c>
      <c r="I50">
        <v>1257.69</v>
      </c>
      <c r="J50">
        <v>1202.78</v>
      </c>
      <c r="K50">
        <v>1511.9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35</v>
      </c>
    </row>
    <row r="56" spans="1:11" s="13" customFormat="1" x14ac:dyDescent="0.35">
      <c r="A56" s="12" t="s">
        <v>33</v>
      </c>
      <c r="B56" s="9">
        <v>42460</v>
      </c>
      <c r="C56" s="9">
        <v>42825</v>
      </c>
      <c r="D56" s="9">
        <v>43190</v>
      </c>
      <c r="E56" s="9">
        <v>43555</v>
      </c>
      <c r="F56" s="9">
        <v>43921</v>
      </c>
      <c r="G56" s="9">
        <v>44286</v>
      </c>
      <c r="H56" s="9">
        <v>44651</v>
      </c>
      <c r="I56" s="9">
        <v>45016</v>
      </c>
      <c r="J56" s="9">
        <v>45382</v>
      </c>
      <c r="K56" s="9">
        <v>45747</v>
      </c>
    </row>
    <row r="57" spans="1:11" x14ac:dyDescent="0.35">
      <c r="A57" s="6" t="s">
        <v>19</v>
      </c>
      <c r="B57">
        <v>27.16</v>
      </c>
      <c r="C57">
        <v>27.21</v>
      </c>
      <c r="D57">
        <v>27.26</v>
      </c>
      <c r="E57">
        <v>27.28</v>
      </c>
      <c r="F57">
        <v>27.3</v>
      </c>
      <c r="G57">
        <v>27.33</v>
      </c>
      <c r="H57">
        <v>27.34</v>
      </c>
      <c r="I57">
        <v>27.35</v>
      </c>
      <c r="J57">
        <v>27.38</v>
      </c>
      <c r="K57">
        <v>27.42</v>
      </c>
    </row>
    <row r="58" spans="1:11" x14ac:dyDescent="0.35">
      <c r="A58" s="6" t="s">
        <v>20</v>
      </c>
      <c r="B58">
        <v>3625.93</v>
      </c>
      <c r="C58">
        <v>5317.86</v>
      </c>
      <c r="D58">
        <v>7002.81</v>
      </c>
      <c r="E58">
        <v>8891.44</v>
      </c>
      <c r="F58">
        <v>9953.6299999999992</v>
      </c>
      <c r="G58">
        <v>11410.75</v>
      </c>
      <c r="H58">
        <v>12580.66</v>
      </c>
      <c r="I58">
        <v>14962.93</v>
      </c>
      <c r="J58">
        <v>18018.150000000001</v>
      </c>
      <c r="K58">
        <v>21269.07</v>
      </c>
    </row>
    <row r="59" spans="1:11" x14ac:dyDescent="0.35">
      <c r="A59" s="6" t="s">
        <v>56</v>
      </c>
      <c r="B59">
        <v>22.57</v>
      </c>
      <c r="C59">
        <v>111.85</v>
      </c>
      <c r="D59">
        <v>150.84</v>
      </c>
      <c r="E59">
        <v>186.76</v>
      </c>
      <c r="F59">
        <v>249</v>
      </c>
      <c r="G59">
        <v>219.25</v>
      </c>
      <c r="H59">
        <v>107.71</v>
      </c>
      <c r="I59">
        <v>288.41000000000003</v>
      </c>
      <c r="J59">
        <v>419.44</v>
      </c>
      <c r="K59">
        <v>458.13</v>
      </c>
    </row>
    <row r="60" spans="1:11" x14ac:dyDescent="0.35">
      <c r="A60" s="6" t="s">
        <v>57</v>
      </c>
      <c r="B60">
        <v>1263.3499999999999</v>
      </c>
      <c r="C60">
        <v>1552.16</v>
      </c>
      <c r="D60">
        <v>2341.3200000000002</v>
      </c>
      <c r="E60">
        <v>2281.35</v>
      </c>
      <c r="F60">
        <v>2219.79</v>
      </c>
      <c r="G60">
        <v>2901.28</v>
      </c>
      <c r="H60">
        <v>3424.12</v>
      </c>
      <c r="I60">
        <v>3918.95</v>
      </c>
      <c r="J60">
        <v>4650.16</v>
      </c>
      <c r="K60">
        <v>5419.79</v>
      </c>
    </row>
    <row r="61" spans="1:11" s="1" customFormat="1" x14ac:dyDescent="0.35">
      <c r="A61" s="1" t="s">
        <v>21</v>
      </c>
      <c r="B61">
        <v>4939.01</v>
      </c>
      <c r="C61">
        <v>7009.08</v>
      </c>
      <c r="D61">
        <v>9522.23</v>
      </c>
      <c r="E61">
        <v>11386.83</v>
      </c>
      <c r="F61">
        <v>12449.72</v>
      </c>
      <c r="G61">
        <v>14558.61</v>
      </c>
      <c r="H61">
        <v>16139.83</v>
      </c>
      <c r="I61">
        <v>19197.64</v>
      </c>
      <c r="J61">
        <v>23115.13</v>
      </c>
      <c r="K61">
        <v>27174.41</v>
      </c>
    </row>
    <row r="62" spans="1:11" x14ac:dyDescent="0.35">
      <c r="A62" s="6" t="s">
        <v>22</v>
      </c>
      <c r="B62">
        <v>789.59</v>
      </c>
      <c r="C62">
        <v>872.78</v>
      </c>
      <c r="D62">
        <v>1501.69</v>
      </c>
      <c r="E62">
        <v>1874.58</v>
      </c>
      <c r="F62">
        <v>2377.52</v>
      </c>
      <c r="G62">
        <v>2433.3000000000002</v>
      </c>
      <c r="H62">
        <v>2424.2800000000002</v>
      </c>
      <c r="I62">
        <v>2689.99</v>
      </c>
      <c r="J62">
        <v>2914.38</v>
      </c>
      <c r="K62">
        <v>3473.47</v>
      </c>
    </row>
    <row r="63" spans="1:11" x14ac:dyDescent="0.35">
      <c r="A63" s="6" t="s">
        <v>23</v>
      </c>
      <c r="B63">
        <v>94.48</v>
      </c>
      <c r="C63">
        <v>373.77</v>
      </c>
      <c r="D63">
        <v>333.21</v>
      </c>
      <c r="E63">
        <v>449.74</v>
      </c>
      <c r="F63">
        <v>312.17</v>
      </c>
      <c r="G63">
        <v>314.29000000000002</v>
      </c>
      <c r="H63">
        <v>504.78</v>
      </c>
      <c r="I63">
        <v>472.07</v>
      </c>
      <c r="J63">
        <v>555.1</v>
      </c>
      <c r="K63">
        <v>491.47</v>
      </c>
    </row>
    <row r="64" spans="1:11" x14ac:dyDescent="0.35">
      <c r="A64" s="6" t="s">
        <v>24</v>
      </c>
      <c r="B64">
        <v>3388.24</v>
      </c>
      <c r="C64">
        <v>4987.13</v>
      </c>
      <c r="D64">
        <v>5580.84</v>
      </c>
      <c r="E64">
        <v>4922.5200000000004</v>
      </c>
      <c r="F64">
        <v>5748.77</v>
      </c>
      <c r="G64">
        <v>3902.14</v>
      </c>
      <c r="H64">
        <v>7720.58</v>
      </c>
      <c r="I64">
        <v>12320.66</v>
      </c>
      <c r="J64">
        <v>13526.96</v>
      </c>
      <c r="K64">
        <v>14790.9</v>
      </c>
    </row>
    <row r="65" spans="1:11" x14ac:dyDescent="0.35">
      <c r="A65" s="6" t="s">
        <v>58</v>
      </c>
      <c r="B65">
        <v>666.7</v>
      </c>
      <c r="C65">
        <v>775.4</v>
      </c>
      <c r="D65">
        <v>2106.4899999999998</v>
      </c>
      <c r="E65">
        <v>4139.99</v>
      </c>
      <c r="F65">
        <v>4011.26</v>
      </c>
      <c r="G65">
        <v>7908.88</v>
      </c>
      <c r="H65">
        <v>5490.19</v>
      </c>
      <c r="I65">
        <v>3714.92</v>
      </c>
      <c r="J65">
        <v>6118.69</v>
      </c>
      <c r="K65">
        <v>8418.57</v>
      </c>
    </row>
    <row r="66" spans="1:11" s="1" customFormat="1" x14ac:dyDescent="0.35">
      <c r="A66" s="1" t="s">
        <v>21</v>
      </c>
      <c r="B66">
        <v>4939.01</v>
      </c>
      <c r="C66">
        <v>7009.08</v>
      </c>
      <c r="D66">
        <v>9522.23</v>
      </c>
      <c r="E66">
        <v>11386.83</v>
      </c>
      <c r="F66">
        <v>12449.72</v>
      </c>
      <c r="G66">
        <v>14558.61</v>
      </c>
      <c r="H66">
        <v>16139.83</v>
      </c>
      <c r="I66">
        <v>19197.64</v>
      </c>
      <c r="J66">
        <v>23115.13</v>
      </c>
      <c r="K66">
        <v>27174.41</v>
      </c>
    </row>
    <row r="67" spans="1:11" s="6" customFormat="1" x14ac:dyDescent="0.35">
      <c r="A67" s="6" t="s">
        <v>63</v>
      </c>
      <c r="B67">
        <v>32.64</v>
      </c>
      <c r="C67">
        <v>50.04</v>
      </c>
      <c r="D67">
        <v>68</v>
      </c>
      <c r="E67">
        <v>84.29</v>
      </c>
      <c r="F67">
        <v>86.76</v>
      </c>
      <c r="G67">
        <v>158.16</v>
      </c>
      <c r="H67">
        <v>302.04000000000002</v>
      </c>
      <c r="I67">
        <v>368.92</v>
      </c>
      <c r="J67">
        <v>373.78</v>
      </c>
      <c r="K67">
        <v>549.64</v>
      </c>
    </row>
    <row r="68" spans="1:11" x14ac:dyDescent="0.35">
      <c r="A68" s="6" t="s">
        <v>40</v>
      </c>
      <c r="B68">
        <v>308.39</v>
      </c>
      <c r="C68">
        <v>335.9</v>
      </c>
      <c r="D68">
        <v>394.64</v>
      </c>
      <c r="E68">
        <v>633.38</v>
      </c>
      <c r="F68">
        <v>572.35</v>
      </c>
      <c r="G68">
        <v>874.6</v>
      </c>
      <c r="H68">
        <v>1132.4000000000001</v>
      </c>
      <c r="I68">
        <v>1278.44</v>
      </c>
      <c r="J68">
        <v>1409.64</v>
      </c>
      <c r="K68">
        <v>1563.75</v>
      </c>
    </row>
    <row r="69" spans="1:11" x14ac:dyDescent="0.35">
      <c r="A69" s="4" t="s">
        <v>72</v>
      </c>
      <c r="B69">
        <v>49.17</v>
      </c>
      <c r="C69">
        <v>25.06</v>
      </c>
      <c r="D69">
        <v>1212</v>
      </c>
      <c r="E69">
        <v>2965.29</v>
      </c>
      <c r="F69">
        <v>2950.59</v>
      </c>
      <c r="G69">
        <v>5830.36</v>
      </c>
      <c r="H69">
        <v>2722.47</v>
      </c>
      <c r="I69">
        <v>765.58</v>
      </c>
      <c r="J69">
        <v>146.31</v>
      </c>
      <c r="K69">
        <v>263.01</v>
      </c>
    </row>
    <row r="70" spans="1:11" x14ac:dyDescent="0.35">
      <c r="A70" s="4" t="s">
        <v>59</v>
      </c>
      <c r="B70">
        <v>27161183</v>
      </c>
      <c r="C70">
        <v>27210249</v>
      </c>
      <c r="D70">
        <v>27255549</v>
      </c>
      <c r="E70">
        <v>27282570</v>
      </c>
      <c r="F70">
        <v>27304570</v>
      </c>
      <c r="G70">
        <v>273335922</v>
      </c>
      <c r="H70">
        <v>273423102</v>
      </c>
      <c r="I70">
        <v>273481570</v>
      </c>
      <c r="J70">
        <v>273805630</v>
      </c>
      <c r="K70">
        <v>274164080</v>
      </c>
    </row>
    <row r="71" spans="1:11" x14ac:dyDescent="0.35">
      <c r="A71" s="4" t="s">
        <v>60</v>
      </c>
    </row>
    <row r="72" spans="1:11" x14ac:dyDescent="0.35">
      <c r="A72" s="4" t="s">
        <v>73</v>
      </c>
      <c r="B72"/>
      <c r="C72">
        <v>10</v>
      </c>
      <c r="D72">
        <v>10</v>
      </c>
      <c r="E72">
        <v>10</v>
      </c>
      <c r="F72">
        <v>10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5">
      <c r="A73" s="4" t="s">
        <v>225</v>
      </c>
      <c r="B73" s="4">
        <f>B65-SUM(B67:B69)</f>
        <v>276.50000000000006</v>
      </c>
      <c r="C73" s="4">
        <f t="shared" ref="C73:K73" si="3">C65-SUM(C67:C69)</f>
        <v>364.4</v>
      </c>
      <c r="D73" s="4">
        <f t="shared" si="3"/>
        <v>431.84999999999991</v>
      </c>
      <c r="E73" s="4">
        <f t="shared" si="3"/>
        <v>457.02999999999975</v>
      </c>
      <c r="F73" s="4">
        <f t="shared" si="3"/>
        <v>401.55999999999995</v>
      </c>
      <c r="G73" s="4">
        <f t="shared" si="3"/>
        <v>1045.7600000000002</v>
      </c>
      <c r="H73" s="4">
        <f t="shared" si="3"/>
        <v>1333.2799999999997</v>
      </c>
      <c r="I73" s="4">
        <f t="shared" si="3"/>
        <v>1301.98</v>
      </c>
      <c r="J73" s="4">
        <f t="shared" si="3"/>
        <v>4188.9599999999991</v>
      </c>
      <c r="K73" s="4">
        <f t="shared" si="3"/>
        <v>6042.17</v>
      </c>
    </row>
    <row r="74" spans="1:11" x14ac:dyDescent="0.35">
      <c r="A74" s="6" t="s">
        <v>224</v>
      </c>
      <c r="B74" s="4">
        <f>B66</f>
        <v>4939.01</v>
      </c>
      <c r="C74" s="4">
        <f t="shared" ref="C74:K74" si="4">C66</f>
        <v>7009.08</v>
      </c>
      <c r="D74" s="4">
        <f t="shared" si="4"/>
        <v>9522.23</v>
      </c>
      <c r="E74" s="4">
        <f t="shared" si="4"/>
        <v>11386.83</v>
      </c>
      <c r="F74" s="4">
        <f t="shared" si="4"/>
        <v>12449.72</v>
      </c>
      <c r="G74" s="4">
        <f t="shared" si="4"/>
        <v>14558.61</v>
      </c>
      <c r="H74" s="4">
        <f t="shared" si="4"/>
        <v>16139.83</v>
      </c>
      <c r="I74" s="4">
        <f t="shared" si="4"/>
        <v>19197.64</v>
      </c>
      <c r="J74" s="4">
        <f t="shared" si="4"/>
        <v>23115.13</v>
      </c>
      <c r="K74" s="4">
        <f t="shared" si="4"/>
        <v>27174.41</v>
      </c>
    </row>
    <row r="75" spans="1:11" x14ac:dyDescent="0.35">
      <c r="A75" s="6"/>
      <c r="H75"/>
    </row>
    <row r="76" spans="1:11" x14ac:dyDescent="0.35">
      <c r="A76" s="6"/>
      <c r="B76" s="4" cm="1">
        <f t="array" ref="B76:B78">B62:B64+B67:B69+B73</f>
        <v>1098.73</v>
      </c>
      <c r="H76"/>
    </row>
    <row r="77" spans="1:11" x14ac:dyDescent="0.35">
      <c r="A77" s="6"/>
      <c r="B77" s="4">
        <v>679.37000000000012</v>
      </c>
      <c r="I77"/>
    </row>
    <row r="78" spans="1:11" x14ac:dyDescent="0.35">
      <c r="A78" s="6"/>
      <c r="B78" s="4">
        <v>3713.91</v>
      </c>
    </row>
    <row r="79" spans="1:11" x14ac:dyDescent="0.35">
      <c r="A79" s="6"/>
      <c r="B79" s="4">
        <f>SUM(B76:B78)</f>
        <v>5492.01</v>
      </c>
    </row>
    <row r="80" spans="1:11" x14ac:dyDescent="0.35">
      <c r="A80" s="1" t="s">
        <v>36</v>
      </c>
    </row>
    <row r="81" spans="1:11" s="13" customFormat="1" x14ac:dyDescent="0.35">
      <c r="A81" s="12" t="s">
        <v>33</v>
      </c>
      <c r="B81" s="9">
        <v>42460</v>
      </c>
      <c r="C81" s="9">
        <v>42825</v>
      </c>
      <c r="D81" s="9">
        <v>43190</v>
      </c>
      <c r="E81" s="9">
        <v>43555</v>
      </c>
      <c r="F81" s="9">
        <v>43921</v>
      </c>
      <c r="G81" s="9">
        <v>44286</v>
      </c>
      <c r="H81" s="9">
        <v>44651</v>
      </c>
      <c r="I81" s="9">
        <v>45016</v>
      </c>
      <c r="J81" s="9">
        <v>45382</v>
      </c>
      <c r="K81" s="9">
        <v>45747</v>
      </c>
    </row>
    <row r="82" spans="1:11" s="1" customFormat="1" x14ac:dyDescent="0.35">
      <c r="A82" s="6" t="s">
        <v>27</v>
      </c>
      <c r="B82">
        <v>1463.08</v>
      </c>
      <c r="C82">
        <v>1707.97</v>
      </c>
      <c r="D82">
        <v>2482.25</v>
      </c>
      <c r="E82">
        <v>1575.47</v>
      </c>
      <c r="F82">
        <v>1694.12</v>
      </c>
      <c r="G82">
        <v>1690.97</v>
      </c>
      <c r="H82">
        <v>1527.04</v>
      </c>
      <c r="I82">
        <v>2822.66</v>
      </c>
      <c r="J82">
        <v>3723.71</v>
      </c>
      <c r="K82">
        <v>3979.92</v>
      </c>
    </row>
    <row r="83" spans="1:11" s="6" customFormat="1" x14ac:dyDescent="0.35">
      <c r="A83" s="6" t="s">
        <v>28</v>
      </c>
      <c r="B83">
        <v>-1001.4</v>
      </c>
      <c r="C83">
        <v>-1743.58</v>
      </c>
      <c r="D83">
        <v>-2145.02</v>
      </c>
      <c r="E83">
        <v>-659.88</v>
      </c>
      <c r="F83">
        <v>-1508.41</v>
      </c>
      <c r="G83">
        <v>-1625.3</v>
      </c>
      <c r="H83">
        <v>-983.25</v>
      </c>
      <c r="I83">
        <v>-2396.8000000000002</v>
      </c>
      <c r="J83">
        <v>-2833.93</v>
      </c>
      <c r="K83">
        <v>-2460.6799999999998</v>
      </c>
    </row>
    <row r="84" spans="1:11" s="6" customFormat="1" x14ac:dyDescent="0.35">
      <c r="A84" s="6" t="s">
        <v>29</v>
      </c>
      <c r="B84">
        <v>-465.52</v>
      </c>
      <c r="C84">
        <v>25.29</v>
      </c>
      <c r="D84">
        <v>-262.01</v>
      </c>
      <c r="E84">
        <v>-292.3</v>
      </c>
      <c r="F84">
        <v>-858.25</v>
      </c>
      <c r="G84">
        <v>-14.76</v>
      </c>
      <c r="H84">
        <v>-593.36</v>
      </c>
      <c r="I84">
        <v>-417.44</v>
      </c>
      <c r="J84">
        <v>-844.36</v>
      </c>
      <c r="K84">
        <v>-1398.67</v>
      </c>
    </row>
    <row r="85" spans="1:11" s="1" customFormat="1" x14ac:dyDescent="0.35">
      <c r="A85" s="6" t="s">
        <v>30</v>
      </c>
      <c r="B85">
        <v>-3.84</v>
      </c>
      <c r="C85">
        <v>-10.32</v>
      </c>
      <c r="D85">
        <v>75.22</v>
      </c>
      <c r="E85">
        <v>623.29</v>
      </c>
      <c r="F85">
        <v>-672.54</v>
      </c>
      <c r="G85">
        <v>50.91</v>
      </c>
      <c r="H85">
        <v>-49.57</v>
      </c>
      <c r="I85">
        <v>8.42</v>
      </c>
      <c r="J85">
        <v>45.42</v>
      </c>
      <c r="K85">
        <v>120.57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62</v>
      </c>
      <c r="B90">
        <v>1918.06</v>
      </c>
      <c r="C90">
        <v>2558.75</v>
      </c>
      <c r="D90">
        <v>2837.27</v>
      </c>
      <c r="E90">
        <v>2054.77</v>
      </c>
      <c r="F90">
        <v>1309.5899999999999</v>
      </c>
      <c r="G90">
        <v>2603.9499999999998</v>
      </c>
      <c r="H90">
        <v>2457.15</v>
      </c>
      <c r="I90">
        <v>2948.85</v>
      </c>
      <c r="J90">
        <v>4019.3</v>
      </c>
      <c r="K90">
        <v>5347.7</v>
      </c>
    </row>
    <row r="92" spans="1:11" s="1" customFormat="1" x14ac:dyDescent="0.35">
      <c r="A92" s="1" t="s">
        <v>61</v>
      </c>
    </row>
    <row r="93" spans="1:11" x14ac:dyDescent="0.35">
      <c r="A93" s="4" t="s">
        <v>74</v>
      </c>
      <c r="B93" s="14">
        <v>27.16</v>
      </c>
      <c r="C93" s="14">
        <v>27.21</v>
      </c>
      <c r="D93" s="14">
        <v>27.26</v>
      </c>
      <c r="E93" s="14">
        <v>27.28</v>
      </c>
      <c r="F93" s="14">
        <v>27.31</v>
      </c>
      <c r="G93" s="14">
        <v>27.33</v>
      </c>
      <c r="H93" s="14">
        <v>27.34</v>
      </c>
      <c r="I93" s="14">
        <v>27.35</v>
      </c>
      <c r="J93" s="14">
        <v>27.38</v>
      </c>
      <c r="K93" s="14">
        <v>27.42</v>
      </c>
    </row>
    <row r="95" spans="1:11" x14ac:dyDescent="0.35">
      <c r="A95" s="4" t="s">
        <v>429</v>
      </c>
      <c r="B95" s="4">
        <f>SUM(B57:B58)</f>
        <v>3653.0899999999997</v>
      </c>
      <c r="C95" s="4">
        <f t="shared" ref="C95:K95" si="5">SUM(C57:C58)</f>
        <v>5345.07</v>
      </c>
      <c r="D95" s="4">
        <f t="shared" si="5"/>
        <v>7030.0700000000006</v>
      </c>
      <c r="E95" s="4">
        <f t="shared" si="5"/>
        <v>8918.7200000000012</v>
      </c>
      <c r="F95" s="4">
        <f t="shared" si="5"/>
        <v>9980.9299999999985</v>
      </c>
      <c r="G95" s="4">
        <f t="shared" si="5"/>
        <v>11438.08</v>
      </c>
      <c r="H95" s="4">
        <f t="shared" si="5"/>
        <v>12608</v>
      </c>
      <c r="I95" s="4">
        <f t="shared" si="5"/>
        <v>14990.28</v>
      </c>
      <c r="J95" s="4">
        <f t="shared" si="5"/>
        <v>18045.530000000002</v>
      </c>
      <c r="K95" s="4">
        <f t="shared" si="5"/>
        <v>21296.489999999998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0866141732283472" right="0.70866141732283472" top="0.74803149606299213" bottom="0.74803149606299213" header="0.31496062992125984" footer="0.31496062992125984"/>
  <pageSetup paperSize="9" scale="40" orientation="portrait" r:id="rId2"/>
  <headerFooter>
    <oddHeader xml:space="preserve">&amp;R </oddHeader>
    <oddFooter>&amp;RBy Nikhil Kulkarni MBA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229D-5274-4C18-B96A-0B063C80DCA3}">
  <sheetPr>
    <tabColor rgb="FFFF0000"/>
  </sheetPr>
  <dimension ref="B1:V4483"/>
  <sheetViews>
    <sheetView topLeftCell="L1" zoomScale="86" zoomScaleNormal="34" workbookViewId="0">
      <selection activeCell="AD44" sqref="AD44"/>
    </sheetView>
  </sheetViews>
  <sheetFormatPr defaultRowHeight="14.5" x14ac:dyDescent="0.35"/>
  <cols>
    <col min="2" max="2" width="11.08984375" customWidth="1"/>
    <col min="3" max="3" width="16.36328125" bestFit="1" customWidth="1"/>
    <col min="4" max="4" width="9.36328125" bestFit="1" customWidth="1"/>
    <col min="5" max="5" width="15.81640625" bestFit="1" customWidth="1"/>
    <col min="6" max="6" width="15.81640625" customWidth="1"/>
    <col min="7" max="7" width="10.1796875" bestFit="1" customWidth="1"/>
    <col min="8" max="8" width="13.90625" bestFit="1" customWidth="1"/>
    <col min="9" max="9" width="18.1796875" customWidth="1"/>
    <col min="10" max="10" width="13.90625" customWidth="1"/>
    <col min="11" max="11" width="10.36328125" bestFit="1" customWidth="1"/>
    <col min="12" max="12" width="10.7265625" customWidth="1"/>
    <col min="13" max="13" width="12.54296875" bestFit="1" customWidth="1"/>
    <col min="14" max="14" width="13.7265625" bestFit="1" customWidth="1"/>
    <col min="15" max="15" width="11.453125" customWidth="1"/>
    <col min="18" max="18" width="10.453125" style="18" bestFit="1" customWidth="1"/>
    <col min="19" max="19" width="13.81640625" customWidth="1"/>
    <col min="20" max="20" width="13.08984375" style="19" customWidth="1"/>
    <col min="21" max="21" width="12.54296875" style="18" customWidth="1"/>
  </cols>
  <sheetData>
    <row r="1" spans="2:22" x14ac:dyDescent="0.35">
      <c r="R1" s="18" t="s">
        <v>148</v>
      </c>
      <c r="S1" t="s">
        <v>44</v>
      </c>
      <c r="T1" s="19" t="s">
        <v>475</v>
      </c>
      <c r="U1" s="18" t="s">
        <v>148</v>
      </c>
      <c r="V1">
        <v>1000000</v>
      </c>
    </row>
    <row r="2" spans="2:22" ht="14.5" customHeight="1" x14ac:dyDescent="0.35">
      <c r="B2" t="s">
        <v>188</v>
      </c>
      <c r="C2" t="s">
        <v>189</v>
      </c>
      <c r="D2" t="s">
        <v>190</v>
      </c>
      <c r="E2" t="s">
        <v>328</v>
      </c>
      <c r="F2" t="s">
        <v>341</v>
      </c>
      <c r="G2" t="s">
        <v>327</v>
      </c>
      <c r="H2" t="s">
        <v>329</v>
      </c>
      <c r="I2" t="s">
        <v>345</v>
      </c>
      <c r="J2" t="s">
        <v>342</v>
      </c>
      <c r="K2" t="s">
        <v>330</v>
      </c>
      <c r="L2" t="s">
        <v>221</v>
      </c>
      <c r="M2" t="s">
        <v>331</v>
      </c>
      <c r="R2" s="18">
        <v>43831</v>
      </c>
      <c r="S2">
        <v>2207.58</v>
      </c>
      <c r="T2">
        <v>1090000</v>
      </c>
      <c r="U2" s="18">
        <v>43831</v>
      </c>
    </row>
    <row r="3" spans="2:22" ht="14.5" customHeight="1" x14ac:dyDescent="0.35">
      <c r="B3">
        <v>1</v>
      </c>
      <c r="C3" t="s">
        <v>183</v>
      </c>
      <c r="D3" s="19">
        <v>15059</v>
      </c>
      <c r="E3" s="19">
        <v>31.44</v>
      </c>
      <c r="F3" s="19">
        <f>D3*E3</f>
        <v>473454.96</v>
      </c>
      <c r="G3" s="19">
        <v>99.9</v>
      </c>
      <c r="H3" s="19">
        <v>552.9</v>
      </c>
      <c r="I3" s="19">
        <f>G3-H3</f>
        <v>-453</v>
      </c>
      <c r="J3" s="19">
        <f>F3+G3-H3</f>
        <v>473001.96</v>
      </c>
      <c r="K3" s="19">
        <v>171773.6</v>
      </c>
      <c r="L3" s="19">
        <v>31486.100879999998</v>
      </c>
      <c r="M3" s="19">
        <v>14931.6</v>
      </c>
      <c r="N3" s="19"/>
      <c r="O3" t="s">
        <v>148</v>
      </c>
      <c r="P3" s="19" t="s">
        <v>44</v>
      </c>
      <c r="R3" s="18">
        <v>43832</v>
      </c>
      <c r="S3">
        <v>2160.09</v>
      </c>
      <c r="T3">
        <v>2290000</v>
      </c>
      <c r="U3" s="18">
        <v>43832</v>
      </c>
    </row>
    <row r="4" spans="2:22" ht="14.5" customHeight="1" x14ac:dyDescent="0.35">
      <c r="B4">
        <v>2</v>
      </c>
      <c r="C4" t="s">
        <v>184</v>
      </c>
      <c r="D4" s="19">
        <v>3572</v>
      </c>
      <c r="E4" s="19">
        <v>124.35</v>
      </c>
      <c r="F4" s="19">
        <f t="shared" ref="F4:F17" si="0">D4*E4</f>
        <v>444178.19999999995</v>
      </c>
      <c r="G4" s="19">
        <v>126709.33</v>
      </c>
      <c r="H4" s="19">
        <v>20614.84</v>
      </c>
      <c r="I4" s="19">
        <f t="shared" ref="I4:I17" si="1">G4-H4</f>
        <v>106094.49</v>
      </c>
      <c r="J4" s="19">
        <f t="shared" ref="J4:J17" si="2">F4+G4-H4</f>
        <v>550272.68999999994</v>
      </c>
      <c r="K4" s="19">
        <v>175704.22</v>
      </c>
      <c r="L4" s="19">
        <v>25564.964010000003</v>
      </c>
      <c r="M4" s="19">
        <v>15506.66</v>
      </c>
      <c r="N4" s="19"/>
      <c r="O4" s="18">
        <v>39461</v>
      </c>
      <c r="P4">
        <v>38.270000000000003</v>
      </c>
      <c r="R4" s="18">
        <v>43833</v>
      </c>
      <c r="S4">
        <v>2118.9299999999998</v>
      </c>
      <c r="T4">
        <v>1570000</v>
      </c>
      <c r="U4" s="18">
        <v>43833</v>
      </c>
    </row>
    <row r="5" spans="2:22" ht="14.5" customHeight="1" x14ac:dyDescent="0.35">
      <c r="B5">
        <v>3</v>
      </c>
      <c r="C5" t="s">
        <v>185</v>
      </c>
      <c r="D5" s="19">
        <v>9647</v>
      </c>
      <c r="E5" s="19">
        <v>27.95</v>
      </c>
      <c r="F5" s="19">
        <f t="shared" si="0"/>
        <v>269633.64999999997</v>
      </c>
      <c r="G5" s="19">
        <v>19693.240000000002</v>
      </c>
      <c r="H5" s="19">
        <v>2847.6</v>
      </c>
      <c r="I5" s="19">
        <f t="shared" si="1"/>
        <v>16845.640000000003</v>
      </c>
      <c r="J5" s="19">
        <f t="shared" si="2"/>
        <v>286479.28999999998</v>
      </c>
      <c r="K5" s="19">
        <v>57718.86</v>
      </c>
      <c r="L5" s="19">
        <v>12178.679460000001</v>
      </c>
      <c r="M5" s="19">
        <v>8884.14</v>
      </c>
      <c r="N5" s="19"/>
      <c r="O5" s="18">
        <v>39462</v>
      </c>
      <c r="P5">
        <v>37.729999999999997</v>
      </c>
      <c r="R5" s="18">
        <v>43836</v>
      </c>
      <c r="S5">
        <v>2086.0500000000002</v>
      </c>
      <c r="T5">
        <v>1260000</v>
      </c>
      <c r="U5" s="18">
        <v>43836</v>
      </c>
    </row>
    <row r="6" spans="2:22" ht="14.5" customHeight="1" x14ac:dyDescent="0.35">
      <c r="B6">
        <v>4</v>
      </c>
      <c r="C6" t="s">
        <v>138</v>
      </c>
      <c r="D6" s="19">
        <v>7209.5</v>
      </c>
      <c r="E6" s="19">
        <v>27.43</v>
      </c>
      <c r="F6" s="19">
        <f t="shared" si="0"/>
        <v>197756.58499999999</v>
      </c>
      <c r="G6" s="19">
        <v>445.78</v>
      </c>
      <c r="H6" s="19">
        <v>263.01</v>
      </c>
      <c r="I6" s="19">
        <f t="shared" si="1"/>
        <v>182.76999999999998</v>
      </c>
      <c r="J6" s="19">
        <f t="shared" si="2"/>
        <v>197939.35499999998</v>
      </c>
      <c r="K6" s="19">
        <v>21427.66</v>
      </c>
      <c r="L6" s="19">
        <v>5774.7543700000006</v>
      </c>
      <c r="M6" s="19">
        <v>5107.32</v>
      </c>
      <c r="N6" s="19"/>
      <c r="O6" s="18">
        <v>39463</v>
      </c>
      <c r="P6">
        <v>36.5</v>
      </c>
      <c r="R6" s="18">
        <v>43837</v>
      </c>
      <c r="S6">
        <v>2080.38</v>
      </c>
      <c r="T6">
        <v>1370000</v>
      </c>
      <c r="U6" s="18">
        <v>43837</v>
      </c>
    </row>
    <row r="7" spans="2:22" ht="14.5" customHeight="1" x14ac:dyDescent="0.35">
      <c r="B7">
        <v>5</v>
      </c>
      <c r="C7" t="s">
        <v>187</v>
      </c>
      <c r="D7" s="19">
        <v>3712.7</v>
      </c>
      <c r="E7" s="19">
        <v>47.51</v>
      </c>
      <c r="F7" s="19">
        <f t="shared" si="0"/>
        <v>176390.37699999998</v>
      </c>
      <c r="G7" s="19">
        <v>31589.29</v>
      </c>
      <c r="H7" s="19">
        <v>4386.24</v>
      </c>
      <c r="I7" s="19">
        <f t="shared" si="1"/>
        <v>27203.050000000003</v>
      </c>
      <c r="J7" s="19">
        <f t="shared" si="2"/>
        <v>203593.427</v>
      </c>
      <c r="K7" s="19">
        <v>52558.79</v>
      </c>
      <c r="L7" s="19">
        <v>13302.629749</v>
      </c>
      <c r="M7" s="19">
        <v>3064.39</v>
      </c>
      <c r="N7" s="19"/>
      <c r="O7" s="18">
        <v>39464</v>
      </c>
      <c r="P7">
        <v>37.049999999999997</v>
      </c>
      <c r="R7" s="18">
        <v>43838</v>
      </c>
      <c r="S7">
        <v>1989.22</v>
      </c>
      <c r="T7">
        <v>2890000</v>
      </c>
      <c r="U7" s="18">
        <v>43838</v>
      </c>
    </row>
    <row r="8" spans="2:22" ht="14.5" customHeight="1" x14ac:dyDescent="0.35">
      <c r="B8">
        <v>6</v>
      </c>
      <c r="C8" t="s">
        <v>186</v>
      </c>
      <c r="D8" s="19">
        <v>2164.3000000000002</v>
      </c>
      <c r="E8" s="19">
        <v>81.25</v>
      </c>
      <c r="F8" s="19">
        <f t="shared" si="0"/>
        <v>175849.37500000003</v>
      </c>
      <c r="G8" s="19">
        <v>856.56</v>
      </c>
      <c r="H8" s="19">
        <v>8135.35</v>
      </c>
      <c r="I8" s="19">
        <f t="shared" si="1"/>
        <v>-7278.7900000000009</v>
      </c>
      <c r="J8" s="19">
        <f t="shared" si="2"/>
        <v>168570.58500000002</v>
      </c>
      <c r="K8" s="19">
        <v>68100.58</v>
      </c>
      <c r="L8" s="19">
        <v>11760.970165999999</v>
      </c>
      <c r="M8" s="19">
        <v>5683.48</v>
      </c>
      <c r="N8" s="19"/>
      <c r="O8" s="18">
        <v>39465</v>
      </c>
      <c r="P8">
        <v>35.89</v>
      </c>
      <c r="R8" s="18">
        <v>43839</v>
      </c>
      <c r="S8">
        <v>2032.89</v>
      </c>
      <c r="T8">
        <v>2590000</v>
      </c>
      <c r="U8" s="18">
        <v>43839</v>
      </c>
    </row>
    <row r="9" spans="2:22" ht="14.5" customHeight="1" x14ac:dyDescent="0.35">
      <c r="B9">
        <v>7</v>
      </c>
      <c r="C9" t="s">
        <v>332</v>
      </c>
      <c r="D9" s="19">
        <v>374.15</v>
      </c>
      <c r="E9" s="19">
        <v>368.23</v>
      </c>
      <c r="F9" s="19">
        <f t="shared" si="0"/>
        <v>137773.25450000001</v>
      </c>
      <c r="G9" s="19">
        <v>67258</v>
      </c>
      <c r="H9" s="19">
        <v>40834</v>
      </c>
      <c r="I9" s="19">
        <f t="shared" si="1"/>
        <v>26424</v>
      </c>
      <c r="J9" s="19">
        <f t="shared" si="2"/>
        <v>164197.25450000001</v>
      </c>
      <c r="K9" s="19">
        <v>349637</v>
      </c>
      <c r="L9" s="19">
        <v>20313.9097</v>
      </c>
      <c r="M9" s="19">
        <v>85324</v>
      </c>
      <c r="N9" s="19"/>
      <c r="O9" s="18">
        <v>39468</v>
      </c>
      <c r="P9">
        <v>30.89</v>
      </c>
      <c r="R9" s="18">
        <v>43840</v>
      </c>
      <c r="S9">
        <v>2043.28</v>
      </c>
      <c r="T9">
        <v>2170000</v>
      </c>
      <c r="U9" s="18">
        <v>43840</v>
      </c>
    </row>
    <row r="10" spans="2:22" ht="14.5" customHeight="1" x14ac:dyDescent="0.35">
      <c r="B10">
        <v>8</v>
      </c>
      <c r="C10" t="s">
        <v>333</v>
      </c>
      <c r="D10" s="19">
        <v>120.99</v>
      </c>
      <c r="E10" s="19">
        <v>1055.44</v>
      </c>
      <c r="F10" s="19">
        <f t="shared" si="0"/>
        <v>127697.6856</v>
      </c>
      <c r="G10" s="19">
        <v>19777.47</v>
      </c>
      <c r="H10" s="19">
        <v>6288.8</v>
      </c>
      <c r="I10" s="19">
        <f t="shared" si="1"/>
        <v>13488.670000000002</v>
      </c>
      <c r="J10" s="19">
        <f t="shared" si="2"/>
        <v>141186.35560000001</v>
      </c>
      <c r="K10" s="19">
        <v>117367.72</v>
      </c>
      <c r="L10" s="19">
        <v>14588.807595999999</v>
      </c>
      <c r="M10" s="19">
        <v>3551.45</v>
      </c>
      <c r="N10" s="19"/>
      <c r="O10" s="18">
        <v>39469</v>
      </c>
      <c r="P10">
        <v>26.12</v>
      </c>
      <c r="R10" s="18">
        <v>43843</v>
      </c>
      <c r="S10">
        <v>2028</v>
      </c>
      <c r="T10">
        <v>1320000</v>
      </c>
      <c r="U10" s="18">
        <v>43843</v>
      </c>
    </row>
    <row r="11" spans="2:22" ht="14.5" customHeight="1" x14ac:dyDescent="0.35">
      <c r="B11">
        <v>9</v>
      </c>
      <c r="C11" t="s">
        <v>334</v>
      </c>
      <c r="D11" s="19">
        <v>5766</v>
      </c>
      <c r="E11" s="19">
        <v>20.010000000000002</v>
      </c>
      <c r="F11" s="19">
        <f t="shared" si="0"/>
        <v>115377.66</v>
      </c>
      <c r="G11" s="19">
        <v>718.07</v>
      </c>
      <c r="H11" s="19">
        <v>574.08000000000004</v>
      </c>
      <c r="I11" s="19">
        <f t="shared" si="1"/>
        <v>143.99</v>
      </c>
      <c r="J11" s="19">
        <f t="shared" si="2"/>
        <v>115521.65000000001</v>
      </c>
      <c r="K11" s="19">
        <v>42175.839999999997</v>
      </c>
      <c r="L11" s="19">
        <v>6195.6308959999997</v>
      </c>
      <c r="M11" s="19">
        <v>5303.76</v>
      </c>
      <c r="N11" s="19"/>
      <c r="O11" s="18">
        <v>39470</v>
      </c>
      <c r="P11">
        <v>28.94</v>
      </c>
      <c r="R11" s="18">
        <v>43844</v>
      </c>
      <c r="S11">
        <v>2048.9699999999998</v>
      </c>
      <c r="T11">
        <v>1160000</v>
      </c>
      <c r="U11" s="18">
        <v>43844</v>
      </c>
    </row>
    <row r="12" spans="2:22" ht="14.5" customHeight="1" x14ac:dyDescent="0.35">
      <c r="B12">
        <v>10</v>
      </c>
      <c r="C12" t="s">
        <v>335</v>
      </c>
      <c r="D12" s="19">
        <v>36275</v>
      </c>
      <c r="E12" s="19">
        <v>2.95</v>
      </c>
      <c r="F12" s="19">
        <f t="shared" si="0"/>
        <v>107011.25</v>
      </c>
      <c r="G12" s="19">
        <v>109.1</v>
      </c>
      <c r="H12" s="19">
        <v>507.7</v>
      </c>
      <c r="I12" s="19">
        <f t="shared" si="1"/>
        <v>-398.6</v>
      </c>
      <c r="J12" s="19">
        <f t="shared" si="2"/>
        <v>106612.65000000001</v>
      </c>
      <c r="K12" s="19">
        <v>18959.7</v>
      </c>
      <c r="L12" s="19">
        <v>5941.9699800000008</v>
      </c>
      <c r="M12" s="19">
        <v>2681.5</v>
      </c>
      <c r="N12" s="19"/>
      <c r="O12" s="18">
        <v>39471</v>
      </c>
      <c r="P12">
        <v>25.95</v>
      </c>
      <c r="R12" s="18">
        <v>43845</v>
      </c>
      <c r="S12">
        <v>2062.48</v>
      </c>
      <c r="T12">
        <v>1080000</v>
      </c>
      <c r="U12" s="18">
        <v>43845</v>
      </c>
    </row>
    <row r="13" spans="2:22" ht="14.5" customHeight="1" x14ac:dyDescent="0.35">
      <c r="B13">
        <v>11</v>
      </c>
      <c r="C13" t="s">
        <v>336</v>
      </c>
      <c r="D13" s="19">
        <v>1573.2</v>
      </c>
      <c r="E13" s="19">
        <v>47.81</v>
      </c>
      <c r="F13" s="19">
        <f t="shared" si="0"/>
        <v>75214.69200000001</v>
      </c>
      <c r="G13" s="19">
        <v>6658.37</v>
      </c>
      <c r="H13" s="19">
        <v>1291.3800000000001</v>
      </c>
      <c r="I13" s="19">
        <f t="shared" si="1"/>
        <v>5366.99</v>
      </c>
      <c r="J13" s="19">
        <f t="shared" si="2"/>
        <v>80581.682000000001</v>
      </c>
      <c r="K13" s="19">
        <v>15268.83</v>
      </c>
      <c r="L13" s="19">
        <v>4263.0573359999999</v>
      </c>
      <c r="M13" s="19">
        <v>1078.56</v>
      </c>
      <c r="N13" s="19"/>
      <c r="O13" s="18">
        <v>39472</v>
      </c>
      <c r="P13">
        <v>29.91</v>
      </c>
      <c r="R13" s="18">
        <v>43846</v>
      </c>
      <c r="S13">
        <v>2153.62</v>
      </c>
      <c r="T13">
        <v>2920000</v>
      </c>
      <c r="U13" s="18">
        <v>43846</v>
      </c>
    </row>
    <row r="14" spans="2:22" ht="14.5" customHeight="1" x14ac:dyDescent="0.35">
      <c r="B14">
        <v>12</v>
      </c>
      <c r="C14" t="s">
        <v>337</v>
      </c>
      <c r="D14" s="19">
        <v>1230.8</v>
      </c>
      <c r="E14" s="19">
        <v>57.71</v>
      </c>
      <c r="F14" s="19">
        <f t="shared" si="0"/>
        <v>71029.467999999993</v>
      </c>
      <c r="G14" s="19">
        <v>2851.71</v>
      </c>
      <c r="H14" s="19">
        <v>203.59</v>
      </c>
      <c r="I14" s="19">
        <f t="shared" si="1"/>
        <v>2648.12</v>
      </c>
      <c r="J14" s="19">
        <f t="shared" si="2"/>
        <v>73677.588000000003</v>
      </c>
      <c r="K14" s="19">
        <v>18849.5</v>
      </c>
      <c r="L14" s="19">
        <v>5662.3897999999999</v>
      </c>
      <c r="M14" s="19">
        <v>1221.54</v>
      </c>
      <c r="N14" s="19"/>
      <c r="O14" s="18">
        <v>39475</v>
      </c>
      <c r="P14">
        <v>28.7</v>
      </c>
      <c r="R14" s="18">
        <v>43847</v>
      </c>
      <c r="S14">
        <v>2129.2199999999998</v>
      </c>
      <c r="T14">
        <v>1830000</v>
      </c>
      <c r="U14" s="18">
        <v>43847</v>
      </c>
    </row>
    <row r="15" spans="2:22" ht="14.5" customHeight="1" x14ac:dyDescent="0.35">
      <c r="B15">
        <v>13</v>
      </c>
      <c r="C15" t="s">
        <v>338</v>
      </c>
      <c r="D15" s="19">
        <v>3814.2</v>
      </c>
      <c r="E15" s="19">
        <v>15.63</v>
      </c>
      <c r="F15" s="19">
        <f t="shared" si="0"/>
        <v>59615.946000000004</v>
      </c>
      <c r="G15" s="19">
        <v>39.409999999999997</v>
      </c>
      <c r="H15" s="19">
        <v>1349.49</v>
      </c>
      <c r="I15" s="19">
        <f t="shared" si="1"/>
        <v>-1310.08</v>
      </c>
      <c r="J15" s="19">
        <f t="shared" si="2"/>
        <v>58305.866000000009</v>
      </c>
      <c r="K15" s="19">
        <v>8834.57</v>
      </c>
      <c r="L15" s="19">
        <v>2830.5962279999999</v>
      </c>
      <c r="M15" s="19">
        <v>1117.6199999999999</v>
      </c>
      <c r="N15" s="19"/>
      <c r="O15" s="18">
        <v>39476</v>
      </c>
      <c r="P15">
        <v>28.3</v>
      </c>
      <c r="R15" s="18">
        <v>43850</v>
      </c>
      <c r="S15">
        <v>2136.5100000000002</v>
      </c>
      <c r="T15">
        <v>1010000</v>
      </c>
      <c r="U15" s="18">
        <v>43850</v>
      </c>
    </row>
    <row r="16" spans="2:22" ht="14.5" customHeight="1" x14ac:dyDescent="0.35">
      <c r="B16">
        <v>14</v>
      </c>
      <c r="C16" t="s">
        <v>339</v>
      </c>
      <c r="D16" s="19">
        <v>134970</v>
      </c>
      <c r="E16" s="19">
        <v>0.42</v>
      </c>
      <c r="F16" s="19">
        <f t="shared" si="0"/>
        <v>56687.4</v>
      </c>
      <c r="G16" s="19">
        <v>3631.22</v>
      </c>
      <c r="H16" s="19">
        <v>376.49</v>
      </c>
      <c r="I16" s="19">
        <f t="shared" si="1"/>
        <v>3254.7299999999996</v>
      </c>
      <c r="J16" s="19">
        <f t="shared" si="2"/>
        <v>59942.130000000005</v>
      </c>
      <c r="K16" s="19">
        <v>29130.05</v>
      </c>
      <c r="L16" s="19">
        <v>3853.9056150000001</v>
      </c>
      <c r="M16" s="19">
        <v>1853.68</v>
      </c>
      <c r="N16" s="19"/>
      <c r="O16" s="18">
        <v>39477</v>
      </c>
      <c r="P16">
        <v>29.04</v>
      </c>
      <c r="R16" s="18">
        <v>43851</v>
      </c>
      <c r="S16">
        <v>2105.66</v>
      </c>
      <c r="T16">
        <v>1030000</v>
      </c>
      <c r="U16" s="18">
        <v>43851</v>
      </c>
    </row>
    <row r="17" spans="2:21" ht="14.5" customHeight="1" x14ac:dyDescent="0.35">
      <c r="B17">
        <v>15</v>
      </c>
      <c r="C17" t="s">
        <v>340</v>
      </c>
      <c r="D17" s="19">
        <v>2687.8</v>
      </c>
      <c r="E17" s="19">
        <v>19.329999999999998</v>
      </c>
      <c r="F17" s="19">
        <f t="shared" si="0"/>
        <v>51955.173999999999</v>
      </c>
      <c r="G17" s="19">
        <v>3681.97</v>
      </c>
      <c r="H17" s="19">
        <v>86.25</v>
      </c>
      <c r="I17" s="19">
        <f t="shared" si="1"/>
        <v>3595.72</v>
      </c>
      <c r="J17" s="19">
        <f t="shared" si="2"/>
        <v>55550.894</v>
      </c>
      <c r="K17" s="19">
        <v>10642.64</v>
      </c>
      <c r="L17" s="19">
        <v>2244.532776</v>
      </c>
      <c r="M17" s="19">
        <v>1312.19</v>
      </c>
      <c r="N17" s="19"/>
      <c r="O17" s="18">
        <v>39478</v>
      </c>
      <c r="P17">
        <v>27.86</v>
      </c>
      <c r="R17" s="18">
        <v>43852</v>
      </c>
      <c r="S17">
        <v>2110</v>
      </c>
      <c r="T17">
        <v>786810</v>
      </c>
      <c r="U17" s="18">
        <v>43852</v>
      </c>
    </row>
    <row r="18" spans="2:21" x14ac:dyDescent="0.35">
      <c r="K18" t="s">
        <v>265</v>
      </c>
      <c r="O18" s="18">
        <v>39479</v>
      </c>
      <c r="P18">
        <v>29.62</v>
      </c>
      <c r="R18" s="18">
        <v>43853</v>
      </c>
      <c r="S18">
        <v>2091.5700000000002</v>
      </c>
      <c r="T18">
        <v>1060000</v>
      </c>
      <c r="U18" s="18">
        <v>43853</v>
      </c>
    </row>
    <row r="19" spans="2:21" x14ac:dyDescent="0.35">
      <c r="O19" s="18">
        <v>39482</v>
      </c>
      <c r="P19">
        <v>30.89</v>
      </c>
      <c r="R19" s="18">
        <v>43854</v>
      </c>
      <c r="S19">
        <v>2093.08</v>
      </c>
      <c r="T19">
        <v>770750</v>
      </c>
      <c r="U19" s="18">
        <v>43854</v>
      </c>
    </row>
    <row r="20" spans="2:21" x14ac:dyDescent="0.35">
      <c r="O20" s="18">
        <v>39483</v>
      </c>
      <c r="P20">
        <v>31.42</v>
      </c>
      <c r="R20" s="18">
        <v>43857</v>
      </c>
      <c r="S20">
        <v>2109.52</v>
      </c>
      <c r="T20">
        <v>971080</v>
      </c>
      <c r="U20" s="18">
        <v>43857</v>
      </c>
    </row>
    <row r="21" spans="2:21" x14ac:dyDescent="0.35">
      <c r="L21">
        <v>100</v>
      </c>
      <c r="O21" s="18">
        <v>39484</v>
      </c>
      <c r="P21">
        <v>30.14</v>
      </c>
      <c r="R21" s="18">
        <v>43858</v>
      </c>
      <c r="S21">
        <v>2108.66</v>
      </c>
      <c r="T21">
        <v>972770</v>
      </c>
      <c r="U21" s="18">
        <v>43858</v>
      </c>
    </row>
    <row r="22" spans="2:21" x14ac:dyDescent="0.35">
      <c r="H22" t="s">
        <v>265</v>
      </c>
      <c r="O22" s="18">
        <v>39485</v>
      </c>
      <c r="P22">
        <v>29.17</v>
      </c>
      <c r="R22" s="18">
        <v>43859</v>
      </c>
      <c r="S22">
        <v>2019.22</v>
      </c>
      <c r="T22">
        <v>2870000</v>
      </c>
      <c r="U22" s="18">
        <v>43859</v>
      </c>
    </row>
    <row r="23" spans="2:21" x14ac:dyDescent="0.35">
      <c r="B23" t="s">
        <v>405</v>
      </c>
      <c r="C23" s="237" t="s">
        <v>404</v>
      </c>
      <c r="D23" s="237"/>
      <c r="E23" s="237"/>
      <c r="F23" s="237"/>
      <c r="G23" s="237"/>
      <c r="K23">
        <v>10000000</v>
      </c>
      <c r="L23">
        <v>8022</v>
      </c>
      <c r="O23" s="18">
        <v>39486</v>
      </c>
      <c r="P23">
        <v>28.12</v>
      </c>
      <c r="R23" s="18">
        <v>43860</v>
      </c>
      <c r="S23">
        <v>2034.03</v>
      </c>
      <c r="T23">
        <v>1390000</v>
      </c>
      <c r="U23" s="18">
        <v>43860</v>
      </c>
    </row>
    <row r="24" spans="2:21" x14ac:dyDescent="0.35">
      <c r="C24" s="237"/>
      <c r="D24" s="237"/>
      <c r="E24" s="237"/>
      <c r="F24" s="237"/>
      <c r="G24" s="237"/>
      <c r="O24" s="18">
        <v>39489</v>
      </c>
      <c r="P24">
        <v>25.91</v>
      </c>
      <c r="R24" s="18">
        <v>43861</v>
      </c>
      <c r="S24">
        <v>2028.93</v>
      </c>
      <c r="T24">
        <v>1020000</v>
      </c>
      <c r="U24" s="18">
        <v>43861</v>
      </c>
    </row>
    <row r="25" spans="2:21" x14ac:dyDescent="0.35">
      <c r="C25" s="237"/>
      <c r="D25" s="237"/>
      <c r="E25" s="237"/>
      <c r="F25" s="237"/>
      <c r="G25" s="237"/>
      <c r="I25" t="s">
        <v>437</v>
      </c>
      <c r="J25" t="s">
        <v>451</v>
      </c>
      <c r="K25" t="s">
        <v>438</v>
      </c>
      <c r="L25" t="s">
        <v>450</v>
      </c>
      <c r="O25" s="18">
        <v>39490</v>
      </c>
      <c r="P25">
        <v>26.74</v>
      </c>
      <c r="R25" s="18">
        <v>43862</v>
      </c>
      <c r="S25">
        <v>2005.92</v>
      </c>
      <c r="T25">
        <v>1010000</v>
      </c>
      <c r="U25" s="18">
        <v>43862</v>
      </c>
    </row>
    <row r="26" spans="2:21" x14ac:dyDescent="0.35">
      <c r="C26" s="237"/>
      <c r="D26" s="237"/>
      <c r="E26" s="237"/>
      <c r="F26" s="237"/>
      <c r="G26" s="237"/>
      <c r="I26" t="s">
        <v>439</v>
      </c>
      <c r="J26" s="19">
        <v>12.030647999999999</v>
      </c>
      <c r="K26" s="30">
        <v>0.43859999999999999</v>
      </c>
      <c r="L26" s="19">
        <f>J26*$L$23</f>
        <v>96509.858255999992</v>
      </c>
      <c r="O26" s="18">
        <v>39491</v>
      </c>
      <c r="P26">
        <v>27.05</v>
      </c>
      <c r="R26" s="18">
        <v>43864</v>
      </c>
      <c r="S26">
        <v>1988.35</v>
      </c>
      <c r="T26">
        <v>1490000</v>
      </c>
      <c r="U26" s="18">
        <v>43864</v>
      </c>
    </row>
    <row r="27" spans="2:21" x14ac:dyDescent="0.35">
      <c r="C27" s="44"/>
      <c r="D27" s="44"/>
      <c r="E27" s="44"/>
      <c r="F27" s="44"/>
      <c r="G27" s="44"/>
      <c r="I27" t="s">
        <v>440</v>
      </c>
      <c r="J27" s="19">
        <v>0.81674270000000004</v>
      </c>
      <c r="K27" s="30">
        <v>2.98E-2</v>
      </c>
      <c r="L27" s="19">
        <f t="shared" ref="L27:L35" si="3">J27*$L$23</f>
        <v>6551.9099394000004</v>
      </c>
      <c r="O27" s="18">
        <v>39492</v>
      </c>
      <c r="P27">
        <v>27.6</v>
      </c>
      <c r="R27" s="18">
        <v>43865</v>
      </c>
      <c r="S27">
        <v>1951.27</v>
      </c>
      <c r="T27">
        <v>1500000</v>
      </c>
      <c r="U27" s="18">
        <v>43865</v>
      </c>
    </row>
    <row r="28" spans="2:21" x14ac:dyDescent="0.35">
      <c r="C28" s="44"/>
      <c r="D28" s="44"/>
      <c r="E28" s="44"/>
      <c r="F28" s="44"/>
      <c r="G28" s="44"/>
      <c r="I28" t="s">
        <v>441</v>
      </c>
      <c r="J28" s="19">
        <v>0.68612309999999999</v>
      </c>
      <c r="K28" s="30">
        <v>2.5000000000000001E-2</v>
      </c>
      <c r="L28" s="19">
        <f t="shared" si="3"/>
        <v>5504.0795081999995</v>
      </c>
      <c r="O28" s="18">
        <v>39493</v>
      </c>
      <c r="P28">
        <v>27.82</v>
      </c>
      <c r="R28" s="18">
        <v>43866</v>
      </c>
      <c r="S28">
        <v>1948.7</v>
      </c>
      <c r="T28">
        <v>1280000</v>
      </c>
      <c r="U28" s="18">
        <v>43866</v>
      </c>
    </row>
    <row r="29" spans="2:21" x14ac:dyDescent="0.35">
      <c r="C29" s="44"/>
      <c r="D29" s="44"/>
      <c r="E29" s="44"/>
      <c r="F29" s="44"/>
      <c r="G29" s="44"/>
      <c r="I29" t="s">
        <v>442</v>
      </c>
      <c r="J29" s="19">
        <v>0.485707</v>
      </c>
      <c r="K29" s="30">
        <v>1.77E-2</v>
      </c>
      <c r="L29" s="19">
        <f t="shared" si="3"/>
        <v>3896.3415540000001</v>
      </c>
      <c r="O29" s="18">
        <v>39496</v>
      </c>
      <c r="P29">
        <v>28.03</v>
      </c>
      <c r="R29" s="18">
        <v>43867</v>
      </c>
      <c r="S29">
        <v>2039.12</v>
      </c>
      <c r="T29">
        <v>3950000</v>
      </c>
      <c r="U29" s="18">
        <v>43867</v>
      </c>
    </row>
    <row r="30" spans="2:21" x14ac:dyDescent="0.35">
      <c r="C30" s="44"/>
      <c r="D30" s="44"/>
      <c r="E30" s="44"/>
      <c r="F30" s="44"/>
      <c r="G30" s="44"/>
      <c r="I30" t="s">
        <v>443</v>
      </c>
      <c r="J30" s="19">
        <v>0.42188700000000001</v>
      </c>
      <c r="K30" s="30">
        <v>1.54E-2</v>
      </c>
      <c r="L30" s="19">
        <f t="shared" si="3"/>
        <v>3384.3775140000002</v>
      </c>
      <c r="O30" s="18">
        <v>39497</v>
      </c>
      <c r="P30">
        <v>28.71</v>
      </c>
      <c r="R30" s="18">
        <v>43868</v>
      </c>
      <c r="S30">
        <v>1973.63</v>
      </c>
      <c r="T30">
        <v>2220000</v>
      </c>
      <c r="U30" s="18">
        <v>43868</v>
      </c>
    </row>
    <row r="31" spans="2:21" x14ac:dyDescent="0.35">
      <c r="C31" s="44"/>
      <c r="D31" s="44"/>
      <c r="E31" s="44"/>
      <c r="F31" s="44"/>
      <c r="G31" s="44"/>
      <c r="I31" t="s">
        <v>444</v>
      </c>
      <c r="J31" s="19">
        <v>0.3671085</v>
      </c>
      <c r="K31" s="30">
        <v>1.34E-2</v>
      </c>
      <c r="L31" s="19">
        <f t="shared" si="3"/>
        <v>2944.944387</v>
      </c>
      <c r="O31" s="18">
        <v>39498</v>
      </c>
      <c r="P31">
        <v>28.54</v>
      </c>
      <c r="R31" s="18">
        <v>43871</v>
      </c>
      <c r="S31">
        <v>1905.72</v>
      </c>
      <c r="T31">
        <v>2440000</v>
      </c>
      <c r="U31" s="18">
        <v>43871</v>
      </c>
    </row>
    <row r="32" spans="2:21" x14ac:dyDescent="0.35">
      <c r="C32" s="44"/>
      <c r="D32" s="44"/>
      <c r="E32" s="44"/>
      <c r="F32" s="44"/>
      <c r="G32" s="44"/>
      <c r="I32" t="s">
        <v>445</v>
      </c>
      <c r="J32" s="19">
        <v>0.32332630000000001</v>
      </c>
      <c r="K32" s="30">
        <v>1.18E-2</v>
      </c>
      <c r="L32" s="19">
        <f t="shared" si="3"/>
        <v>2593.7235786000001</v>
      </c>
      <c r="O32" s="18">
        <v>39499</v>
      </c>
      <c r="P32">
        <v>28.61</v>
      </c>
      <c r="R32" s="18">
        <v>43872</v>
      </c>
      <c r="S32">
        <v>1900.92</v>
      </c>
      <c r="T32">
        <v>1300000</v>
      </c>
      <c r="U32" s="18">
        <v>43872</v>
      </c>
    </row>
    <row r="33" spans="3:21" x14ac:dyDescent="0.35">
      <c r="C33" s="44"/>
      <c r="D33" s="44"/>
      <c r="E33" s="44"/>
      <c r="F33" s="44"/>
      <c r="G33" s="44"/>
      <c r="I33" t="s">
        <v>446</v>
      </c>
      <c r="J33" s="19">
        <v>0.31524099999999999</v>
      </c>
      <c r="K33" s="30">
        <v>1.15E-2</v>
      </c>
      <c r="L33" s="19">
        <f t="shared" si="3"/>
        <v>2528.8633019999997</v>
      </c>
      <c r="O33" s="18">
        <v>39500</v>
      </c>
      <c r="P33">
        <v>28.04</v>
      </c>
      <c r="R33" s="18">
        <v>43873</v>
      </c>
      <c r="S33">
        <v>1927.79</v>
      </c>
      <c r="T33">
        <v>1530000</v>
      </c>
      <c r="U33" s="18">
        <v>43873</v>
      </c>
    </row>
    <row r="34" spans="3:21" x14ac:dyDescent="0.35">
      <c r="C34" s="44"/>
      <c r="D34" s="44"/>
      <c r="E34" s="44"/>
      <c r="F34" s="44"/>
      <c r="G34" s="44"/>
      <c r="I34" t="s">
        <v>447</v>
      </c>
      <c r="J34" s="19">
        <v>0.314994</v>
      </c>
      <c r="K34" s="30">
        <v>1.15E-2</v>
      </c>
      <c r="L34" s="19">
        <f t="shared" si="3"/>
        <v>2526.8818679999999</v>
      </c>
      <c r="O34" s="18">
        <v>39503</v>
      </c>
      <c r="P34">
        <v>28.16</v>
      </c>
      <c r="R34" s="18">
        <v>43874</v>
      </c>
      <c r="S34">
        <v>1935.53</v>
      </c>
      <c r="T34">
        <v>919630</v>
      </c>
      <c r="U34" s="18">
        <v>43874</v>
      </c>
    </row>
    <row r="35" spans="3:21" x14ac:dyDescent="0.35">
      <c r="C35" s="44"/>
      <c r="D35" s="44"/>
      <c r="E35" s="44"/>
      <c r="F35" s="44"/>
      <c r="G35" s="44"/>
      <c r="I35" t="s">
        <v>448</v>
      </c>
      <c r="J35" s="19">
        <v>0.30899720000000003</v>
      </c>
      <c r="K35" s="30">
        <v>1.1299999999999999E-2</v>
      </c>
      <c r="L35" s="19">
        <f t="shared" si="3"/>
        <v>2478.7755384000002</v>
      </c>
      <c r="O35" s="18">
        <v>39504</v>
      </c>
      <c r="P35">
        <v>28.04</v>
      </c>
      <c r="R35" s="18">
        <v>43875</v>
      </c>
      <c r="S35">
        <v>1870.36</v>
      </c>
      <c r="T35">
        <v>2320000</v>
      </c>
      <c r="U35" s="18">
        <v>43875</v>
      </c>
    </row>
    <row r="36" spans="3:21" x14ac:dyDescent="0.35">
      <c r="C36" s="44"/>
      <c r="D36" s="44"/>
      <c r="E36" s="44"/>
      <c r="F36" s="44"/>
      <c r="G36" s="44"/>
      <c r="O36" s="18">
        <v>39505</v>
      </c>
      <c r="P36">
        <v>28.03</v>
      </c>
      <c r="R36" s="18">
        <v>43878</v>
      </c>
      <c r="S36">
        <v>1853.59</v>
      </c>
      <c r="T36">
        <v>1290000</v>
      </c>
      <c r="U36" s="18">
        <v>43878</v>
      </c>
    </row>
    <row r="37" spans="3:21" x14ac:dyDescent="0.35">
      <c r="C37" s="44"/>
      <c r="D37" s="44"/>
      <c r="E37" s="44"/>
      <c r="F37" s="44"/>
      <c r="G37" s="44"/>
      <c r="O37" s="18">
        <v>39506</v>
      </c>
      <c r="P37">
        <v>28.11</v>
      </c>
      <c r="R37" s="18">
        <v>43879</v>
      </c>
      <c r="S37">
        <v>1876.04</v>
      </c>
      <c r="T37">
        <v>1810000</v>
      </c>
      <c r="U37" s="18">
        <v>43879</v>
      </c>
    </row>
    <row r="38" spans="3:21" x14ac:dyDescent="0.35">
      <c r="C38" s="44"/>
      <c r="D38" s="44"/>
      <c r="E38" s="44"/>
      <c r="F38" s="44"/>
      <c r="G38" s="44"/>
      <c r="O38" s="18">
        <v>39507</v>
      </c>
      <c r="P38">
        <v>28.51</v>
      </c>
      <c r="R38" s="18">
        <v>43880</v>
      </c>
      <c r="S38">
        <v>1887.52</v>
      </c>
      <c r="T38">
        <v>1320000</v>
      </c>
      <c r="U38" s="18">
        <v>43880</v>
      </c>
    </row>
    <row r="39" spans="3:21" x14ac:dyDescent="0.35">
      <c r="C39" s="44"/>
      <c r="D39" s="44"/>
      <c r="E39" s="44"/>
      <c r="F39" s="44"/>
      <c r="G39" s="44"/>
      <c r="O39" s="18">
        <v>39510</v>
      </c>
      <c r="P39">
        <v>27.66</v>
      </c>
      <c r="R39" s="18">
        <v>43881</v>
      </c>
      <c r="S39">
        <v>1884.87</v>
      </c>
      <c r="T39">
        <v>1250000</v>
      </c>
      <c r="U39" s="18">
        <v>43881</v>
      </c>
    </row>
    <row r="40" spans="3:21" x14ac:dyDescent="0.35">
      <c r="C40" s="44"/>
      <c r="D40" s="44"/>
      <c r="E40" s="44"/>
      <c r="F40" s="44"/>
      <c r="G40" s="44"/>
      <c r="I40" t="s">
        <v>454</v>
      </c>
      <c r="J40" s="5">
        <v>0.49059999999999998</v>
      </c>
      <c r="O40" s="18">
        <v>39511</v>
      </c>
      <c r="P40">
        <v>29.04</v>
      </c>
      <c r="R40" s="18">
        <v>43885</v>
      </c>
      <c r="S40">
        <v>1794.99</v>
      </c>
      <c r="T40">
        <v>1930000</v>
      </c>
      <c r="U40" s="18">
        <v>43885</v>
      </c>
    </row>
    <row r="41" spans="3:21" x14ac:dyDescent="0.35">
      <c r="C41" s="44"/>
      <c r="D41" s="44"/>
      <c r="E41" s="44"/>
      <c r="F41" s="44"/>
      <c r="G41" s="44"/>
      <c r="I41" t="s">
        <v>455</v>
      </c>
      <c r="J41" s="5">
        <v>0.27010000000000001</v>
      </c>
      <c r="O41" s="18">
        <v>39512</v>
      </c>
      <c r="P41">
        <v>27.84</v>
      </c>
      <c r="R41" s="18">
        <v>43886</v>
      </c>
      <c r="S41">
        <v>1753.23</v>
      </c>
      <c r="T41">
        <v>2570000</v>
      </c>
      <c r="U41" s="18">
        <v>43886</v>
      </c>
    </row>
    <row r="42" spans="3:21" x14ac:dyDescent="0.35">
      <c r="C42" s="44"/>
      <c r="D42" s="44"/>
      <c r="E42" s="44"/>
      <c r="F42" s="44"/>
      <c r="G42" s="44"/>
      <c r="I42" t="s">
        <v>456</v>
      </c>
      <c r="J42" s="5">
        <v>0.1464</v>
      </c>
      <c r="O42" s="18">
        <v>39514</v>
      </c>
      <c r="P42">
        <v>27.16</v>
      </c>
      <c r="R42" s="18">
        <v>43887</v>
      </c>
      <c r="S42">
        <v>1715.69</v>
      </c>
      <c r="T42">
        <v>2150000</v>
      </c>
      <c r="U42" s="18">
        <v>43887</v>
      </c>
    </row>
    <row r="43" spans="3:21" x14ac:dyDescent="0.35">
      <c r="C43" s="44"/>
      <c r="D43" s="44"/>
      <c r="E43" s="44"/>
      <c r="F43" s="44"/>
      <c r="G43" s="44"/>
      <c r="I43" t="s">
        <v>453</v>
      </c>
      <c r="J43" s="5">
        <v>9.1899999999999996E-2</v>
      </c>
      <c r="O43" s="18">
        <v>39517</v>
      </c>
      <c r="P43">
        <v>27.14</v>
      </c>
      <c r="R43" s="18">
        <v>43888</v>
      </c>
      <c r="S43">
        <v>1705.34</v>
      </c>
      <c r="T43">
        <v>2550000</v>
      </c>
      <c r="U43" s="18">
        <v>43888</v>
      </c>
    </row>
    <row r="44" spans="3:21" x14ac:dyDescent="0.35">
      <c r="C44" s="44"/>
      <c r="D44" s="44"/>
      <c r="E44" s="44"/>
      <c r="F44" s="44"/>
      <c r="G44" s="44"/>
      <c r="I44" t="s">
        <v>452</v>
      </c>
      <c r="J44" s="5">
        <v>1E-3</v>
      </c>
      <c r="O44" s="18">
        <v>39518</v>
      </c>
      <c r="P44">
        <v>27.02</v>
      </c>
      <c r="R44" s="18">
        <v>43889</v>
      </c>
      <c r="S44">
        <v>1660.23</v>
      </c>
      <c r="T44">
        <v>3260000</v>
      </c>
      <c r="U44" s="18">
        <v>43889</v>
      </c>
    </row>
    <row r="45" spans="3:21" x14ac:dyDescent="0.35">
      <c r="C45" s="44"/>
      <c r="D45" s="44"/>
      <c r="E45" s="44"/>
      <c r="F45" s="44"/>
      <c r="G45" s="44"/>
      <c r="O45" s="18">
        <v>39519</v>
      </c>
      <c r="P45">
        <v>26.19</v>
      </c>
      <c r="R45" s="18">
        <v>43892</v>
      </c>
      <c r="S45">
        <v>1701.34</v>
      </c>
      <c r="T45">
        <v>3480000</v>
      </c>
      <c r="U45" s="18">
        <v>43892</v>
      </c>
    </row>
    <row r="46" spans="3:21" x14ac:dyDescent="0.35">
      <c r="C46" s="44"/>
      <c r="D46" s="44"/>
      <c r="E46" s="44"/>
      <c r="F46" s="44"/>
      <c r="G46" s="44"/>
      <c r="O46" s="18">
        <v>39520</v>
      </c>
      <c r="P46">
        <v>26.44</v>
      </c>
      <c r="R46" s="18">
        <v>43893</v>
      </c>
      <c r="S46">
        <v>1788.85</v>
      </c>
      <c r="T46">
        <v>2750000</v>
      </c>
      <c r="U46" s="18">
        <v>43893</v>
      </c>
    </row>
    <row r="47" spans="3:21" x14ac:dyDescent="0.35">
      <c r="O47" s="18">
        <v>39521</v>
      </c>
      <c r="P47">
        <v>26</v>
      </c>
      <c r="R47" s="18">
        <v>43894</v>
      </c>
      <c r="S47">
        <v>1725.42</v>
      </c>
      <c r="T47">
        <v>4190000.0000000005</v>
      </c>
      <c r="U47" s="18">
        <v>43894</v>
      </c>
    </row>
    <row r="48" spans="3:21" x14ac:dyDescent="0.35">
      <c r="O48" s="18">
        <v>39524</v>
      </c>
      <c r="P48">
        <v>24.02</v>
      </c>
      <c r="R48" s="18">
        <v>43895</v>
      </c>
      <c r="S48">
        <v>1777.54</v>
      </c>
      <c r="T48">
        <v>2310000</v>
      </c>
      <c r="U48" s="18">
        <v>43895</v>
      </c>
    </row>
    <row r="49" spans="3:21" x14ac:dyDescent="0.35">
      <c r="O49" s="18">
        <v>39525</v>
      </c>
      <c r="P49">
        <v>24.53</v>
      </c>
      <c r="R49" s="18">
        <v>43896</v>
      </c>
      <c r="S49">
        <v>1774.36</v>
      </c>
      <c r="T49">
        <v>1710000</v>
      </c>
      <c r="U49" s="18">
        <v>43896</v>
      </c>
    </row>
    <row r="50" spans="3:21" x14ac:dyDescent="0.35">
      <c r="C50" t="s">
        <v>463</v>
      </c>
      <c r="O50" s="18">
        <v>39526</v>
      </c>
      <c r="P50">
        <v>25.51</v>
      </c>
      <c r="R50" s="18">
        <v>43899</v>
      </c>
      <c r="S50">
        <v>1788.58</v>
      </c>
      <c r="T50">
        <v>1930000</v>
      </c>
      <c r="U50" s="18">
        <v>43899</v>
      </c>
    </row>
    <row r="51" spans="3:21" x14ac:dyDescent="0.35">
      <c r="C51" t="s">
        <v>464</v>
      </c>
      <c r="O51" s="18">
        <v>39531</v>
      </c>
      <c r="P51">
        <v>23.54</v>
      </c>
      <c r="R51" s="18">
        <v>43901</v>
      </c>
      <c r="S51">
        <v>1775.36</v>
      </c>
      <c r="T51">
        <v>2220000</v>
      </c>
      <c r="U51" s="18">
        <v>43901</v>
      </c>
    </row>
    <row r="52" spans="3:21" x14ac:dyDescent="0.35">
      <c r="C52" t="s">
        <v>465</v>
      </c>
      <c r="O52" s="18">
        <v>39532</v>
      </c>
      <c r="P52">
        <v>24.19</v>
      </c>
      <c r="R52" s="18">
        <v>43902</v>
      </c>
      <c r="S52">
        <v>1687.78</v>
      </c>
      <c r="T52">
        <v>3640000</v>
      </c>
      <c r="U52" s="18">
        <v>43902</v>
      </c>
    </row>
    <row r="53" spans="3:21" x14ac:dyDescent="0.35">
      <c r="C53" t="s">
        <v>466</v>
      </c>
      <c r="O53" s="18">
        <v>39533</v>
      </c>
      <c r="P53">
        <v>24.16</v>
      </c>
      <c r="R53" s="18">
        <v>43903</v>
      </c>
      <c r="S53">
        <v>1767.21</v>
      </c>
      <c r="T53">
        <v>2790000</v>
      </c>
      <c r="U53" s="18">
        <v>43903</v>
      </c>
    </row>
    <row r="54" spans="3:21" x14ac:dyDescent="0.35">
      <c r="C54" t="s">
        <v>467</v>
      </c>
      <c r="O54" s="18">
        <v>39534</v>
      </c>
      <c r="P54">
        <v>23.78</v>
      </c>
      <c r="R54" s="18">
        <v>43906</v>
      </c>
      <c r="S54">
        <v>1649.37</v>
      </c>
      <c r="T54">
        <v>1920000</v>
      </c>
      <c r="U54" s="18">
        <v>43906</v>
      </c>
    </row>
    <row r="55" spans="3:21" x14ac:dyDescent="0.35">
      <c r="C55" t="s">
        <v>468</v>
      </c>
      <c r="O55" s="18">
        <v>39535</v>
      </c>
      <c r="P55">
        <v>24.18</v>
      </c>
      <c r="R55" s="18">
        <v>43907</v>
      </c>
      <c r="S55">
        <v>1706.11</v>
      </c>
      <c r="T55">
        <v>1680000</v>
      </c>
      <c r="U55" s="18">
        <v>43907</v>
      </c>
    </row>
    <row r="56" spans="3:21" x14ac:dyDescent="0.35">
      <c r="C56" t="s">
        <v>469</v>
      </c>
      <c r="O56" s="18">
        <v>39538</v>
      </c>
      <c r="P56">
        <v>24.99</v>
      </c>
      <c r="R56" s="18">
        <v>43908</v>
      </c>
      <c r="S56">
        <v>1595.41</v>
      </c>
      <c r="T56">
        <v>1590000</v>
      </c>
      <c r="U56" s="18">
        <v>43908</v>
      </c>
    </row>
    <row r="57" spans="3:21" x14ac:dyDescent="0.35">
      <c r="C57" t="s">
        <v>470</v>
      </c>
      <c r="O57" s="18">
        <v>39539</v>
      </c>
      <c r="P57">
        <v>24.91</v>
      </c>
      <c r="R57" s="18">
        <v>43909</v>
      </c>
      <c r="S57">
        <v>1504.64</v>
      </c>
      <c r="T57">
        <v>1610000</v>
      </c>
      <c r="U57" s="18">
        <v>43909</v>
      </c>
    </row>
    <row r="58" spans="3:21" x14ac:dyDescent="0.35">
      <c r="C58" t="s">
        <v>471</v>
      </c>
      <c r="O58" s="18">
        <v>39540</v>
      </c>
      <c r="P58">
        <v>24.95</v>
      </c>
      <c r="R58" s="18">
        <v>43910</v>
      </c>
      <c r="S58">
        <v>1567.85</v>
      </c>
      <c r="T58">
        <v>2110000</v>
      </c>
      <c r="U58" s="18">
        <v>43910</v>
      </c>
    </row>
    <row r="59" spans="3:21" x14ac:dyDescent="0.35">
      <c r="C59" t="s">
        <v>472</v>
      </c>
      <c r="O59" s="18">
        <v>39541</v>
      </c>
      <c r="P59">
        <v>24.71</v>
      </c>
      <c r="R59" s="18">
        <v>43913</v>
      </c>
      <c r="S59">
        <v>1370.59</v>
      </c>
      <c r="T59">
        <v>1440000</v>
      </c>
      <c r="U59" s="18">
        <v>43913</v>
      </c>
    </row>
    <row r="60" spans="3:21" x14ac:dyDescent="0.35">
      <c r="C60" t="s">
        <v>473</v>
      </c>
      <c r="O60" s="18">
        <v>39542</v>
      </c>
      <c r="P60">
        <v>24.41</v>
      </c>
      <c r="R60" s="18">
        <v>43914</v>
      </c>
      <c r="S60">
        <v>1420.85</v>
      </c>
      <c r="T60">
        <v>1130000</v>
      </c>
      <c r="U60" s="18">
        <v>43914</v>
      </c>
    </row>
    <row r="61" spans="3:21" x14ac:dyDescent="0.35">
      <c r="O61" s="18">
        <v>39545</v>
      </c>
      <c r="P61">
        <v>24.5</v>
      </c>
      <c r="R61" s="18">
        <v>43915</v>
      </c>
      <c r="S61">
        <v>1451.66</v>
      </c>
      <c r="T61">
        <v>761180</v>
      </c>
      <c r="U61" s="18">
        <v>43915</v>
      </c>
    </row>
    <row r="62" spans="3:21" x14ac:dyDescent="0.35">
      <c r="O62" s="18">
        <v>39546</v>
      </c>
      <c r="P62">
        <v>24.61</v>
      </c>
      <c r="R62" s="18">
        <v>43916</v>
      </c>
      <c r="S62">
        <v>1475.8</v>
      </c>
      <c r="T62">
        <v>2049999.9999999998</v>
      </c>
      <c r="U62" s="18">
        <v>43916</v>
      </c>
    </row>
    <row r="63" spans="3:21" x14ac:dyDescent="0.35">
      <c r="O63" s="18">
        <v>39547</v>
      </c>
      <c r="P63">
        <v>24.5</v>
      </c>
      <c r="R63" s="18">
        <v>43917</v>
      </c>
      <c r="S63">
        <v>1431.98</v>
      </c>
      <c r="T63">
        <v>1110000</v>
      </c>
      <c r="U63" s="18">
        <v>43917</v>
      </c>
    </row>
    <row r="64" spans="3:21" x14ac:dyDescent="0.35">
      <c r="O64" s="18">
        <v>39548</v>
      </c>
      <c r="P64">
        <v>25.84</v>
      </c>
      <c r="R64" s="18">
        <v>43920</v>
      </c>
      <c r="S64">
        <v>1333.31</v>
      </c>
      <c r="T64">
        <v>2260000</v>
      </c>
      <c r="U64" s="18">
        <v>43920</v>
      </c>
    </row>
    <row r="65" spans="15:21" x14ac:dyDescent="0.35">
      <c r="O65" s="18">
        <v>39549</v>
      </c>
      <c r="P65">
        <v>26.55</v>
      </c>
      <c r="R65" s="18">
        <v>43921</v>
      </c>
      <c r="S65">
        <v>1309.5899999999999</v>
      </c>
      <c r="T65">
        <v>1670000</v>
      </c>
      <c r="U65" s="18">
        <v>43921</v>
      </c>
    </row>
    <row r="66" spans="15:21" x14ac:dyDescent="0.35">
      <c r="O66" s="18">
        <v>39553</v>
      </c>
      <c r="P66">
        <v>27</v>
      </c>
      <c r="R66" s="18">
        <v>43922</v>
      </c>
      <c r="S66">
        <v>1300.1600000000001</v>
      </c>
      <c r="T66">
        <v>1390000</v>
      </c>
      <c r="U66" s="18">
        <v>43922</v>
      </c>
    </row>
    <row r="67" spans="15:21" x14ac:dyDescent="0.35">
      <c r="O67" s="18">
        <v>39554</v>
      </c>
      <c r="P67">
        <v>27.39</v>
      </c>
      <c r="R67" s="18">
        <v>43924</v>
      </c>
      <c r="S67">
        <v>1268.01</v>
      </c>
      <c r="T67">
        <v>1810000</v>
      </c>
      <c r="U67" s="18">
        <v>43924</v>
      </c>
    </row>
    <row r="68" spans="15:21" x14ac:dyDescent="0.35">
      <c r="O68" s="18">
        <v>39555</v>
      </c>
      <c r="P68">
        <v>28.07</v>
      </c>
      <c r="R68" s="18">
        <v>43928</v>
      </c>
      <c r="S68">
        <v>1309.6099999999999</v>
      </c>
      <c r="T68">
        <v>2410000</v>
      </c>
      <c r="U68" s="18">
        <v>43928</v>
      </c>
    </row>
    <row r="69" spans="15:21" x14ac:dyDescent="0.35">
      <c r="O69" s="18">
        <v>39559</v>
      </c>
      <c r="P69">
        <v>27.7</v>
      </c>
      <c r="R69" s="18">
        <v>43929</v>
      </c>
      <c r="S69">
        <v>1315.85</v>
      </c>
      <c r="T69">
        <v>2800000</v>
      </c>
      <c r="U69" s="18">
        <v>43929</v>
      </c>
    </row>
    <row r="70" spans="15:21" x14ac:dyDescent="0.35">
      <c r="O70" s="18">
        <v>39560</v>
      </c>
      <c r="P70">
        <v>27.75</v>
      </c>
      <c r="R70" s="18">
        <v>43930</v>
      </c>
      <c r="S70">
        <v>1374.23</v>
      </c>
      <c r="T70">
        <v>3620000</v>
      </c>
      <c r="U70" s="18">
        <v>43930</v>
      </c>
    </row>
    <row r="71" spans="15:21" x14ac:dyDescent="0.35">
      <c r="O71" s="18">
        <v>39561</v>
      </c>
      <c r="P71">
        <v>27.36</v>
      </c>
      <c r="R71" s="18">
        <v>43934</v>
      </c>
      <c r="S71">
        <v>1340.06</v>
      </c>
      <c r="T71">
        <v>1270000</v>
      </c>
      <c r="U71" s="18">
        <v>43934</v>
      </c>
    </row>
    <row r="72" spans="15:21" x14ac:dyDescent="0.35">
      <c r="O72" s="18">
        <v>39562</v>
      </c>
      <c r="P72">
        <v>27.52</v>
      </c>
      <c r="R72" s="18">
        <v>43936</v>
      </c>
      <c r="S72">
        <v>1331.49</v>
      </c>
      <c r="T72">
        <v>2760000</v>
      </c>
      <c r="U72" s="18">
        <v>43936</v>
      </c>
    </row>
    <row r="73" spans="15:21" x14ac:dyDescent="0.35">
      <c r="O73" s="18">
        <v>39563</v>
      </c>
      <c r="P73">
        <v>27.57</v>
      </c>
      <c r="R73" s="18">
        <v>43937</v>
      </c>
      <c r="S73">
        <v>1337.13</v>
      </c>
      <c r="T73">
        <v>2500000</v>
      </c>
      <c r="U73" s="18">
        <v>43937</v>
      </c>
    </row>
    <row r="74" spans="15:21" x14ac:dyDescent="0.35">
      <c r="O74" s="18">
        <v>39566</v>
      </c>
      <c r="P74">
        <v>27.83</v>
      </c>
      <c r="R74" s="18">
        <v>43938</v>
      </c>
      <c r="S74">
        <v>1477.04</v>
      </c>
      <c r="T74">
        <v>5660000</v>
      </c>
      <c r="U74" s="18">
        <v>43938</v>
      </c>
    </row>
    <row r="75" spans="15:21" x14ac:dyDescent="0.35">
      <c r="O75" s="18">
        <v>39567</v>
      </c>
      <c r="P75">
        <v>27.62</v>
      </c>
      <c r="R75" s="18">
        <v>43941</v>
      </c>
      <c r="S75">
        <v>1421.44</v>
      </c>
      <c r="T75">
        <v>3000000</v>
      </c>
      <c r="U75" s="18">
        <v>43941</v>
      </c>
    </row>
    <row r="76" spans="15:21" x14ac:dyDescent="0.35">
      <c r="O76" s="18">
        <v>39568</v>
      </c>
      <c r="P76">
        <v>27.5</v>
      </c>
      <c r="R76" s="18">
        <v>43942</v>
      </c>
      <c r="S76">
        <v>1349.5</v>
      </c>
      <c r="T76">
        <v>1660000</v>
      </c>
      <c r="U76" s="18">
        <v>43942</v>
      </c>
    </row>
    <row r="77" spans="15:21" x14ac:dyDescent="0.35">
      <c r="O77" s="18">
        <v>39570</v>
      </c>
      <c r="P77">
        <v>29.55</v>
      </c>
      <c r="R77" s="18">
        <v>43943</v>
      </c>
      <c r="S77">
        <v>1370.33</v>
      </c>
      <c r="T77">
        <v>2770000</v>
      </c>
      <c r="U77" s="18">
        <v>43943</v>
      </c>
    </row>
    <row r="78" spans="15:21" x14ac:dyDescent="0.35">
      <c r="O78" s="18">
        <v>39573</v>
      </c>
      <c r="P78">
        <v>29.41</v>
      </c>
      <c r="R78" s="18">
        <v>43944</v>
      </c>
      <c r="S78">
        <v>1406.84</v>
      </c>
      <c r="T78">
        <v>2069999.9999999998</v>
      </c>
      <c r="U78" s="18">
        <v>43944</v>
      </c>
    </row>
    <row r="79" spans="15:21" x14ac:dyDescent="0.35">
      <c r="O79" s="18">
        <v>39574</v>
      </c>
      <c r="P79">
        <v>29.11</v>
      </c>
      <c r="R79" s="18">
        <v>43945</v>
      </c>
      <c r="S79">
        <v>1358.92</v>
      </c>
      <c r="T79">
        <v>1800000</v>
      </c>
      <c r="U79" s="18">
        <v>43945</v>
      </c>
    </row>
    <row r="80" spans="15:21" x14ac:dyDescent="0.35">
      <c r="O80" s="18">
        <v>39575</v>
      </c>
      <c r="P80">
        <v>30.2</v>
      </c>
      <c r="R80" s="18">
        <v>43948</v>
      </c>
      <c r="S80">
        <v>1399.95</v>
      </c>
      <c r="T80">
        <v>1840000</v>
      </c>
      <c r="U80" s="18">
        <v>43948</v>
      </c>
    </row>
    <row r="81" spans="15:21" x14ac:dyDescent="0.35">
      <c r="O81" s="18">
        <v>39576</v>
      </c>
      <c r="P81">
        <v>31.02</v>
      </c>
      <c r="R81" s="18">
        <v>43949</v>
      </c>
      <c r="S81">
        <v>1432.68</v>
      </c>
      <c r="T81">
        <v>1850000</v>
      </c>
      <c r="U81" s="18">
        <v>43949</v>
      </c>
    </row>
    <row r="82" spans="15:21" x14ac:dyDescent="0.35">
      <c r="O82" s="18">
        <v>39577</v>
      </c>
      <c r="P82">
        <v>29.96</v>
      </c>
      <c r="R82" s="18">
        <v>43950</v>
      </c>
      <c r="S82">
        <v>1431.58</v>
      </c>
      <c r="T82">
        <v>1480000</v>
      </c>
      <c r="U82" s="18">
        <v>43950</v>
      </c>
    </row>
    <row r="83" spans="15:21" x14ac:dyDescent="0.35">
      <c r="O83" s="18">
        <v>39580</v>
      </c>
      <c r="P83">
        <v>30.11</v>
      </c>
      <c r="R83" s="18">
        <v>43951</v>
      </c>
      <c r="S83">
        <v>1470.8</v>
      </c>
      <c r="T83">
        <v>3470000</v>
      </c>
      <c r="U83" s="18">
        <v>43951</v>
      </c>
    </row>
    <row r="84" spans="15:21" x14ac:dyDescent="0.35">
      <c r="O84" s="18">
        <v>39581</v>
      </c>
      <c r="P84">
        <v>29.64</v>
      </c>
      <c r="R84" s="18">
        <v>43955</v>
      </c>
      <c r="S84">
        <v>1374.88</v>
      </c>
      <c r="T84">
        <v>1920000</v>
      </c>
      <c r="U84" s="18">
        <v>43955</v>
      </c>
    </row>
    <row r="85" spans="15:21" x14ac:dyDescent="0.35">
      <c r="O85" s="18">
        <v>39582</v>
      </c>
      <c r="P85">
        <v>29.48</v>
      </c>
      <c r="R85" s="18">
        <v>43956</v>
      </c>
      <c r="S85">
        <v>1381.1</v>
      </c>
      <c r="T85">
        <v>1520000</v>
      </c>
      <c r="U85" s="18">
        <v>43956</v>
      </c>
    </row>
    <row r="86" spans="15:21" x14ac:dyDescent="0.35">
      <c r="O86" s="18">
        <v>39583</v>
      </c>
      <c r="P86">
        <v>29.82</v>
      </c>
      <c r="R86" s="18">
        <v>43957</v>
      </c>
      <c r="S86">
        <v>1385.99</v>
      </c>
      <c r="T86">
        <v>1870000</v>
      </c>
      <c r="U86" s="18">
        <v>43957</v>
      </c>
    </row>
    <row r="87" spans="15:21" x14ac:dyDescent="0.35">
      <c r="O87" s="18">
        <v>39584</v>
      </c>
      <c r="P87">
        <v>32.06</v>
      </c>
      <c r="R87" s="18">
        <v>43958</v>
      </c>
      <c r="S87">
        <v>1401.05</v>
      </c>
      <c r="T87">
        <v>1270000</v>
      </c>
      <c r="U87" s="18">
        <v>43958</v>
      </c>
    </row>
    <row r="88" spans="15:21" x14ac:dyDescent="0.35">
      <c r="O88" s="18">
        <v>39588</v>
      </c>
      <c r="P88">
        <v>33.86</v>
      </c>
      <c r="R88" s="18">
        <v>43959</v>
      </c>
      <c r="S88">
        <v>1385.88</v>
      </c>
      <c r="T88">
        <v>1640000</v>
      </c>
      <c r="U88" s="18">
        <v>43959</v>
      </c>
    </row>
    <row r="89" spans="15:21" x14ac:dyDescent="0.35">
      <c r="O89" s="18">
        <v>39589</v>
      </c>
      <c r="P89">
        <v>34.049999999999997</v>
      </c>
      <c r="R89" s="18">
        <v>43962</v>
      </c>
      <c r="S89">
        <v>1428.89</v>
      </c>
      <c r="T89">
        <v>1960000</v>
      </c>
      <c r="U89" s="18">
        <v>43962</v>
      </c>
    </row>
    <row r="90" spans="15:21" x14ac:dyDescent="0.35">
      <c r="O90" s="18">
        <v>39590</v>
      </c>
      <c r="P90">
        <v>32.92</v>
      </c>
      <c r="R90" s="18">
        <v>43963</v>
      </c>
      <c r="S90">
        <v>1416.7</v>
      </c>
      <c r="T90">
        <v>1480000</v>
      </c>
      <c r="U90" s="18">
        <v>43963</v>
      </c>
    </row>
    <row r="91" spans="15:21" x14ac:dyDescent="0.35">
      <c r="O91" s="18">
        <v>39591</v>
      </c>
      <c r="P91">
        <v>32.15</v>
      </c>
      <c r="R91" s="18">
        <v>43964</v>
      </c>
      <c r="S91">
        <v>1427.16</v>
      </c>
      <c r="T91">
        <v>2530000</v>
      </c>
      <c r="U91" s="18">
        <v>43964</v>
      </c>
    </row>
    <row r="92" spans="15:21" x14ac:dyDescent="0.35">
      <c r="O92" s="18">
        <v>39594</v>
      </c>
      <c r="P92">
        <v>37.979999999999997</v>
      </c>
      <c r="R92" s="18">
        <v>43965</v>
      </c>
      <c r="S92">
        <v>1403.18</v>
      </c>
      <c r="T92">
        <v>1480000</v>
      </c>
      <c r="U92" s="18">
        <v>43965</v>
      </c>
    </row>
    <row r="93" spans="15:21" x14ac:dyDescent="0.35">
      <c r="O93" s="18">
        <v>39595</v>
      </c>
      <c r="P93">
        <v>35.799999999999997</v>
      </c>
      <c r="R93" s="18">
        <v>43966</v>
      </c>
      <c r="S93">
        <v>1409.96</v>
      </c>
      <c r="T93">
        <v>2350000</v>
      </c>
      <c r="U93" s="18">
        <v>43966</v>
      </c>
    </row>
    <row r="94" spans="15:21" x14ac:dyDescent="0.35">
      <c r="O94" s="18">
        <v>39596</v>
      </c>
      <c r="P94">
        <v>34.65</v>
      </c>
      <c r="R94" s="18">
        <v>43969</v>
      </c>
      <c r="S94">
        <v>1298.82</v>
      </c>
      <c r="T94">
        <v>2750000</v>
      </c>
      <c r="U94" s="18">
        <v>43969</v>
      </c>
    </row>
    <row r="95" spans="15:21" x14ac:dyDescent="0.35">
      <c r="O95" s="18">
        <v>39597</v>
      </c>
      <c r="P95">
        <v>31.68</v>
      </c>
      <c r="R95" s="18">
        <v>43970</v>
      </c>
      <c r="S95">
        <v>1296.6199999999999</v>
      </c>
      <c r="T95">
        <v>2510000</v>
      </c>
      <c r="U95" s="18">
        <v>43970</v>
      </c>
    </row>
    <row r="96" spans="15:21" x14ac:dyDescent="0.35">
      <c r="O96" s="18">
        <v>39598</v>
      </c>
      <c r="P96">
        <v>30.11</v>
      </c>
      <c r="R96" s="18">
        <v>43971</v>
      </c>
      <c r="S96">
        <v>1367.51</v>
      </c>
      <c r="T96">
        <v>2670000</v>
      </c>
      <c r="U96" s="18">
        <v>43971</v>
      </c>
    </row>
    <row r="97" spans="15:21" x14ac:dyDescent="0.35">
      <c r="O97" s="18">
        <v>39601</v>
      </c>
      <c r="P97">
        <v>29.73</v>
      </c>
      <c r="R97" s="18">
        <v>43972</v>
      </c>
      <c r="S97">
        <v>1408.76</v>
      </c>
      <c r="T97">
        <v>3220000</v>
      </c>
      <c r="U97" s="18">
        <v>43972</v>
      </c>
    </row>
    <row r="98" spans="15:21" x14ac:dyDescent="0.35">
      <c r="O98" s="18">
        <v>39602</v>
      </c>
      <c r="P98">
        <v>28.57</v>
      </c>
      <c r="R98" s="18">
        <v>43973</v>
      </c>
      <c r="S98">
        <v>1392.24</v>
      </c>
      <c r="T98">
        <v>1840000</v>
      </c>
      <c r="U98" s="18">
        <v>43973</v>
      </c>
    </row>
    <row r="99" spans="15:21" x14ac:dyDescent="0.35">
      <c r="O99" s="18">
        <v>39603</v>
      </c>
      <c r="P99">
        <v>27.55</v>
      </c>
      <c r="R99" s="18">
        <v>43977</v>
      </c>
      <c r="S99">
        <v>1480.51</v>
      </c>
      <c r="T99">
        <v>3190000</v>
      </c>
      <c r="U99" s="18">
        <v>43977</v>
      </c>
    </row>
    <row r="100" spans="15:21" x14ac:dyDescent="0.35">
      <c r="O100" s="18">
        <v>39604</v>
      </c>
      <c r="P100">
        <v>28.17</v>
      </c>
      <c r="R100" s="18">
        <v>43978</v>
      </c>
      <c r="S100">
        <v>1496.69</v>
      </c>
      <c r="T100">
        <v>3020000</v>
      </c>
      <c r="U100" s="18">
        <v>43978</v>
      </c>
    </row>
    <row r="101" spans="15:21" x14ac:dyDescent="0.35">
      <c r="O101" s="18">
        <v>39605</v>
      </c>
      <c r="P101">
        <v>27.52</v>
      </c>
      <c r="R101" s="18">
        <v>43979</v>
      </c>
      <c r="S101">
        <v>1623.65</v>
      </c>
      <c r="T101">
        <v>8150000</v>
      </c>
      <c r="U101" s="18">
        <v>43979</v>
      </c>
    </row>
    <row r="102" spans="15:21" x14ac:dyDescent="0.35">
      <c r="O102" s="18">
        <v>39608</v>
      </c>
      <c r="P102">
        <v>27.09</v>
      </c>
      <c r="R102" s="18">
        <v>43980</v>
      </c>
      <c r="S102">
        <v>1654.85</v>
      </c>
      <c r="T102">
        <v>8500000</v>
      </c>
      <c r="U102" s="18">
        <v>43980</v>
      </c>
    </row>
    <row r="103" spans="15:21" x14ac:dyDescent="0.35">
      <c r="O103" s="18">
        <v>39609</v>
      </c>
      <c r="P103">
        <v>28.11</v>
      </c>
      <c r="R103" s="18">
        <v>43983</v>
      </c>
      <c r="S103">
        <v>1698.58</v>
      </c>
      <c r="T103">
        <v>4640000</v>
      </c>
      <c r="U103" s="18">
        <v>43983</v>
      </c>
    </row>
    <row r="104" spans="15:21" x14ac:dyDescent="0.35">
      <c r="O104" s="18">
        <v>39610</v>
      </c>
      <c r="P104">
        <v>27.75</v>
      </c>
      <c r="R104" s="18">
        <v>43984</v>
      </c>
      <c r="S104">
        <v>1739.62</v>
      </c>
      <c r="T104">
        <v>3970000</v>
      </c>
      <c r="U104" s="18">
        <v>43984</v>
      </c>
    </row>
    <row r="105" spans="15:21" x14ac:dyDescent="0.35">
      <c r="O105" s="18">
        <v>39611</v>
      </c>
      <c r="P105">
        <v>27.5</v>
      </c>
      <c r="R105" s="18">
        <v>43985</v>
      </c>
      <c r="S105">
        <v>1754.29</v>
      </c>
      <c r="T105">
        <v>2850000</v>
      </c>
      <c r="U105" s="18">
        <v>43985</v>
      </c>
    </row>
    <row r="106" spans="15:21" x14ac:dyDescent="0.35">
      <c r="O106" s="18">
        <v>39612</v>
      </c>
      <c r="P106">
        <v>27.96</v>
      </c>
      <c r="R106" s="18">
        <v>43986</v>
      </c>
      <c r="S106">
        <v>1727.3</v>
      </c>
      <c r="T106">
        <v>3040000</v>
      </c>
      <c r="U106" s="18">
        <v>43986</v>
      </c>
    </row>
    <row r="107" spans="15:21" x14ac:dyDescent="0.35">
      <c r="O107" s="18">
        <v>39615</v>
      </c>
      <c r="P107">
        <v>27.66</v>
      </c>
      <c r="R107" s="18">
        <v>43987</v>
      </c>
      <c r="S107">
        <v>1749.54</v>
      </c>
      <c r="T107">
        <v>1950000</v>
      </c>
      <c r="U107" s="18">
        <v>43987</v>
      </c>
    </row>
    <row r="108" spans="15:21" x14ac:dyDescent="0.35">
      <c r="O108" s="18">
        <v>39616</v>
      </c>
      <c r="P108">
        <v>27.57</v>
      </c>
      <c r="R108" s="18">
        <v>43990</v>
      </c>
      <c r="S108">
        <v>1689.48</v>
      </c>
      <c r="T108">
        <v>2740000</v>
      </c>
      <c r="U108" s="18">
        <v>43990</v>
      </c>
    </row>
    <row r="109" spans="15:21" x14ac:dyDescent="0.35">
      <c r="O109" s="18">
        <v>39617</v>
      </c>
      <c r="P109">
        <v>28.88</v>
      </c>
      <c r="R109" s="18">
        <v>43991</v>
      </c>
      <c r="S109">
        <v>1702.68</v>
      </c>
      <c r="T109">
        <v>3250000</v>
      </c>
      <c r="U109" s="18">
        <v>43991</v>
      </c>
    </row>
    <row r="110" spans="15:21" x14ac:dyDescent="0.35">
      <c r="O110" s="18">
        <v>39618</v>
      </c>
      <c r="P110">
        <v>29.25</v>
      </c>
      <c r="R110" s="18">
        <v>43992</v>
      </c>
      <c r="S110">
        <v>1709.01</v>
      </c>
      <c r="T110">
        <v>1630000</v>
      </c>
      <c r="U110" s="18">
        <v>43992</v>
      </c>
    </row>
    <row r="111" spans="15:21" x14ac:dyDescent="0.35">
      <c r="O111" s="18">
        <v>39619</v>
      </c>
      <c r="P111">
        <v>28.56</v>
      </c>
      <c r="R111" s="18">
        <v>43993</v>
      </c>
      <c r="S111">
        <v>1644.28</v>
      </c>
      <c r="T111">
        <v>2190000</v>
      </c>
      <c r="U111" s="18">
        <v>43993</v>
      </c>
    </row>
    <row r="112" spans="15:21" x14ac:dyDescent="0.35">
      <c r="O112" s="18">
        <v>39622</v>
      </c>
      <c r="P112">
        <v>27.53</v>
      </c>
      <c r="R112" s="18">
        <v>43994</v>
      </c>
      <c r="S112">
        <v>1685.73</v>
      </c>
      <c r="T112">
        <v>3800000</v>
      </c>
      <c r="U112" s="18">
        <v>43994</v>
      </c>
    </row>
    <row r="113" spans="15:21" x14ac:dyDescent="0.35">
      <c r="O113" s="18">
        <v>39623</v>
      </c>
      <c r="P113">
        <v>27.51</v>
      </c>
      <c r="R113" s="18">
        <v>43997</v>
      </c>
      <c r="S113">
        <v>1648.19</v>
      </c>
      <c r="T113">
        <v>5370000</v>
      </c>
      <c r="U113" s="18">
        <v>43997</v>
      </c>
    </row>
    <row r="114" spans="15:21" x14ac:dyDescent="0.35">
      <c r="O114" s="18">
        <v>39624</v>
      </c>
      <c r="P114">
        <v>27.82</v>
      </c>
      <c r="R114" s="18">
        <v>43998</v>
      </c>
      <c r="S114">
        <v>1670.9</v>
      </c>
      <c r="T114">
        <v>3580000</v>
      </c>
      <c r="U114" s="18">
        <v>43998</v>
      </c>
    </row>
    <row r="115" spans="15:21" x14ac:dyDescent="0.35">
      <c r="O115" s="18">
        <v>39625</v>
      </c>
      <c r="P115">
        <v>28.66</v>
      </c>
      <c r="R115" s="18">
        <v>43999</v>
      </c>
      <c r="S115">
        <v>1679.68</v>
      </c>
      <c r="T115">
        <v>2520000</v>
      </c>
      <c r="U115" s="18">
        <v>43999</v>
      </c>
    </row>
    <row r="116" spans="15:21" x14ac:dyDescent="0.35">
      <c r="O116" s="18">
        <v>39626</v>
      </c>
      <c r="P116">
        <v>28.57</v>
      </c>
      <c r="R116" s="18">
        <v>44000</v>
      </c>
      <c r="S116">
        <v>1711.61</v>
      </c>
      <c r="T116">
        <v>2089999.9999999998</v>
      </c>
      <c r="U116" s="18">
        <v>44000</v>
      </c>
    </row>
    <row r="117" spans="15:21" x14ac:dyDescent="0.35">
      <c r="O117" s="18">
        <v>39629</v>
      </c>
      <c r="P117">
        <v>27.51</v>
      </c>
      <c r="R117" s="18">
        <v>44001</v>
      </c>
      <c r="S117">
        <v>1734.93</v>
      </c>
      <c r="T117">
        <v>3120000</v>
      </c>
      <c r="U117" s="18">
        <v>44001</v>
      </c>
    </row>
    <row r="118" spans="15:21" x14ac:dyDescent="0.35">
      <c r="O118" s="18">
        <v>39630</v>
      </c>
      <c r="P118">
        <v>24.9</v>
      </c>
      <c r="R118" s="18">
        <v>44004</v>
      </c>
      <c r="S118">
        <v>1758.89</v>
      </c>
      <c r="T118">
        <v>2340000</v>
      </c>
      <c r="U118" s="18">
        <v>44004</v>
      </c>
    </row>
    <row r="119" spans="15:21" x14ac:dyDescent="0.35">
      <c r="O119" s="18">
        <v>39631</v>
      </c>
      <c r="P119">
        <v>24.84</v>
      </c>
      <c r="R119" s="18">
        <v>44005</v>
      </c>
      <c r="S119">
        <v>1789.12</v>
      </c>
      <c r="T119">
        <v>2060000</v>
      </c>
      <c r="U119" s="18">
        <v>44005</v>
      </c>
    </row>
    <row r="120" spans="15:21" x14ac:dyDescent="0.35">
      <c r="O120" s="18">
        <v>39632</v>
      </c>
      <c r="P120">
        <v>24</v>
      </c>
      <c r="R120" s="18">
        <v>44006</v>
      </c>
      <c r="S120">
        <v>1843.68</v>
      </c>
      <c r="T120">
        <v>3380000</v>
      </c>
      <c r="U120" s="18">
        <v>44006</v>
      </c>
    </row>
    <row r="121" spans="15:21" x14ac:dyDescent="0.35">
      <c r="O121" s="18">
        <v>39633</v>
      </c>
      <c r="P121">
        <v>24.17</v>
      </c>
      <c r="R121" s="18">
        <v>44007</v>
      </c>
      <c r="S121">
        <v>1809.07</v>
      </c>
      <c r="T121">
        <v>2770000</v>
      </c>
      <c r="U121" s="18">
        <v>44007</v>
      </c>
    </row>
    <row r="122" spans="15:21" x14ac:dyDescent="0.35">
      <c r="O122" s="18">
        <v>39636</v>
      </c>
      <c r="P122">
        <v>25.02</v>
      </c>
      <c r="R122" s="18">
        <v>44008</v>
      </c>
      <c r="S122">
        <v>1847.34</v>
      </c>
      <c r="T122">
        <v>2250000</v>
      </c>
      <c r="U122" s="18">
        <v>44008</v>
      </c>
    </row>
    <row r="123" spans="15:21" x14ac:dyDescent="0.35">
      <c r="O123" s="18">
        <v>39637</v>
      </c>
      <c r="P123">
        <v>24.82</v>
      </c>
      <c r="R123" s="18">
        <v>44011</v>
      </c>
      <c r="S123">
        <v>1811.35</v>
      </c>
      <c r="T123">
        <v>1950000</v>
      </c>
      <c r="U123" s="18">
        <v>44011</v>
      </c>
    </row>
    <row r="124" spans="15:21" x14ac:dyDescent="0.35">
      <c r="O124" s="18">
        <v>39638</v>
      </c>
      <c r="P124">
        <v>25.33</v>
      </c>
      <c r="R124" s="18">
        <v>44012</v>
      </c>
      <c r="S124">
        <v>1833.43</v>
      </c>
      <c r="T124">
        <v>2009999.9999999998</v>
      </c>
      <c r="U124" s="18">
        <v>44012</v>
      </c>
    </row>
    <row r="125" spans="15:21" x14ac:dyDescent="0.35">
      <c r="O125" s="18">
        <v>39639</v>
      </c>
      <c r="P125">
        <v>25.34</v>
      </c>
      <c r="R125" s="18">
        <v>44013</v>
      </c>
      <c r="S125">
        <v>1840.19</v>
      </c>
      <c r="T125">
        <v>2330000</v>
      </c>
      <c r="U125" s="18">
        <v>44013</v>
      </c>
    </row>
    <row r="126" spans="15:21" x14ac:dyDescent="0.35">
      <c r="O126" s="18">
        <v>39640</v>
      </c>
      <c r="P126">
        <v>25.52</v>
      </c>
      <c r="R126" s="18">
        <v>44014</v>
      </c>
      <c r="S126">
        <v>1835.36</v>
      </c>
      <c r="T126">
        <v>2770000</v>
      </c>
      <c r="U126" s="18">
        <v>44014</v>
      </c>
    </row>
    <row r="127" spans="15:21" x14ac:dyDescent="0.35">
      <c r="O127" s="18">
        <v>39643</v>
      </c>
      <c r="P127">
        <v>25.52</v>
      </c>
      <c r="R127" s="18">
        <v>44015</v>
      </c>
      <c r="S127">
        <v>1898.35</v>
      </c>
      <c r="T127">
        <v>2510000</v>
      </c>
      <c r="U127" s="18">
        <v>44015</v>
      </c>
    </row>
    <row r="128" spans="15:21" x14ac:dyDescent="0.35">
      <c r="O128" s="18">
        <v>39644</v>
      </c>
      <c r="P128">
        <v>23.96</v>
      </c>
      <c r="R128" s="18">
        <v>44018</v>
      </c>
      <c r="S128">
        <v>1925.1</v>
      </c>
      <c r="T128">
        <v>2830000</v>
      </c>
      <c r="U128" s="18">
        <v>44018</v>
      </c>
    </row>
    <row r="129" spans="15:21" x14ac:dyDescent="0.35">
      <c r="O129" s="18">
        <v>39645</v>
      </c>
      <c r="P129">
        <v>23.21</v>
      </c>
      <c r="R129" s="18">
        <v>44019</v>
      </c>
      <c r="S129">
        <v>1993.07</v>
      </c>
      <c r="T129">
        <v>2870000</v>
      </c>
      <c r="U129" s="18">
        <v>44019</v>
      </c>
    </row>
    <row r="130" spans="15:21" x14ac:dyDescent="0.35">
      <c r="O130" s="18">
        <v>39646</v>
      </c>
      <c r="P130">
        <v>23.38</v>
      </c>
      <c r="R130" s="18">
        <v>44020</v>
      </c>
      <c r="S130">
        <v>1939.17</v>
      </c>
      <c r="T130">
        <v>3570000</v>
      </c>
      <c r="U130" s="18">
        <v>44020</v>
      </c>
    </row>
    <row r="131" spans="15:21" x14ac:dyDescent="0.35">
      <c r="O131" s="18">
        <v>39647</v>
      </c>
      <c r="P131">
        <v>24.04</v>
      </c>
      <c r="R131" s="18">
        <v>44021</v>
      </c>
      <c r="S131">
        <v>1948.33</v>
      </c>
      <c r="T131">
        <v>2740000</v>
      </c>
      <c r="U131" s="18">
        <v>44021</v>
      </c>
    </row>
    <row r="132" spans="15:21" x14ac:dyDescent="0.35">
      <c r="O132" s="18">
        <v>39650</v>
      </c>
      <c r="P132">
        <v>24.54</v>
      </c>
      <c r="R132" s="18">
        <v>44022</v>
      </c>
      <c r="S132">
        <v>1944.79</v>
      </c>
      <c r="T132">
        <v>2040000</v>
      </c>
      <c r="U132" s="18">
        <v>44022</v>
      </c>
    </row>
    <row r="133" spans="15:21" x14ac:dyDescent="0.35">
      <c r="O133" s="18">
        <v>39651</v>
      </c>
      <c r="P133">
        <v>25.04</v>
      </c>
      <c r="R133" s="18">
        <v>44025</v>
      </c>
      <c r="S133">
        <v>1965.5</v>
      </c>
      <c r="T133">
        <v>1330000</v>
      </c>
      <c r="U133" s="18">
        <v>44025</v>
      </c>
    </row>
    <row r="134" spans="15:21" x14ac:dyDescent="0.35">
      <c r="O134" s="18">
        <v>39652</v>
      </c>
      <c r="P134">
        <v>26.07</v>
      </c>
      <c r="R134" s="18">
        <v>44026</v>
      </c>
      <c r="S134">
        <v>1885.02</v>
      </c>
      <c r="T134">
        <v>2480000</v>
      </c>
      <c r="U134" s="18">
        <v>44026</v>
      </c>
    </row>
    <row r="135" spans="15:21" x14ac:dyDescent="0.35">
      <c r="O135" s="18">
        <v>39653</v>
      </c>
      <c r="P135">
        <v>27.67</v>
      </c>
      <c r="R135" s="18">
        <v>44027</v>
      </c>
      <c r="S135">
        <v>1856.26</v>
      </c>
      <c r="T135">
        <v>2820000</v>
      </c>
      <c r="U135" s="18">
        <v>44027</v>
      </c>
    </row>
    <row r="136" spans="15:21" x14ac:dyDescent="0.35">
      <c r="O136" s="18">
        <v>39654</v>
      </c>
      <c r="P136">
        <v>26.68</v>
      </c>
      <c r="R136" s="18">
        <v>44028</v>
      </c>
      <c r="S136">
        <v>1863.95</v>
      </c>
      <c r="T136">
        <v>2650000</v>
      </c>
      <c r="U136" s="18">
        <v>44028</v>
      </c>
    </row>
    <row r="137" spans="15:21" x14ac:dyDescent="0.35">
      <c r="O137" s="18">
        <v>39657</v>
      </c>
      <c r="P137">
        <v>27.12</v>
      </c>
      <c r="R137" s="18">
        <v>44029</v>
      </c>
      <c r="S137">
        <v>1881.08</v>
      </c>
      <c r="T137">
        <v>1670000</v>
      </c>
      <c r="U137" s="18">
        <v>44029</v>
      </c>
    </row>
    <row r="138" spans="15:21" x14ac:dyDescent="0.35">
      <c r="O138" s="18">
        <v>39658</v>
      </c>
      <c r="P138">
        <v>26.51</v>
      </c>
      <c r="R138" s="18">
        <v>44032</v>
      </c>
      <c r="S138">
        <v>1918.77</v>
      </c>
      <c r="T138">
        <v>1600000</v>
      </c>
      <c r="U138" s="18">
        <v>44032</v>
      </c>
    </row>
    <row r="139" spans="15:21" x14ac:dyDescent="0.35">
      <c r="O139" s="18">
        <v>39659</v>
      </c>
      <c r="P139">
        <v>26.25</v>
      </c>
      <c r="R139" s="18">
        <v>44033</v>
      </c>
      <c r="S139">
        <v>2011.66</v>
      </c>
      <c r="T139">
        <v>3690000</v>
      </c>
      <c r="U139" s="18">
        <v>44033</v>
      </c>
    </row>
    <row r="140" spans="15:21" x14ac:dyDescent="0.35">
      <c r="O140" s="18">
        <v>39660</v>
      </c>
      <c r="P140">
        <v>27.2</v>
      </c>
      <c r="R140" s="18">
        <v>44034</v>
      </c>
      <c r="S140">
        <v>1989.06</v>
      </c>
      <c r="T140">
        <v>3360000</v>
      </c>
      <c r="U140" s="18">
        <v>44034</v>
      </c>
    </row>
    <row r="141" spans="15:21" x14ac:dyDescent="0.35">
      <c r="O141" s="18">
        <v>39661</v>
      </c>
      <c r="P141">
        <v>26.41</v>
      </c>
      <c r="R141" s="18">
        <v>44035</v>
      </c>
      <c r="S141">
        <v>2088.2399999999998</v>
      </c>
      <c r="T141">
        <v>4460000</v>
      </c>
      <c r="U141" s="18">
        <v>44035</v>
      </c>
    </row>
    <row r="142" spans="15:21" x14ac:dyDescent="0.35">
      <c r="O142" s="18">
        <v>39664</v>
      </c>
      <c r="P142">
        <v>26.34</v>
      </c>
      <c r="R142" s="18">
        <v>44036</v>
      </c>
      <c r="S142">
        <v>2080.0300000000002</v>
      </c>
      <c r="T142">
        <v>3950000</v>
      </c>
      <c r="U142" s="18">
        <v>44036</v>
      </c>
    </row>
    <row r="143" spans="15:21" x14ac:dyDescent="0.35">
      <c r="O143" s="18">
        <v>39665</v>
      </c>
      <c r="P143">
        <v>26.57</v>
      </c>
      <c r="R143" s="18">
        <v>44039</v>
      </c>
      <c r="S143">
        <v>2053.77</v>
      </c>
      <c r="T143">
        <v>1920000</v>
      </c>
      <c r="U143" s="18">
        <v>44039</v>
      </c>
    </row>
    <row r="144" spans="15:21" x14ac:dyDescent="0.35">
      <c r="O144" s="18">
        <v>39666</v>
      </c>
      <c r="P144">
        <v>27</v>
      </c>
      <c r="R144" s="18">
        <v>44040</v>
      </c>
      <c r="S144">
        <v>2105.3200000000002</v>
      </c>
      <c r="T144">
        <v>2620000</v>
      </c>
      <c r="U144" s="18">
        <v>44040</v>
      </c>
    </row>
    <row r="145" spans="15:21" x14ac:dyDescent="0.35">
      <c r="O145" s="18">
        <v>39667</v>
      </c>
      <c r="P145">
        <v>26.98</v>
      </c>
      <c r="R145" s="18">
        <v>44041</v>
      </c>
      <c r="S145">
        <v>2140.09</v>
      </c>
      <c r="T145">
        <v>2260000</v>
      </c>
      <c r="U145" s="18">
        <v>44041</v>
      </c>
    </row>
    <row r="146" spans="15:21" x14ac:dyDescent="0.35">
      <c r="O146" s="18">
        <v>39668</v>
      </c>
      <c r="P146">
        <v>28.02</v>
      </c>
      <c r="R146" s="18">
        <v>44042</v>
      </c>
      <c r="S146">
        <v>2120.14</v>
      </c>
      <c r="T146">
        <v>2460000</v>
      </c>
      <c r="U146" s="18">
        <v>44042</v>
      </c>
    </row>
    <row r="147" spans="15:21" x14ac:dyDescent="0.35">
      <c r="O147" s="18">
        <v>39671</v>
      </c>
      <c r="P147">
        <v>27.98</v>
      </c>
      <c r="R147" s="18">
        <v>44043</v>
      </c>
      <c r="S147">
        <v>2063.87</v>
      </c>
      <c r="T147">
        <v>2190000</v>
      </c>
      <c r="U147" s="18">
        <v>44043</v>
      </c>
    </row>
    <row r="148" spans="15:21" x14ac:dyDescent="0.35">
      <c r="O148" s="18">
        <v>39672</v>
      </c>
      <c r="P148">
        <v>28.02</v>
      </c>
      <c r="R148" s="18">
        <v>44046</v>
      </c>
      <c r="S148">
        <v>2078.2199999999998</v>
      </c>
      <c r="T148">
        <v>2020000</v>
      </c>
      <c r="U148" s="18">
        <v>44046</v>
      </c>
    </row>
    <row r="149" spans="15:21" x14ac:dyDescent="0.35">
      <c r="O149" s="18">
        <v>39673</v>
      </c>
      <c r="P149">
        <v>27.42</v>
      </c>
      <c r="R149" s="18">
        <v>44047</v>
      </c>
      <c r="S149">
        <v>2101.5700000000002</v>
      </c>
      <c r="T149">
        <v>1560000</v>
      </c>
      <c r="U149" s="18">
        <v>44047</v>
      </c>
    </row>
    <row r="150" spans="15:21" x14ac:dyDescent="0.35">
      <c r="O150" s="18">
        <v>39674</v>
      </c>
      <c r="P150">
        <v>26.7</v>
      </c>
      <c r="R150" s="18">
        <v>44048</v>
      </c>
      <c r="S150">
        <v>2195.88</v>
      </c>
      <c r="T150">
        <v>2380000</v>
      </c>
      <c r="U150" s="18">
        <v>44048</v>
      </c>
    </row>
    <row r="151" spans="15:21" x14ac:dyDescent="0.35">
      <c r="O151" s="18">
        <v>39678</v>
      </c>
      <c r="P151">
        <v>26.21</v>
      </c>
      <c r="R151" s="18">
        <v>44049</v>
      </c>
      <c r="S151">
        <v>2168.13</v>
      </c>
      <c r="T151">
        <v>2040000</v>
      </c>
      <c r="U151" s="18">
        <v>44049</v>
      </c>
    </row>
    <row r="152" spans="15:21" x14ac:dyDescent="0.35">
      <c r="O152" s="18">
        <v>39679</v>
      </c>
      <c r="P152">
        <v>27.12</v>
      </c>
      <c r="R152" s="18">
        <v>44050</v>
      </c>
      <c r="S152">
        <v>2180.7399999999998</v>
      </c>
      <c r="T152">
        <v>1950000</v>
      </c>
      <c r="U152" s="18">
        <v>44050</v>
      </c>
    </row>
    <row r="153" spans="15:21" x14ac:dyDescent="0.35">
      <c r="O153" s="18">
        <v>39680</v>
      </c>
      <c r="P153">
        <v>27.52</v>
      </c>
      <c r="R153" s="18">
        <v>44053</v>
      </c>
      <c r="S153">
        <v>2135.31</v>
      </c>
      <c r="T153">
        <v>1680000</v>
      </c>
      <c r="U153" s="18">
        <v>44053</v>
      </c>
    </row>
    <row r="154" spans="15:21" x14ac:dyDescent="0.35">
      <c r="O154" s="18">
        <v>39681</v>
      </c>
      <c r="P154">
        <v>27.52</v>
      </c>
      <c r="R154" s="18">
        <v>44054</v>
      </c>
      <c r="S154">
        <v>2144.2600000000002</v>
      </c>
      <c r="T154">
        <v>1620000</v>
      </c>
      <c r="U154" s="18">
        <v>44054</v>
      </c>
    </row>
    <row r="155" spans="15:21" x14ac:dyDescent="0.35">
      <c r="O155" s="18">
        <v>39682</v>
      </c>
      <c r="P155">
        <v>27.35</v>
      </c>
      <c r="R155" s="18">
        <v>44055</v>
      </c>
      <c r="S155">
        <v>2211.66</v>
      </c>
      <c r="T155">
        <v>2990000</v>
      </c>
      <c r="U155" s="18">
        <v>44055</v>
      </c>
    </row>
    <row r="156" spans="15:21" x14ac:dyDescent="0.35">
      <c r="O156" s="18">
        <v>39685</v>
      </c>
      <c r="P156">
        <v>28.16</v>
      </c>
      <c r="R156" s="18">
        <v>44056</v>
      </c>
      <c r="S156">
        <v>2167.3000000000002</v>
      </c>
      <c r="T156">
        <v>2200000</v>
      </c>
      <c r="U156" s="18">
        <v>44056</v>
      </c>
    </row>
    <row r="157" spans="15:21" x14ac:dyDescent="0.35">
      <c r="O157" s="18">
        <v>39686</v>
      </c>
      <c r="P157">
        <v>28.11</v>
      </c>
      <c r="R157" s="18">
        <v>44057</v>
      </c>
      <c r="S157">
        <v>2014.41</v>
      </c>
      <c r="T157">
        <v>5920000</v>
      </c>
      <c r="U157" s="18">
        <v>44057</v>
      </c>
    </row>
    <row r="158" spans="15:21" x14ac:dyDescent="0.35">
      <c r="O158" s="18">
        <v>39687</v>
      </c>
      <c r="P158">
        <v>28.53</v>
      </c>
      <c r="R158" s="18">
        <v>44060</v>
      </c>
      <c r="S158">
        <v>2113.4699999999998</v>
      </c>
      <c r="T158">
        <v>6530000</v>
      </c>
      <c r="U158" s="18">
        <v>44060</v>
      </c>
    </row>
    <row r="159" spans="15:21" x14ac:dyDescent="0.35">
      <c r="O159" s="18">
        <v>39688</v>
      </c>
      <c r="P159">
        <v>27.5</v>
      </c>
      <c r="R159" s="18">
        <v>44061</v>
      </c>
      <c r="S159">
        <v>2140.4699999999998</v>
      </c>
      <c r="T159">
        <v>3400000</v>
      </c>
      <c r="U159" s="18">
        <v>44061</v>
      </c>
    </row>
    <row r="160" spans="15:21" x14ac:dyDescent="0.35">
      <c r="O160" s="18">
        <v>39689</v>
      </c>
      <c r="P160">
        <v>28.57</v>
      </c>
      <c r="R160" s="18">
        <v>44062</v>
      </c>
      <c r="S160">
        <v>2126.14</v>
      </c>
      <c r="T160">
        <v>2850000</v>
      </c>
      <c r="U160" s="18">
        <v>44062</v>
      </c>
    </row>
    <row r="161" spans="15:21" x14ac:dyDescent="0.35">
      <c r="O161" s="18">
        <v>39692</v>
      </c>
      <c r="P161">
        <v>28.14</v>
      </c>
      <c r="R161" s="18">
        <v>44063</v>
      </c>
      <c r="S161">
        <v>2137.14</v>
      </c>
      <c r="T161">
        <v>2240000</v>
      </c>
      <c r="U161" s="18">
        <v>44063</v>
      </c>
    </row>
    <row r="162" spans="15:21" x14ac:dyDescent="0.35">
      <c r="O162" s="18">
        <v>39693</v>
      </c>
      <c r="P162">
        <v>28.27</v>
      </c>
      <c r="R162" s="18">
        <v>44064</v>
      </c>
      <c r="S162">
        <v>2170.2399999999998</v>
      </c>
      <c r="T162">
        <v>2610000</v>
      </c>
      <c r="U162" s="18">
        <v>44064</v>
      </c>
    </row>
    <row r="163" spans="15:21" x14ac:dyDescent="0.35">
      <c r="O163" s="18">
        <v>39695</v>
      </c>
      <c r="P163">
        <v>27.72</v>
      </c>
      <c r="R163" s="18">
        <v>44067</v>
      </c>
      <c r="S163">
        <v>2176.4499999999998</v>
      </c>
      <c r="T163">
        <v>11490000</v>
      </c>
      <c r="U163" s="18">
        <v>44067</v>
      </c>
    </row>
    <row r="164" spans="15:21" x14ac:dyDescent="0.35">
      <c r="O164" s="18">
        <v>39696</v>
      </c>
      <c r="P164">
        <v>27.99</v>
      </c>
      <c r="R164" s="18">
        <v>44068</v>
      </c>
      <c r="S164">
        <v>2217.25</v>
      </c>
      <c r="T164">
        <v>4760000</v>
      </c>
      <c r="U164" s="18">
        <v>44068</v>
      </c>
    </row>
    <row r="165" spans="15:21" x14ac:dyDescent="0.35">
      <c r="O165" s="18">
        <v>39699</v>
      </c>
      <c r="P165">
        <v>27.99</v>
      </c>
      <c r="R165" s="18">
        <v>44069</v>
      </c>
      <c r="S165">
        <v>2248.85</v>
      </c>
      <c r="T165">
        <v>2440000</v>
      </c>
      <c r="U165" s="18">
        <v>44069</v>
      </c>
    </row>
    <row r="166" spans="15:21" x14ac:dyDescent="0.35">
      <c r="O166" s="18">
        <v>39700</v>
      </c>
      <c r="P166">
        <v>28.04</v>
      </c>
      <c r="R166" s="18">
        <v>44070</v>
      </c>
      <c r="S166">
        <v>2236.35</v>
      </c>
      <c r="T166">
        <v>1370000</v>
      </c>
      <c r="U166" s="18">
        <v>44070</v>
      </c>
    </row>
    <row r="167" spans="15:21" x14ac:dyDescent="0.35">
      <c r="O167" s="18">
        <v>39701</v>
      </c>
      <c r="P167">
        <v>27.91</v>
      </c>
      <c r="R167" s="18">
        <v>44071</v>
      </c>
      <c r="S167">
        <v>2213.6</v>
      </c>
      <c r="T167">
        <v>1470000</v>
      </c>
      <c r="U167" s="18">
        <v>44071</v>
      </c>
    </row>
    <row r="168" spans="15:21" x14ac:dyDescent="0.35">
      <c r="O168" s="18">
        <v>39702</v>
      </c>
      <c r="P168">
        <v>27.83</v>
      </c>
      <c r="R168" s="18">
        <v>44074</v>
      </c>
      <c r="S168">
        <v>2092</v>
      </c>
      <c r="T168">
        <v>3090000</v>
      </c>
      <c r="U168" s="18">
        <v>44074</v>
      </c>
    </row>
    <row r="169" spans="15:21" x14ac:dyDescent="0.35">
      <c r="O169" s="18">
        <v>39703</v>
      </c>
      <c r="P169">
        <v>27.52</v>
      </c>
      <c r="R169" s="18">
        <v>44075</v>
      </c>
      <c r="S169">
        <v>2131.1</v>
      </c>
      <c r="T169">
        <v>2260000</v>
      </c>
      <c r="U169" s="18">
        <v>44075</v>
      </c>
    </row>
    <row r="170" spans="15:21" x14ac:dyDescent="0.35">
      <c r="O170" s="18">
        <v>39706</v>
      </c>
      <c r="P170">
        <v>26.6</v>
      </c>
      <c r="R170" s="18">
        <v>44076</v>
      </c>
      <c r="S170">
        <v>2169.85</v>
      </c>
      <c r="T170">
        <v>1970000</v>
      </c>
      <c r="U170" s="18">
        <v>44076</v>
      </c>
    </row>
    <row r="171" spans="15:21" x14ac:dyDescent="0.35">
      <c r="O171" s="18">
        <v>39707</v>
      </c>
      <c r="P171">
        <v>27</v>
      </c>
      <c r="R171" s="18">
        <v>44077</v>
      </c>
      <c r="S171">
        <v>2231.15</v>
      </c>
      <c r="T171">
        <v>2580000</v>
      </c>
      <c r="U171" s="18">
        <v>44077</v>
      </c>
    </row>
    <row r="172" spans="15:21" x14ac:dyDescent="0.35">
      <c r="O172" s="18">
        <v>39708</v>
      </c>
      <c r="P172">
        <v>26.61</v>
      </c>
      <c r="R172" s="18">
        <v>44078</v>
      </c>
      <c r="S172">
        <v>2180.85</v>
      </c>
      <c r="T172">
        <v>1520000</v>
      </c>
      <c r="U172" s="18">
        <v>44078</v>
      </c>
    </row>
    <row r="173" spans="15:21" x14ac:dyDescent="0.35">
      <c r="O173" s="18">
        <v>39709</v>
      </c>
      <c r="P173">
        <v>26.09</v>
      </c>
      <c r="R173" s="18">
        <v>44081</v>
      </c>
      <c r="S173">
        <v>2192.9</v>
      </c>
      <c r="T173">
        <v>1350000</v>
      </c>
      <c r="U173" s="18">
        <v>44081</v>
      </c>
    </row>
    <row r="174" spans="15:21" x14ac:dyDescent="0.35">
      <c r="O174" s="18">
        <v>39710</v>
      </c>
      <c r="P174">
        <v>26.82</v>
      </c>
      <c r="R174" s="18">
        <v>44082</v>
      </c>
      <c r="S174">
        <v>2161.5</v>
      </c>
      <c r="T174">
        <v>1180000</v>
      </c>
      <c r="U174" s="18">
        <v>44082</v>
      </c>
    </row>
    <row r="175" spans="15:21" x14ac:dyDescent="0.35">
      <c r="O175" s="18">
        <v>39713</v>
      </c>
      <c r="P175">
        <v>26.66</v>
      </c>
      <c r="R175" s="18">
        <v>44083</v>
      </c>
      <c r="S175">
        <v>2176.9499999999998</v>
      </c>
      <c r="T175">
        <v>1360000</v>
      </c>
      <c r="U175" s="18">
        <v>44083</v>
      </c>
    </row>
    <row r="176" spans="15:21" x14ac:dyDescent="0.35">
      <c r="O176" s="18">
        <v>39714</v>
      </c>
      <c r="P176">
        <v>26.33</v>
      </c>
      <c r="R176" s="18">
        <v>44084</v>
      </c>
      <c r="S176">
        <v>2175.6</v>
      </c>
      <c r="T176">
        <v>948270</v>
      </c>
      <c r="U176" s="18">
        <v>44084</v>
      </c>
    </row>
    <row r="177" spans="15:21" x14ac:dyDescent="0.35">
      <c r="O177" s="18">
        <v>39715</v>
      </c>
      <c r="P177">
        <v>26.32</v>
      </c>
      <c r="R177" s="18">
        <v>44085</v>
      </c>
      <c r="S177">
        <v>2160.3000000000002</v>
      </c>
      <c r="T177">
        <v>1140000</v>
      </c>
      <c r="U177" s="18">
        <v>44085</v>
      </c>
    </row>
    <row r="178" spans="15:21" x14ac:dyDescent="0.35">
      <c r="O178" s="18">
        <v>39716</v>
      </c>
      <c r="P178">
        <v>26.34</v>
      </c>
      <c r="R178" s="18">
        <v>44088</v>
      </c>
      <c r="S178">
        <v>2159.4</v>
      </c>
      <c r="T178">
        <v>1180000</v>
      </c>
      <c r="U178" s="18">
        <v>44088</v>
      </c>
    </row>
    <row r="179" spans="15:21" x14ac:dyDescent="0.35">
      <c r="O179" s="18">
        <v>39717</v>
      </c>
      <c r="P179">
        <v>25.98</v>
      </c>
      <c r="R179" s="18">
        <v>44089</v>
      </c>
      <c r="S179">
        <v>2140.6</v>
      </c>
      <c r="T179">
        <v>1260000</v>
      </c>
      <c r="U179" s="18">
        <v>44089</v>
      </c>
    </row>
    <row r="180" spans="15:21" x14ac:dyDescent="0.35">
      <c r="O180" s="18">
        <v>39720</v>
      </c>
      <c r="P180">
        <v>25.18</v>
      </c>
      <c r="R180" s="18">
        <v>44090</v>
      </c>
      <c r="S180">
        <v>2163.75</v>
      </c>
      <c r="T180">
        <v>1030000</v>
      </c>
      <c r="U180" s="18">
        <v>44090</v>
      </c>
    </row>
    <row r="181" spans="15:21" x14ac:dyDescent="0.35">
      <c r="O181" s="18">
        <v>39721</v>
      </c>
      <c r="P181">
        <v>26.68</v>
      </c>
      <c r="R181" s="18">
        <v>44091</v>
      </c>
      <c r="S181">
        <v>2145.4499999999998</v>
      </c>
      <c r="T181">
        <v>768950</v>
      </c>
      <c r="U181" s="18">
        <v>44091</v>
      </c>
    </row>
    <row r="182" spans="15:21" x14ac:dyDescent="0.35">
      <c r="O182" s="18">
        <v>39722</v>
      </c>
      <c r="P182">
        <v>25.46</v>
      </c>
      <c r="R182" s="18">
        <v>44092</v>
      </c>
      <c r="S182">
        <v>2152.9499999999998</v>
      </c>
      <c r="T182">
        <v>1310000</v>
      </c>
      <c r="U182" s="18">
        <v>44092</v>
      </c>
    </row>
    <row r="183" spans="15:21" x14ac:dyDescent="0.35">
      <c r="O183" s="18">
        <v>39724</v>
      </c>
      <c r="P183">
        <v>25.02</v>
      </c>
      <c r="R183" s="18">
        <v>44095</v>
      </c>
      <c r="S183">
        <v>2102.9499999999998</v>
      </c>
      <c r="T183">
        <v>1940000</v>
      </c>
      <c r="U183" s="18">
        <v>44095</v>
      </c>
    </row>
    <row r="184" spans="15:21" x14ac:dyDescent="0.35">
      <c r="O184" s="18">
        <v>39727</v>
      </c>
      <c r="P184">
        <v>22.53</v>
      </c>
      <c r="R184" s="18">
        <v>44096</v>
      </c>
      <c r="S184">
        <v>2064.35</v>
      </c>
      <c r="T184">
        <v>1520000</v>
      </c>
      <c r="U184" s="18">
        <v>44096</v>
      </c>
    </row>
    <row r="185" spans="15:21" x14ac:dyDescent="0.35">
      <c r="O185" s="18">
        <v>39728</v>
      </c>
      <c r="P185">
        <v>21.55</v>
      </c>
      <c r="R185" s="18">
        <v>44097</v>
      </c>
      <c r="S185">
        <v>2076.8000000000002</v>
      </c>
      <c r="T185">
        <v>1350000</v>
      </c>
      <c r="U185" s="18">
        <v>44097</v>
      </c>
    </row>
    <row r="186" spans="15:21" x14ac:dyDescent="0.35">
      <c r="O186" s="18">
        <v>39729</v>
      </c>
      <c r="P186">
        <v>19.68</v>
      </c>
      <c r="R186" s="18">
        <v>44098</v>
      </c>
      <c r="S186">
        <v>2034.45</v>
      </c>
      <c r="T186">
        <v>1350000</v>
      </c>
      <c r="U186" s="18">
        <v>44098</v>
      </c>
    </row>
    <row r="187" spans="15:21" x14ac:dyDescent="0.35">
      <c r="O187" s="18">
        <v>39731</v>
      </c>
      <c r="P187">
        <v>18.75</v>
      </c>
      <c r="R187" s="18">
        <v>44099</v>
      </c>
      <c r="S187">
        <v>2117.5</v>
      </c>
      <c r="T187">
        <v>1530000</v>
      </c>
      <c r="U187" s="18">
        <v>44099</v>
      </c>
    </row>
    <row r="188" spans="15:21" x14ac:dyDescent="0.35">
      <c r="O188" s="18">
        <v>39734</v>
      </c>
      <c r="P188">
        <v>20.11</v>
      </c>
      <c r="R188" s="18">
        <v>44102</v>
      </c>
      <c r="S188">
        <v>2180.9499999999998</v>
      </c>
      <c r="T188">
        <v>1140000</v>
      </c>
      <c r="U188" s="18">
        <v>44102</v>
      </c>
    </row>
    <row r="189" spans="15:21" x14ac:dyDescent="0.35">
      <c r="O189" s="18">
        <v>39735</v>
      </c>
      <c r="P189">
        <v>20.88</v>
      </c>
      <c r="R189" s="18">
        <v>44103</v>
      </c>
      <c r="S189">
        <v>2198.5</v>
      </c>
      <c r="T189">
        <v>1340000</v>
      </c>
      <c r="U189" s="18">
        <v>44103</v>
      </c>
    </row>
    <row r="190" spans="15:21" x14ac:dyDescent="0.35">
      <c r="O190" s="18">
        <v>39736</v>
      </c>
      <c r="P190">
        <v>20.059999999999999</v>
      </c>
      <c r="R190" s="18">
        <v>44104</v>
      </c>
      <c r="S190">
        <v>2202.8000000000002</v>
      </c>
      <c r="T190">
        <v>925940</v>
      </c>
      <c r="U190" s="18">
        <v>44104</v>
      </c>
    </row>
    <row r="191" spans="15:21" x14ac:dyDescent="0.35">
      <c r="O191" s="18">
        <v>39737</v>
      </c>
      <c r="P191">
        <v>19.34</v>
      </c>
      <c r="R191" s="18">
        <v>44105</v>
      </c>
      <c r="S191">
        <v>2197.65</v>
      </c>
      <c r="T191">
        <v>999890</v>
      </c>
      <c r="U191" s="18">
        <v>44105</v>
      </c>
    </row>
    <row r="192" spans="15:21" x14ac:dyDescent="0.35">
      <c r="O192" s="18">
        <v>39738</v>
      </c>
      <c r="P192">
        <v>19.649999999999999</v>
      </c>
      <c r="R192" s="18">
        <v>44109</v>
      </c>
      <c r="S192">
        <v>2210.15</v>
      </c>
      <c r="T192">
        <v>930510</v>
      </c>
      <c r="U192" s="18">
        <v>44109</v>
      </c>
    </row>
    <row r="193" spans="15:21" x14ac:dyDescent="0.35">
      <c r="O193" s="18">
        <v>39741</v>
      </c>
      <c r="P193">
        <v>19.11</v>
      </c>
      <c r="R193" s="18">
        <v>44110</v>
      </c>
      <c r="S193">
        <v>2197.6</v>
      </c>
      <c r="T193">
        <v>2750000</v>
      </c>
      <c r="U193" s="18">
        <v>44110</v>
      </c>
    </row>
    <row r="194" spans="15:21" x14ac:dyDescent="0.35">
      <c r="O194" s="18">
        <v>39742</v>
      </c>
      <c r="P194">
        <v>19.73</v>
      </c>
      <c r="R194" s="18">
        <v>44111</v>
      </c>
      <c r="S194">
        <v>2238</v>
      </c>
      <c r="T194">
        <v>1520000</v>
      </c>
      <c r="U194" s="18">
        <v>44111</v>
      </c>
    </row>
    <row r="195" spans="15:21" x14ac:dyDescent="0.35">
      <c r="O195" s="18">
        <v>39743</v>
      </c>
      <c r="P195">
        <v>19.440000000000001</v>
      </c>
      <c r="R195" s="18">
        <v>44112</v>
      </c>
      <c r="S195">
        <v>2208.8000000000002</v>
      </c>
      <c r="T195">
        <v>1520000</v>
      </c>
      <c r="U195" s="18">
        <v>44112</v>
      </c>
    </row>
    <row r="196" spans="15:21" x14ac:dyDescent="0.35">
      <c r="O196" s="18">
        <v>39744</v>
      </c>
      <c r="P196">
        <v>18.28</v>
      </c>
      <c r="R196" s="18">
        <v>44113</v>
      </c>
      <c r="S196">
        <v>2217.9499999999998</v>
      </c>
      <c r="T196">
        <v>1210000</v>
      </c>
      <c r="U196" s="18">
        <v>44113</v>
      </c>
    </row>
    <row r="197" spans="15:21" x14ac:dyDescent="0.35">
      <c r="O197" s="18">
        <v>39745</v>
      </c>
      <c r="P197">
        <v>16.64</v>
      </c>
      <c r="R197" s="18">
        <v>44116</v>
      </c>
      <c r="S197">
        <v>2181.35</v>
      </c>
      <c r="T197">
        <v>1100000</v>
      </c>
      <c r="U197" s="18">
        <v>44116</v>
      </c>
    </row>
    <row r="198" spans="15:21" x14ac:dyDescent="0.35">
      <c r="O198" s="18">
        <v>39748</v>
      </c>
      <c r="P198">
        <v>14.8</v>
      </c>
      <c r="R198" s="18">
        <v>44117</v>
      </c>
      <c r="S198">
        <v>2219.5500000000002</v>
      </c>
      <c r="T198">
        <v>1590000</v>
      </c>
      <c r="U198" s="18">
        <v>44117</v>
      </c>
    </row>
    <row r="199" spans="15:21" x14ac:dyDescent="0.35">
      <c r="O199" s="18">
        <v>39749</v>
      </c>
      <c r="P199">
        <v>15.36</v>
      </c>
      <c r="R199" s="18">
        <v>44118</v>
      </c>
      <c r="S199">
        <v>2253.9</v>
      </c>
      <c r="T199">
        <v>1360000</v>
      </c>
      <c r="U199" s="18">
        <v>44118</v>
      </c>
    </row>
    <row r="200" spans="15:21" x14ac:dyDescent="0.35">
      <c r="O200" s="18">
        <v>39750</v>
      </c>
      <c r="P200">
        <v>16.23</v>
      </c>
      <c r="R200" s="18">
        <v>44119</v>
      </c>
      <c r="S200">
        <v>2248.6</v>
      </c>
      <c r="T200">
        <v>1900000</v>
      </c>
      <c r="U200" s="18">
        <v>44119</v>
      </c>
    </row>
    <row r="201" spans="15:21" x14ac:dyDescent="0.35">
      <c r="O201" s="18">
        <v>39752</v>
      </c>
      <c r="P201">
        <v>19.48</v>
      </c>
      <c r="R201" s="18">
        <v>44120</v>
      </c>
      <c r="S201">
        <v>2269.9</v>
      </c>
      <c r="T201">
        <v>816000</v>
      </c>
      <c r="U201" s="18">
        <v>44120</v>
      </c>
    </row>
    <row r="202" spans="15:21" x14ac:dyDescent="0.35">
      <c r="O202" s="18">
        <v>39755</v>
      </c>
      <c r="P202">
        <v>23.32</v>
      </c>
      <c r="R202" s="18">
        <v>44123</v>
      </c>
      <c r="S202">
        <v>2198.15</v>
      </c>
      <c r="T202">
        <v>1260000</v>
      </c>
      <c r="U202" s="18">
        <v>44123</v>
      </c>
    </row>
    <row r="203" spans="15:21" x14ac:dyDescent="0.35">
      <c r="O203" s="18">
        <v>39756</v>
      </c>
      <c r="P203">
        <v>22.93</v>
      </c>
      <c r="R203" s="18">
        <v>44124</v>
      </c>
      <c r="S203">
        <v>2194.4499999999998</v>
      </c>
      <c r="T203">
        <v>976230</v>
      </c>
      <c r="U203" s="18">
        <v>44124</v>
      </c>
    </row>
    <row r="204" spans="15:21" x14ac:dyDescent="0.35">
      <c r="O204" s="18">
        <v>39757</v>
      </c>
      <c r="P204">
        <v>22.58</v>
      </c>
      <c r="R204" s="18">
        <v>44125</v>
      </c>
      <c r="S204">
        <v>2181.35</v>
      </c>
      <c r="T204">
        <v>1310000</v>
      </c>
      <c r="U204" s="18">
        <v>44125</v>
      </c>
    </row>
    <row r="205" spans="15:21" x14ac:dyDescent="0.35">
      <c r="O205" s="18">
        <v>39758</v>
      </c>
      <c r="P205">
        <v>22.04</v>
      </c>
      <c r="R205" s="18">
        <v>44126</v>
      </c>
      <c r="S205">
        <v>2159.4499999999998</v>
      </c>
      <c r="T205">
        <v>1020000</v>
      </c>
      <c r="U205" s="18">
        <v>44126</v>
      </c>
    </row>
    <row r="206" spans="15:21" x14ac:dyDescent="0.35">
      <c r="O206" s="18">
        <v>39759</v>
      </c>
      <c r="P206">
        <v>22.05</v>
      </c>
      <c r="R206" s="18">
        <v>44127</v>
      </c>
      <c r="S206">
        <v>2181.9</v>
      </c>
      <c r="T206">
        <v>1150000</v>
      </c>
      <c r="U206" s="18">
        <v>44127</v>
      </c>
    </row>
    <row r="207" spans="15:21" x14ac:dyDescent="0.35">
      <c r="O207" s="18">
        <v>39762</v>
      </c>
      <c r="P207">
        <v>22.13</v>
      </c>
      <c r="R207" s="18">
        <v>44130</v>
      </c>
      <c r="S207">
        <v>2108.1</v>
      </c>
      <c r="T207">
        <v>1550000</v>
      </c>
      <c r="U207" s="18">
        <v>44130</v>
      </c>
    </row>
    <row r="208" spans="15:21" x14ac:dyDescent="0.35">
      <c r="O208" s="18">
        <v>39763</v>
      </c>
      <c r="P208">
        <v>22.04</v>
      </c>
      <c r="R208" s="18">
        <v>44131</v>
      </c>
      <c r="S208">
        <v>2118.25</v>
      </c>
      <c r="T208">
        <v>1020000</v>
      </c>
      <c r="U208" s="18">
        <v>44131</v>
      </c>
    </row>
    <row r="209" spans="15:21" x14ac:dyDescent="0.35">
      <c r="O209" s="18">
        <v>39764</v>
      </c>
      <c r="P209">
        <v>22.02</v>
      </c>
      <c r="R209" s="18">
        <v>44132</v>
      </c>
      <c r="S209">
        <v>2135</v>
      </c>
      <c r="T209">
        <v>1040000</v>
      </c>
      <c r="U209" s="18">
        <v>44132</v>
      </c>
    </row>
    <row r="210" spans="15:21" x14ac:dyDescent="0.35">
      <c r="O210" s="18">
        <v>39766</v>
      </c>
      <c r="P210">
        <v>22.16</v>
      </c>
      <c r="R210" s="18">
        <v>44133</v>
      </c>
      <c r="S210">
        <v>2136.85</v>
      </c>
      <c r="T210">
        <v>834130</v>
      </c>
      <c r="U210" s="18">
        <v>44133</v>
      </c>
    </row>
    <row r="211" spans="15:21" x14ac:dyDescent="0.35">
      <c r="O211" s="18">
        <v>39769</v>
      </c>
      <c r="P211">
        <v>21.8</v>
      </c>
      <c r="R211" s="18">
        <v>44134</v>
      </c>
      <c r="S211">
        <v>2085.6</v>
      </c>
      <c r="T211">
        <v>1010000</v>
      </c>
      <c r="U211" s="18">
        <v>44134</v>
      </c>
    </row>
    <row r="212" spans="15:21" x14ac:dyDescent="0.35">
      <c r="O212" s="18">
        <v>39770</v>
      </c>
      <c r="P212">
        <v>21.59</v>
      </c>
      <c r="R212" s="18">
        <v>44137</v>
      </c>
      <c r="S212">
        <v>2029.65</v>
      </c>
      <c r="T212">
        <v>1130000</v>
      </c>
      <c r="U212" s="18">
        <v>44137</v>
      </c>
    </row>
    <row r="213" spans="15:21" x14ac:dyDescent="0.35">
      <c r="O213" s="18">
        <v>39771</v>
      </c>
      <c r="P213">
        <v>22.16</v>
      </c>
      <c r="R213" s="18">
        <v>44138</v>
      </c>
      <c r="S213">
        <v>2095</v>
      </c>
      <c r="T213">
        <v>1940000</v>
      </c>
      <c r="U213" s="18">
        <v>44138</v>
      </c>
    </row>
    <row r="214" spans="15:21" x14ac:dyDescent="0.35">
      <c r="O214" s="18">
        <v>39772</v>
      </c>
      <c r="P214">
        <v>21.55</v>
      </c>
      <c r="R214" s="18">
        <v>44139</v>
      </c>
      <c r="S214">
        <v>2097.4</v>
      </c>
      <c r="T214">
        <v>1110000</v>
      </c>
      <c r="U214" s="18">
        <v>44139</v>
      </c>
    </row>
    <row r="215" spans="15:21" x14ac:dyDescent="0.35">
      <c r="O215" s="18">
        <v>39773</v>
      </c>
      <c r="P215">
        <v>22.3</v>
      </c>
      <c r="R215" s="18">
        <v>44140</v>
      </c>
      <c r="S215">
        <v>2119.8000000000002</v>
      </c>
      <c r="T215">
        <v>828400</v>
      </c>
      <c r="U215" s="18">
        <v>44140</v>
      </c>
    </row>
    <row r="216" spans="15:21" x14ac:dyDescent="0.35">
      <c r="O216" s="18">
        <v>39776</v>
      </c>
      <c r="P216">
        <v>21.61</v>
      </c>
      <c r="R216" s="18">
        <v>44141</v>
      </c>
      <c r="S216">
        <v>2139.0500000000002</v>
      </c>
      <c r="T216">
        <v>996380</v>
      </c>
      <c r="U216" s="18">
        <v>44141</v>
      </c>
    </row>
    <row r="217" spans="15:21" x14ac:dyDescent="0.35">
      <c r="O217" s="18">
        <v>39777</v>
      </c>
      <c r="P217">
        <v>21.41</v>
      </c>
      <c r="R217" s="18">
        <v>44144</v>
      </c>
      <c r="S217">
        <v>2192.85</v>
      </c>
      <c r="T217">
        <v>1130000</v>
      </c>
      <c r="U217" s="18">
        <v>44144</v>
      </c>
    </row>
    <row r="218" spans="15:21" x14ac:dyDescent="0.35">
      <c r="O218" s="18">
        <v>39778</v>
      </c>
      <c r="P218">
        <v>21.11</v>
      </c>
      <c r="R218" s="18">
        <v>44145</v>
      </c>
      <c r="S218">
        <v>2234.85</v>
      </c>
      <c r="T218">
        <v>986760</v>
      </c>
      <c r="U218" s="18">
        <v>44145</v>
      </c>
    </row>
    <row r="219" spans="15:21" x14ac:dyDescent="0.35">
      <c r="O219" s="18">
        <v>39780</v>
      </c>
      <c r="P219">
        <v>21.98</v>
      </c>
      <c r="R219" s="18">
        <v>44146</v>
      </c>
      <c r="S219">
        <v>2326.6999999999998</v>
      </c>
      <c r="T219">
        <v>2130000</v>
      </c>
      <c r="U219" s="18">
        <v>44146</v>
      </c>
    </row>
    <row r="220" spans="15:21" x14ac:dyDescent="0.35">
      <c r="O220" s="18">
        <v>39783</v>
      </c>
      <c r="P220">
        <v>21.2</v>
      </c>
      <c r="R220" s="18">
        <v>44147</v>
      </c>
      <c r="S220">
        <v>2350.75</v>
      </c>
      <c r="T220">
        <v>1910000</v>
      </c>
      <c r="U220" s="18">
        <v>44147</v>
      </c>
    </row>
    <row r="221" spans="15:21" x14ac:dyDescent="0.35">
      <c r="O221" s="18">
        <v>39784</v>
      </c>
      <c r="P221">
        <v>20.55</v>
      </c>
      <c r="R221" s="18">
        <v>44148</v>
      </c>
      <c r="S221">
        <v>2514.6</v>
      </c>
      <c r="T221">
        <v>9480000</v>
      </c>
      <c r="U221" s="18">
        <v>44148</v>
      </c>
    </row>
    <row r="222" spans="15:21" x14ac:dyDescent="0.35">
      <c r="O222" s="18">
        <v>39785</v>
      </c>
      <c r="P222">
        <v>20.52</v>
      </c>
      <c r="R222" s="18">
        <v>44152</v>
      </c>
      <c r="S222">
        <v>2541.6999999999998</v>
      </c>
      <c r="T222">
        <v>2110000</v>
      </c>
      <c r="U222" s="18">
        <v>44152</v>
      </c>
    </row>
    <row r="223" spans="15:21" x14ac:dyDescent="0.35">
      <c r="O223" s="18">
        <v>39786</v>
      </c>
      <c r="P223">
        <v>21</v>
      </c>
      <c r="R223" s="18">
        <v>44153</v>
      </c>
      <c r="S223">
        <v>2614.15</v>
      </c>
      <c r="T223">
        <v>1880000</v>
      </c>
      <c r="U223" s="18">
        <v>44153</v>
      </c>
    </row>
    <row r="224" spans="15:21" x14ac:dyDescent="0.35">
      <c r="O224" s="18">
        <v>39787</v>
      </c>
      <c r="P224">
        <v>20.61</v>
      </c>
      <c r="R224" s="18">
        <v>44154</v>
      </c>
      <c r="S224">
        <v>2551.25</v>
      </c>
      <c r="T224">
        <v>2430000</v>
      </c>
      <c r="U224" s="18">
        <v>44154</v>
      </c>
    </row>
    <row r="225" spans="15:21" x14ac:dyDescent="0.35">
      <c r="O225" s="18">
        <v>39790</v>
      </c>
      <c r="P225">
        <v>20.73</v>
      </c>
      <c r="R225" s="18">
        <v>44155</v>
      </c>
      <c r="S225">
        <v>2590.65</v>
      </c>
      <c r="T225">
        <v>1390000</v>
      </c>
      <c r="U225" s="18">
        <v>44155</v>
      </c>
    </row>
    <row r="226" spans="15:21" x14ac:dyDescent="0.35">
      <c r="O226" s="18">
        <v>39792</v>
      </c>
      <c r="P226">
        <v>20.84</v>
      </c>
      <c r="R226" s="18">
        <v>44158</v>
      </c>
      <c r="S226">
        <v>2597.35</v>
      </c>
      <c r="T226">
        <v>823240</v>
      </c>
      <c r="U226" s="18">
        <v>44158</v>
      </c>
    </row>
    <row r="227" spans="15:21" x14ac:dyDescent="0.35">
      <c r="O227" s="18">
        <v>39793</v>
      </c>
      <c r="P227">
        <v>21.16</v>
      </c>
      <c r="R227" s="18">
        <v>44159</v>
      </c>
      <c r="S227">
        <v>2693.3</v>
      </c>
      <c r="T227">
        <v>2420000</v>
      </c>
      <c r="U227" s="18">
        <v>44159</v>
      </c>
    </row>
    <row r="228" spans="15:21" x14ac:dyDescent="0.35">
      <c r="O228" s="18">
        <v>39794</v>
      </c>
      <c r="P228">
        <v>21.12</v>
      </c>
      <c r="R228" s="18">
        <v>44160</v>
      </c>
      <c r="S228">
        <v>2595.1</v>
      </c>
      <c r="T228">
        <v>1760000</v>
      </c>
      <c r="U228" s="18">
        <v>44160</v>
      </c>
    </row>
    <row r="229" spans="15:21" x14ac:dyDescent="0.35">
      <c r="O229" s="18">
        <v>39797</v>
      </c>
      <c r="P229">
        <v>21.69</v>
      </c>
      <c r="R229" s="18">
        <v>44161</v>
      </c>
      <c r="S229">
        <v>2549.1999999999998</v>
      </c>
      <c r="T229">
        <v>2080000</v>
      </c>
      <c r="U229" s="18">
        <v>44161</v>
      </c>
    </row>
    <row r="230" spans="15:21" x14ac:dyDescent="0.35">
      <c r="O230" s="18">
        <v>39798</v>
      </c>
      <c r="P230">
        <v>22.36</v>
      </c>
      <c r="R230" s="18">
        <v>44162</v>
      </c>
      <c r="S230">
        <v>2534.65</v>
      </c>
      <c r="T230">
        <v>2600000</v>
      </c>
      <c r="U230" s="18">
        <v>44162</v>
      </c>
    </row>
    <row r="231" spans="15:21" x14ac:dyDescent="0.35">
      <c r="O231" s="18">
        <v>39799</v>
      </c>
      <c r="P231">
        <v>22.25</v>
      </c>
      <c r="R231" s="18">
        <v>44166</v>
      </c>
      <c r="S231">
        <v>2532.6999999999998</v>
      </c>
      <c r="T231">
        <v>1230000</v>
      </c>
      <c r="U231" s="18">
        <v>44166</v>
      </c>
    </row>
    <row r="232" spans="15:21" x14ac:dyDescent="0.35">
      <c r="O232" s="18">
        <v>39800</v>
      </c>
      <c r="P232">
        <v>22.27</v>
      </c>
      <c r="R232" s="18">
        <v>44167</v>
      </c>
      <c r="S232">
        <v>2532.5</v>
      </c>
      <c r="T232">
        <v>1290000</v>
      </c>
      <c r="U232" s="18">
        <v>44167</v>
      </c>
    </row>
    <row r="233" spans="15:21" x14ac:dyDescent="0.35">
      <c r="O233" s="18">
        <v>39801</v>
      </c>
      <c r="P233">
        <v>22.42</v>
      </c>
      <c r="R233" s="18">
        <v>44168</v>
      </c>
      <c r="S233">
        <v>2549.5</v>
      </c>
      <c r="T233">
        <v>1070000</v>
      </c>
      <c r="U233" s="18">
        <v>44168</v>
      </c>
    </row>
    <row r="234" spans="15:21" x14ac:dyDescent="0.35">
      <c r="O234" s="18">
        <v>39804</v>
      </c>
      <c r="P234">
        <v>22.46</v>
      </c>
      <c r="R234" s="18">
        <v>44169</v>
      </c>
      <c r="S234">
        <v>2553.5</v>
      </c>
      <c r="T234">
        <v>1140000</v>
      </c>
      <c r="U234" s="18">
        <v>44169</v>
      </c>
    </row>
    <row r="235" spans="15:21" x14ac:dyDescent="0.35">
      <c r="O235" s="18">
        <v>39805</v>
      </c>
      <c r="P235">
        <v>22.39</v>
      </c>
      <c r="R235" s="18">
        <v>44172</v>
      </c>
      <c r="S235">
        <v>2561.15</v>
      </c>
      <c r="T235">
        <v>723080</v>
      </c>
      <c r="U235" s="18">
        <v>44172</v>
      </c>
    </row>
    <row r="236" spans="15:21" x14ac:dyDescent="0.35">
      <c r="O236" s="18">
        <v>39806</v>
      </c>
      <c r="P236">
        <v>22.69</v>
      </c>
      <c r="R236" s="18">
        <v>44173</v>
      </c>
      <c r="S236">
        <v>2548.1999999999998</v>
      </c>
      <c r="T236">
        <v>1300000</v>
      </c>
      <c r="U236" s="18">
        <v>44173</v>
      </c>
    </row>
    <row r="237" spans="15:21" x14ac:dyDescent="0.35">
      <c r="O237" s="18">
        <v>39808</v>
      </c>
      <c r="P237">
        <v>23.13</v>
      </c>
      <c r="R237" s="18">
        <v>44174</v>
      </c>
      <c r="S237">
        <v>2547.25</v>
      </c>
      <c r="T237">
        <v>954150</v>
      </c>
      <c r="U237" s="18">
        <v>44174</v>
      </c>
    </row>
    <row r="238" spans="15:21" x14ac:dyDescent="0.35">
      <c r="O238" s="18">
        <v>39811</v>
      </c>
      <c r="P238">
        <v>24</v>
      </c>
      <c r="R238" s="18">
        <v>44175</v>
      </c>
      <c r="S238">
        <v>2492.65</v>
      </c>
      <c r="T238">
        <v>1110000</v>
      </c>
      <c r="U238" s="18">
        <v>44175</v>
      </c>
    </row>
    <row r="239" spans="15:21" x14ac:dyDescent="0.35">
      <c r="O239" s="18">
        <v>39812</v>
      </c>
      <c r="P239">
        <v>23.16</v>
      </c>
      <c r="R239" s="18">
        <v>44176</v>
      </c>
      <c r="S239">
        <v>2470.8000000000002</v>
      </c>
      <c r="T239">
        <v>1490000</v>
      </c>
      <c r="U239" s="18">
        <v>44176</v>
      </c>
    </row>
    <row r="240" spans="15:21" x14ac:dyDescent="0.35">
      <c r="O240" s="18">
        <v>39813</v>
      </c>
      <c r="P240">
        <v>23.5</v>
      </c>
      <c r="R240" s="18">
        <v>44179</v>
      </c>
      <c r="S240">
        <v>2400.4499999999998</v>
      </c>
      <c r="T240">
        <v>2480000</v>
      </c>
      <c r="U240" s="18">
        <v>44179</v>
      </c>
    </row>
    <row r="241" spans="15:21" x14ac:dyDescent="0.35">
      <c r="O241" s="18">
        <v>39814</v>
      </c>
      <c r="P241">
        <v>23.5</v>
      </c>
      <c r="R241" s="18">
        <v>44180</v>
      </c>
      <c r="S241">
        <v>2475.1999999999998</v>
      </c>
      <c r="T241">
        <v>2910000</v>
      </c>
      <c r="U241" s="18">
        <v>44180</v>
      </c>
    </row>
    <row r="242" spans="15:21" x14ac:dyDescent="0.35">
      <c r="O242" s="18">
        <v>39815</v>
      </c>
      <c r="P242">
        <v>24</v>
      </c>
      <c r="R242" s="18">
        <v>44181</v>
      </c>
      <c r="S242">
        <v>2470.1</v>
      </c>
      <c r="T242">
        <v>1460000</v>
      </c>
      <c r="U242" s="18">
        <v>44181</v>
      </c>
    </row>
    <row r="243" spans="15:21" x14ac:dyDescent="0.35">
      <c r="O243" s="18">
        <v>39818</v>
      </c>
      <c r="P243">
        <v>24</v>
      </c>
      <c r="R243" s="18">
        <v>44182</v>
      </c>
      <c r="S243">
        <v>2466.6</v>
      </c>
      <c r="T243">
        <v>1060000</v>
      </c>
      <c r="U243" s="18">
        <v>44182</v>
      </c>
    </row>
    <row r="244" spans="15:21" x14ac:dyDescent="0.35">
      <c r="O244" s="18">
        <v>39819</v>
      </c>
      <c r="P244">
        <v>23.74</v>
      </c>
      <c r="R244" s="18">
        <v>44183</v>
      </c>
      <c r="S244">
        <v>2480.9499999999998</v>
      </c>
      <c r="T244">
        <v>849960</v>
      </c>
      <c r="U244" s="18">
        <v>44183</v>
      </c>
    </row>
    <row r="245" spans="15:21" x14ac:dyDescent="0.35">
      <c r="O245" s="18">
        <v>39820</v>
      </c>
      <c r="P245">
        <v>22.45</v>
      </c>
      <c r="R245" s="18">
        <v>44186</v>
      </c>
      <c r="S245">
        <v>2396.4</v>
      </c>
      <c r="T245">
        <v>1190000</v>
      </c>
      <c r="U245" s="18">
        <v>44186</v>
      </c>
    </row>
    <row r="246" spans="15:21" x14ac:dyDescent="0.35">
      <c r="O246" s="18">
        <v>39822</v>
      </c>
      <c r="P246">
        <v>21.9</v>
      </c>
      <c r="R246" s="18">
        <v>44187</v>
      </c>
      <c r="S246">
        <v>2446.6999999999998</v>
      </c>
      <c r="T246">
        <v>1200000</v>
      </c>
      <c r="U246" s="18">
        <v>44187</v>
      </c>
    </row>
    <row r="247" spans="15:21" x14ac:dyDescent="0.35">
      <c r="O247" s="18">
        <v>39825</v>
      </c>
      <c r="P247">
        <v>22.55</v>
      </c>
      <c r="R247" s="18">
        <v>44188</v>
      </c>
      <c r="S247">
        <v>2446.6999999999998</v>
      </c>
      <c r="T247">
        <v>954700</v>
      </c>
      <c r="U247" s="18">
        <v>44188</v>
      </c>
    </row>
    <row r="248" spans="15:21" x14ac:dyDescent="0.35">
      <c r="O248" s="18">
        <v>39826</v>
      </c>
      <c r="P248">
        <v>23</v>
      </c>
      <c r="R248" s="18">
        <v>44189</v>
      </c>
      <c r="S248">
        <v>2436.75</v>
      </c>
      <c r="T248">
        <v>599390</v>
      </c>
      <c r="U248" s="18">
        <v>44189</v>
      </c>
    </row>
    <row r="249" spans="15:21" x14ac:dyDescent="0.35">
      <c r="O249" s="18">
        <v>39827</v>
      </c>
      <c r="P249">
        <v>24.28</v>
      </c>
      <c r="R249" s="18">
        <v>44193</v>
      </c>
      <c r="S249">
        <v>2451.35</v>
      </c>
      <c r="T249">
        <v>711670</v>
      </c>
      <c r="U249" s="18">
        <v>44193</v>
      </c>
    </row>
    <row r="250" spans="15:21" x14ac:dyDescent="0.35">
      <c r="O250" s="18">
        <v>39828</v>
      </c>
      <c r="P250">
        <v>23.52</v>
      </c>
      <c r="R250" s="18">
        <v>44194</v>
      </c>
      <c r="S250">
        <v>2460.5500000000002</v>
      </c>
      <c r="T250">
        <v>1960000</v>
      </c>
      <c r="U250" s="18">
        <v>44194</v>
      </c>
    </row>
    <row r="251" spans="15:21" x14ac:dyDescent="0.35">
      <c r="O251" s="18">
        <v>39829</v>
      </c>
      <c r="P251">
        <v>23.45</v>
      </c>
      <c r="R251" s="18">
        <v>44195</v>
      </c>
      <c r="S251">
        <v>2517.35</v>
      </c>
      <c r="T251">
        <v>2430000</v>
      </c>
      <c r="U251" s="18">
        <v>44195</v>
      </c>
    </row>
    <row r="252" spans="15:21" x14ac:dyDescent="0.35">
      <c r="O252" s="18">
        <v>39832</v>
      </c>
      <c r="P252">
        <v>22.83</v>
      </c>
      <c r="R252" s="18">
        <v>44196</v>
      </c>
      <c r="S252">
        <v>2530.9</v>
      </c>
      <c r="T252">
        <v>1760000</v>
      </c>
      <c r="U252" s="18">
        <v>44196</v>
      </c>
    </row>
    <row r="253" spans="15:21" x14ac:dyDescent="0.35">
      <c r="O253" s="18">
        <v>39833</v>
      </c>
      <c r="P253">
        <v>22.52</v>
      </c>
      <c r="R253" s="18">
        <v>44197</v>
      </c>
      <c r="S253">
        <v>2542.6999999999998</v>
      </c>
      <c r="T253">
        <v>914820</v>
      </c>
      <c r="U253" s="18">
        <v>44197</v>
      </c>
    </row>
    <row r="254" spans="15:21" x14ac:dyDescent="0.35">
      <c r="O254" s="18">
        <v>39834</v>
      </c>
      <c r="P254">
        <v>22.5</v>
      </c>
      <c r="R254" s="18">
        <v>44200</v>
      </c>
      <c r="S254">
        <v>2655.7</v>
      </c>
      <c r="T254">
        <v>3290000</v>
      </c>
      <c r="U254" s="18">
        <v>44200</v>
      </c>
    </row>
    <row r="255" spans="15:21" x14ac:dyDescent="0.35">
      <c r="O255" s="18">
        <v>39835</v>
      </c>
      <c r="P255">
        <v>22.46</v>
      </c>
      <c r="R255" s="18">
        <v>44201</v>
      </c>
      <c r="S255">
        <v>2674.9</v>
      </c>
      <c r="T255">
        <v>1490000</v>
      </c>
      <c r="U255" s="18">
        <v>44201</v>
      </c>
    </row>
    <row r="256" spans="15:21" x14ac:dyDescent="0.35">
      <c r="O256" s="18">
        <v>39836</v>
      </c>
      <c r="P256">
        <v>22.02</v>
      </c>
      <c r="R256" s="18">
        <v>44202</v>
      </c>
      <c r="S256">
        <v>2645.35</v>
      </c>
      <c r="T256">
        <v>949390</v>
      </c>
      <c r="U256" s="18">
        <v>44202</v>
      </c>
    </row>
    <row r="257" spans="15:21" x14ac:dyDescent="0.35">
      <c r="O257" s="18">
        <v>39840</v>
      </c>
      <c r="P257">
        <v>21.94</v>
      </c>
      <c r="R257" s="18">
        <v>44203</v>
      </c>
      <c r="S257">
        <v>2649.8</v>
      </c>
      <c r="T257">
        <v>1250000</v>
      </c>
      <c r="U257" s="18">
        <v>44203</v>
      </c>
    </row>
    <row r="258" spans="15:21" x14ac:dyDescent="0.35">
      <c r="O258" s="18">
        <v>39841</v>
      </c>
      <c r="P258">
        <v>21.71</v>
      </c>
      <c r="R258" s="18">
        <v>44204</v>
      </c>
      <c r="S258">
        <v>2760.85</v>
      </c>
      <c r="T258">
        <v>2590000</v>
      </c>
      <c r="U258" s="18">
        <v>44204</v>
      </c>
    </row>
    <row r="259" spans="15:21" x14ac:dyDescent="0.35">
      <c r="O259" s="18">
        <v>39842</v>
      </c>
      <c r="P259">
        <v>21.52</v>
      </c>
      <c r="R259" s="18">
        <v>44207</v>
      </c>
      <c r="S259">
        <v>2777.15</v>
      </c>
      <c r="T259">
        <v>1620000</v>
      </c>
      <c r="U259" s="18">
        <v>44207</v>
      </c>
    </row>
    <row r="260" spans="15:21" x14ac:dyDescent="0.35">
      <c r="O260" s="18">
        <v>39843</v>
      </c>
      <c r="P260">
        <v>21.79</v>
      </c>
      <c r="R260" s="18">
        <v>44208</v>
      </c>
      <c r="S260">
        <v>2881.65</v>
      </c>
      <c r="T260">
        <v>4830000</v>
      </c>
      <c r="U260" s="18">
        <v>44208</v>
      </c>
    </row>
    <row r="261" spans="15:21" x14ac:dyDescent="0.35">
      <c r="O261" s="18">
        <v>39846</v>
      </c>
      <c r="P261">
        <v>21.9</v>
      </c>
      <c r="R261" s="18">
        <v>44209</v>
      </c>
      <c r="S261">
        <v>2868.65</v>
      </c>
      <c r="T261">
        <v>1880000</v>
      </c>
      <c r="U261" s="18">
        <v>44209</v>
      </c>
    </row>
    <row r="262" spans="15:21" x14ac:dyDescent="0.35">
      <c r="O262" s="18">
        <v>39847</v>
      </c>
      <c r="P262">
        <v>22.82</v>
      </c>
      <c r="R262" s="18">
        <v>44210</v>
      </c>
      <c r="S262">
        <v>2886.6</v>
      </c>
      <c r="T262">
        <v>1160000</v>
      </c>
      <c r="U262" s="18">
        <v>44210</v>
      </c>
    </row>
    <row r="263" spans="15:21" x14ac:dyDescent="0.35">
      <c r="O263" s="18">
        <v>39848</v>
      </c>
      <c r="P263">
        <v>23.15</v>
      </c>
      <c r="R263" s="18">
        <v>44211</v>
      </c>
      <c r="S263">
        <v>2857.3</v>
      </c>
      <c r="T263">
        <v>882690</v>
      </c>
      <c r="U263" s="18">
        <v>44211</v>
      </c>
    </row>
    <row r="264" spans="15:21" x14ac:dyDescent="0.35">
      <c r="O264" s="18">
        <v>39849</v>
      </c>
      <c r="P264">
        <v>22.63</v>
      </c>
      <c r="R264" s="18">
        <v>44214</v>
      </c>
      <c r="S264">
        <v>2873</v>
      </c>
      <c r="T264">
        <v>2069999.9999999998</v>
      </c>
      <c r="U264" s="18">
        <v>44214</v>
      </c>
    </row>
    <row r="265" spans="15:21" x14ac:dyDescent="0.35">
      <c r="O265" s="18">
        <v>39850</v>
      </c>
      <c r="P265">
        <v>22.18</v>
      </c>
      <c r="R265" s="18">
        <v>44215</v>
      </c>
      <c r="S265">
        <v>2883.5</v>
      </c>
      <c r="T265">
        <v>1450000</v>
      </c>
      <c r="U265" s="18">
        <v>44215</v>
      </c>
    </row>
    <row r="266" spans="15:21" x14ac:dyDescent="0.35">
      <c r="O266" s="18">
        <v>39853</v>
      </c>
      <c r="P266">
        <v>22.61</v>
      </c>
      <c r="R266" s="18">
        <v>44216</v>
      </c>
      <c r="S266">
        <v>2881.55</v>
      </c>
      <c r="T266">
        <v>1760000</v>
      </c>
      <c r="U266" s="18">
        <v>44216</v>
      </c>
    </row>
    <row r="267" spans="15:21" x14ac:dyDescent="0.35">
      <c r="O267" s="18">
        <v>39854</v>
      </c>
      <c r="P267">
        <v>22.27</v>
      </c>
      <c r="R267" s="18">
        <v>44217</v>
      </c>
      <c r="S267">
        <v>2926.6</v>
      </c>
      <c r="T267">
        <v>1450000</v>
      </c>
      <c r="U267" s="18">
        <v>44217</v>
      </c>
    </row>
    <row r="268" spans="15:21" x14ac:dyDescent="0.35">
      <c r="O268" s="18">
        <v>39855</v>
      </c>
      <c r="P268">
        <v>22.09</v>
      </c>
      <c r="R268" s="18">
        <v>44218</v>
      </c>
      <c r="S268">
        <v>2972.6</v>
      </c>
      <c r="T268">
        <v>3090000</v>
      </c>
      <c r="U268" s="18">
        <v>44218</v>
      </c>
    </row>
    <row r="269" spans="15:21" x14ac:dyDescent="0.35">
      <c r="O269" s="18">
        <v>39856</v>
      </c>
      <c r="P269">
        <v>21.84</v>
      </c>
      <c r="R269" s="18">
        <v>44221</v>
      </c>
      <c r="S269">
        <v>2869.55</v>
      </c>
      <c r="T269">
        <v>2020000</v>
      </c>
      <c r="U269" s="18">
        <v>44221</v>
      </c>
    </row>
    <row r="270" spans="15:21" x14ac:dyDescent="0.35">
      <c r="O270" s="18">
        <v>39857</v>
      </c>
      <c r="P270">
        <v>21.73</v>
      </c>
      <c r="R270" s="18">
        <v>44223</v>
      </c>
      <c r="S270">
        <v>2789.9</v>
      </c>
      <c r="T270">
        <v>2570000</v>
      </c>
      <c r="U270" s="18">
        <v>44223</v>
      </c>
    </row>
    <row r="271" spans="15:21" x14ac:dyDescent="0.35">
      <c r="O271" s="18">
        <v>39860</v>
      </c>
      <c r="P271">
        <v>21.8</v>
      </c>
      <c r="R271" s="18">
        <v>44224</v>
      </c>
      <c r="S271">
        <v>2798.45</v>
      </c>
      <c r="T271">
        <v>1430000</v>
      </c>
      <c r="U271" s="18">
        <v>44224</v>
      </c>
    </row>
    <row r="272" spans="15:21" x14ac:dyDescent="0.35">
      <c r="O272" s="18">
        <v>39861</v>
      </c>
      <c r="P272">
        <v>21.64</v>
      </c>
      <c r="R272" s="18">
        <v>44225</v>
      </c>
      <c r="S272">
        <v>2744.3</v>
      </c>
      <c r="T272">
        <v>2069999.9999999998</v>
      </c>
      <c r="U272" s="18">
        <v>44225</v>
      </c>
    </row>
    <row r="273" spans="15:21" x14ac:dyDescent="0.35">
      <c r="O273" s="18">
        <v>39862</v>
      </c>
      <c r="P273">
        <v>21.7</v>
      </c>
      <c r="R273" s="18">
        <v>44228</v>
      </c>
      <c r="S273">
        <v>2842.85</v>
      </c>
      <c r="T273">
        <v>1850000</v>
      </c>
      <c r="U273" s="18">
        <v>44228</v>
      </c>
    </row>
    <row r="274" spans="15:21" x14ac:dyDescent="0.35">
      <c r="O274" s="18">
        <v>39863</v>
      </c>
      <c r="P274">
        <v>21.69</v>
      </c>
      <c r="R274" s="18">
        <v>44229</v>
      </c>
      <c r="S274">
        <v>2904.85</v>
      </c>
      <c r="T274">
        <v>2130000</v>
      </c>
      <c r="U274" s="18">
        <v>44229</v>
      </c>
    </row>
    <row r="275" spans="15:21" x14ac:dyDescent="0.35">
      <c r="O275" s="18">
        <v>39864</v>
      </c>
      <c r="P275">
        <v>21.11</v>
      </c>
      <c r="R275" s="18">
        <v>44230</v>
      </c>
      <c r="S275">
        <v>2916.9</v>
      </c>
      <c r="T275">
        <v>1350000</v>
      </c>
      <c r="U275" s="18">
        <v>44230</v>
      </c>
    </row>
    <row r="276" spans="15:21" x14ac:dyDescent="0.35">
      <c r="O276" s="18">
        <v>39868</v>
      </c>
      <c r="P276">
        <v>21.16</v>
      </c>
      <c r="R276" s="18">
        <v>44231</v>
      </c>
      <c r="S276">
        <v>2963.45</v>
      </c>
      <c r="T276">
        <v>1260000</v>
      </c>
      <c r="U276" s="18">
        <v>44231</v>
      </c>
    </row>
    <row r="277" spans="15:21" x14ac:dyDescent="0.35">
      <c r="O277" s="18">
        <v>39869</v>
      </c>
      <c r="P277">
        <v>21.29</v>
      </c>
      <c r="R277" s="18">
        <v>44232</v>
      </c>
      <c r="S277">
        <v>2932.15</v>
      </c>
      <c r="T277">
        <v>915840</v>
      </c>
      <c r="U277" s="18">
        <v>44232</v>
      </c>
    </row>
    <row r="278" spans="15:21" x14ac:dyDescent="0.35">
      <c r="O278" s="18">
        <v>39870</v>
      </c>
      <c r="P278">
        <v>21.3</v>
      </c>
      <c r="R278" s="18">
        <v>44235</v>
      </c>
      <c r="S278">
        <v>2970.4</v>
      </c>
      <c r="T278">
        <v>654480</v>
      </c>
      <c r="U278" s="18">
        <v>44235</v>
      </c>
    </row>
    <row r="279" spans="15:21" x14ac:dyDescent="0.35">
      <c r="O279" s="18">
        <v>39871</v>
      </c>
      <c r="P279">
        <v>21.84</v>
      </c>
      <c r="R279" s="18">
        <v>44236</v>
      </c>
      <c r="S279">
        <v>2947.65</v>
      </c>
      <c r="T279">
        <v>1130000</v>
      </c>
      <c r="U279" s="18">
        <v>44236</v>
      </c>
    </row>
    <row r="280" spans="15:21" x14ac:dyDescent="0.35">
      <c r="O280" s="18">
        <v>39874</v>
      </c>
      <c r="P280">
        <v>21.66</v>
      </c>
      <c r="R280" s="18">
        <v>44237</v>
      </c>
      <c r="S280">
        <v>2901.3</v>
      </c>
      <c r="T280">
        <v>2160000</v>
      </c>
      <c r="U280" s="18">
        <v>44237</v>
      </c>
    </row>
    <row r="281" spans="15:21" x14ac:dyDescent="0.35">
      <c r="O281" s="18">
        <v>39875</v>
      </c>
      <c r="P281">
        <v>21.46</v>
      </c>
      <c r="R281" s="18">
        <v>44238</v>
      </c>
      <c r="S281">
        <v>2818.15</v>
      </c>
      <c r="T281">
        <v>4480000</v>
      </c>
      <c r="U281" s="18">
        <v>44238</v>
      </c>
    </row>
    <row r="282" spans="15:21" x14ac:dyDescent="0.35">
      <c r="O282" s="18">
        <v>39876</v>
      </c>
      <c r="P282">
        <v>21.4</v>
      </c>
      <c r="R282" s="18">
        <v>44239</v>
      </c>
      <c r="S282">
        <v>2781.25</v>
      </c>
      <c r="T282">
        <v>1910000</v>
      </c>
      <c r="U282" s="18">
        <v>44239</v>
      </c>
    </row>
    <row r="283" spans="15:21" x14ac:dyDescent="0.35">
      <c r="O283" s="18">
        <v>39877</v>
      </c>
      <c r="P283">
        <v>21.14</v>
      </c>
      <c r="R283" s="18">
        <v>44242</v>
      </c>
      <c r="S283">
        <v>2770.05</v>
      </c>
      <c r="T283">
        <v>930510</v>
      </c>
      <c r="U283" s="18">
        <v>44242</v>
      </c>
    </row>
    <row r="284" spans="15:21" x14ac:dyDescent="0.35">
      <c r="O284" s="18">
        <v>39878</v>
      </c>
      <c r="P284">
        <v>21.41</v>
      </c>
      <c r="R284" s="18">
        <v>44243</v>
      </c>
      <c r="S284">
        <v>2726.95</v>
      </c>
      <c r="T284">
        <v>1530000</v>
      </c>
      <c r="U284" s="18">
        <v>44243</v>
      </c>
    </row>
    <row r="285" spans="15:21" x14ac:dyDescent="0.35">
      <c r="O285" s="18">
        <v>39881</v>
      </c>
      <c r="P285">
        <v>21.6</v>
      </c>
      <c r="R285" s="18">
        <v>44244</v>
      </c>
      <c r="S285">
        <v>2695.5</v>
      </c>
      <c r="T285">
        <v>1490000</v>
      </c>
      <c r="U285" s="18">
        <v>44244</v>
      </c>
    </row>
    <row r="286" spans="15:21" x14ac:dyDescent="0.35">
      <c r="O286" s="18">
        <v>39884</v>
      </c>
      <c r="P286">
        <v>21.61</v>
      </c>
      <c r="R286" s="18">
        <v>44245</v>
      </c>
      <c r="S286">
        <v>2650.2</v>
      </c>
      <c r="T286">
        <v>1920000</v>
      </c>
      <c r="U286" s="18">
        <v>44245</v>
      </c>
    </row>
    <row r="287" spans="15:21" x14ac:dyDescent="0.35">
      <c r="O287" s="18">
        <v>39885</v>
      </c>
      <c r="P287">
        <v>21.62</v>
      </c>
      <c r="R287" s="18">
        <v>44246</v>
      </c>
      <c r="S287">
        <v>2584.65</v>
      </c>
      <c r="T287">
        <v>1590000</v>
      </c>
      <c r="U287" s="18">
        <v>44246</v>
      </c>
    </row>
    <row r="288" spans="15:21" x14ac:dyDescent="0.35">
      <c r="O288" s="18">
        <v>39888</v>
      </c>
      <c r="P288">
        <v>21.55</v>
      </c>
      <c r="R288" s="18">
        <v>44249</v>
      </c>
      <c r="S288">
        <v>2482.35</v>
      </c>
      <c r="T288">
        <v>2190000</v>
      </c>
      <c r="U288" s="18">
        <v>44249</v>
      </c>
    </row>
    <row r="289" spans="15:21" x14ac:dyDescent="0.35">
      <c r="O289" s="18">
        <v>39889</v>
      </c>
      <c r="P289">
        <v>21.11</v>
      </c>
      <c r="R289" s="18">
        <v>44250</v>
      </c>
      <c r="S289">
        <v>2514.6999999999998</v>
      </c>
      <c r="T289">
        <v>1820000</v>
      </c>
      <c r="U289" s="18">
        <v>44250</v>
      </c>
    </row>
    <row r="290" spans="15:21" x14ac:dyDescent="0.35">
      <c r="O290" s="18">
        <v>39890</v>
      </c>
      <c r="P290">
        <v>20.83</v>
      </c>
      <c r="R290" s="18">
        <v>44251</v>
      </c>
      <c r="S290">
        <v>2535.8000000000002</v>
      </c>
      <c r="T290">
        <v>807590</v>
      </c>
      <c r="U290" s="18">
        <v>44251</v>
      </c>
    </row>
    <row r="291" spans="15:21" x14ac:dyDescent="0.35">
      <c r="O291" s="18">
        <v>39891</v>
      </c>
      <c r="P291">
        <v>20.87</v>
      </c>
      <c r="R291" s="18">
        <v>44252</v>
      </c>
      <c r="S291">
        <v>2551.9499999999998</v>
      </c>
      <c r="T291">
        <v>1350000</v>
      </c>
      <c r="U291" s="18">
        <v>44252</v>
      </c>
    </row>
    <row r="292" spans="15:21" x14ac:dyDescent="0.35">
      <c r="O292" s="18">
        <v>39892</v>
      </c>
      <c r="P292">
        <v>20.93</v>
      </c>
      <c r="R292" s="18">
        <v>44253</v>
      </c>
      <c r="S292">
        <v>2498.6</v>
      </c>
      <c r="T292">
        <v>1700000</v>
      </c>
      <c r="U292" s="18">
        <v>44253</v>
      </c>
    </row>
    <row r="293" spans="15:21" x14ac:dyDescent="0.35">
      <c r="O293" s="18">
        <v>39895</v>
      </c>
      <c r="P293">
        <v>21.61</v>
      </c>
      <c r="R293" s="18">
        <v>44256</v>
      </c>
      <c r="S293">
        <v>2556.15</v>
      </c>
      <c r="T293">
        <v>1280000</v>
      </c>
      <c r="U293" s="18">
        <v>44256</v>
      </c>
    </row>
    <row r="294" spans="15:21" x14ac:dyDescent="0.35">
      <c r="O294" s="18">
        <v>39896</v>
      </c>
      <c r="P294">
        <v>21.63</v>
      </c>
      <c r="R294" s="18">
        <v>44257</v>
      </c>
      <c r="S294">
        <v>2602.3000000000002</v>
      </c>
      <c r="T294">
        <v>1490000</v>
      </c>
      <c r="U294" s="18">
        <v>44257</v>
      </c>
    </row>
    <row r="295" spans="15:21" x14ac:dyDescent="0.35">
      <c r="O295" s="18">
        <v>39897</v>
      </c>
      <c r="P295">
        <v>21.12</v>
      </c>
      <c r="R295" s="18">
        <v>44258</v>
      </c>
      <c r="S295">
        <v>2599.0500000000002</v>
      </c>
      <c r="T295">
        <v>1290000</v>
      </c>
      <c r="U295" s="18">
        <v>44258</v>
      </c>
    </row>
    <row r="296" spans="15:21" x14ac:dyDescent="0.35">
      <c r="O296" s="18">
        <v>39898</v>
      </c>
      <c r="P296">
        <v>23.06</v>
      </c>
      <c r="R296" s="18">
        <v>44259</v>
      </c>
      <c r="S296">
        <v>2593.1999999999998</v>
      </c>
      <c r="T296">
        <v>1350000</v>
      </c>
      <c r="U296" s="18">
        <v>44259</v>
      </c>
    </row>
    <row r="297" spans="15:21" x14ac:dyDescent="0.35">
      <c r="O297" s="18">
        <v>39899</v>
      </c>
      <c r="P297">
        <v>22.41</v>
      </c>
      <c r="R297" s="18">
        <v>44260</v>
      </c>
      <c r="S297">
        <v>2587.75</v>
      </c>
      <c r="T297">
        <v>1150000</v>
      </c>
      <c r="U297" s="18">
        <v>44260</v>
      </c>
    </row>
    <row r="298" spans="15:21" x14ac:dyDescent="0.35">
      <c r="O298" s="18">
        <v>39902</v>
      </c>
      <c r="P298">
        <v>21.34</v>
      </c>
      <c r="R298" s="18">
        <v>44263</v>
      </c>
      <c r="S298">
        <v>2583.25</v>
      </c>
      <c r="T298">
        <v>950810</v>
      </c>
      <c r="U298" s="18">
        <v>44263</v>
      </c>
    </row>
    <row r="299" spans="15:21" x14ac:dyDescent="0.35">
      <c r="O299" s="18">
        <v>39903</v>
      </c>
      <c r="P299">
        <v>21.75</v>
      </c>
      <c r="R299" s="18">
        <v>44264</v>
      </c>
      <c r="S299">
        <v>2592.6999999999998</v>
      </c>
      <c r="T299">
        <v>677920</v>
      </c>
      <c r="U299" s="18">
        <v>44264</v>
      </c>
    </row>
    <row r="300" spans="15:21" x14ac:dyDescent="0.35">
      <c r="O300" s="18">
        <v>39904</v>
      </c>
      <c r="P300">
        <v>21.86</v>
      </c>
      <c r="R300" s="18">
        <v>44265</v>
      </c>
      <c r="S300">
        <v>2672.3</v>
      </c>
      <c r="T300">
        <v>1980000</v>
      </c>
      <c r="U300" s="18">
        <v>44265</v>
      </c>
    </row>
    <row r="301" spans="15:21" x14ac:dyDescent="0.35">
      <c r="O301" s="18">
        <v>39905</v>
      </c>
      <c r="P301">
        <v>21.91</v>
      </c>
      <c r="R301" s="18">
        <v>44267</v>
      </c>
      <c r="S301">
        <v>2637.5</v>
      </c>
      <c r="T301">
        <v>1110000</v>
      </c>
      <c r="U301" s="18">
        <v>44267</v>
      </c>
    </row>
    <row r="302" spans="15:21" x14ac:dyDescent="0.35">
      <c r="O302" s="18">
        <v>39909</v>
      </c>
      <c r="P302">
        <v>20.99</v>
      </c>
      <c r="R302" s="18">
        <v>44270</v>
      </c>
      <c r="S302">
        <v>2669.45</v>
      </c>
      <c r="T302">
        <v>839740</v>
      </c>
      <c r="U302" s="18">
        <v>44270</v>
      </c>
    </row>
    <row r="303" spans="15:21" x14ac:dyDescent="0.35">
      <c r="O303" s="18">
        <v>39911</v>
      </c>
      <c r="P303">
        <v>19.75</v>
      </c>
      <c r="R303" s="18">
        <v>44271</v>
      </c>
      <c r="S303">
        <v>2661.05</v>
      </c>
      <c r="T303">
        <v>654830</v>
      </c>
      <c r="U303" s="18">
        <v>44271</v>
      </c>
    </row>
    <row r="304" spans="15:21" x14ac:dyDescent="0.35">
      <c r="O304" s="18">
        <v>39912</v>
      </c>
      <c r="P304">
        <v>20.6</v>
      </c>
      <c r="R304" s="18">
        <v>44272</v>
      </c>
      <c r="S304">
        <v>2647</v>
      </c>
      <c r="T304">
        <v>634980</v>
      </c>
      <c r="U304" s="18">
        <v>44272</v>
      </c>
    </row>
    <row r="305" spans="15:21" x14ac:dyDescent="0.35">
      <c r="O305" s="18">
        <v>39916</v>
      </c>
      <c r="P305">
        <v>19.079999999999998</v>
      </c>
      <c r="R305" s="18">
        <v>44273</v>
      </c>
      <c r="S305">
        <v>2664.6</v>
      </c>
      <c r="T305">
        <v>1070000</v>
      </c>
      <c r="U305" s="18">
        <v>44273</v>
      </c>
    </row>
    <row r="306" spans="15:21" x14ac:dyDescent="0.35">
      <c r="O306" s="18">
        <v>39918</v>
      </c>
      <c r="P306">
        <v>19.91</v>
      </c>
      <c r="R306" s="18">
        <v>44274</v>
      </c>
      <c r="S306">
        <v>2661.5</v>
      </c>
      <c r="T306">
        <v>906720</v>
      </c>
      <c r="U306" s="18">
        <v>44274</v>
      </c>
    </row>
    <row r="307" spans="15:21" x14ac:dyDescent="0.35">
      <c r="O307" s="18">
        <v>39919</v>
      </c>
      <c r="P307">
        <v>18.96</v>
      </c>
      <c r="R307" s="18">
        <v>44277</v>
      </c>
      <c r="S307">
        <v>2676.85</v>
      </c>
      <c r="T307">
        <v>694230</v>
      </c>
      <c r="U307" s="18">
        <v>44277</v>
      </c>
    </row>
    <row r="308" spans="15:21" x14ac:dyDescent="0.35">
      <c r="O308" s="18">
        <v>39920</v>
      </c>
      <c r="P308">
        <v>19.59</v>
      </c>
      <c r="R308" s="18">
        <v>44278</v>
      </c>
      <c r="S308">
        <v>2702.75</v>
      </c>
      <c r="T308">
        <v>1130000</v>
      </c>
      <c r="U308" s="18">
        <v>44278</v>
      </c>
    </row>
    <row r="309" spans="15:21" x14ac:dyDescent="0.35">
      <c r="O309" s="18">
        <v>39923</v>
      </c>
      <c r="P309">
        <v>19.88</v>
      </c>
      <c r="R309" s="18">
        <v>44279</v>
      </c>
      <c r="S309">
        <v>2660.65</v>
      </c>
      <c r="T309">
        <v>1150000</v>
      </c>
      <c r="U309" s="18">
        <v>44279</v>
      </c>
    </row>
    <row r="310" spans="15:21" x14ac:dyDescent="0.35">
      <c r="O310" s="18">
        <v>39924</v>
      </c>
      <c r="P310">
        <v>19.989999999999998</v>
      </c>
      <c r="R310" s="18">
        <v>44280</v>
      </c>
      <c r="S310">
        <v>2580.4499999999998</v>
      </c>
      <c r="T310">
        <v>1120000</v>
      </c>
      <c r="U310" s="18">
        <v>44280</v>
      </c>
    </row>
    <row r="311" spans="15:21" x14ac:dyDescent="0.35">
      <c r="O311" s="18">
        <v>39925</v>
      </c>
      <c r="P311">
        <v>19.84</v>
      </c>
      <c r="R311" s="18">
        <v>44281</v>
      </c>
      <c r="S311">
        <v>2560.5500000000002</v>
      </c>
      <c r="T311">
        <v>676280</v>
      </c>
      <c r="U311" s="18">
        <v>44281</v>
      </c>
    </row>
    <row r="312" spans="15:21" x14ac:dyDescent="0.35">
      <c r="O312" s="18">
        <v>39926</v>
      </c>
      <c r="P312">
        <v>19.989999999999998</v>
      </c>
      <c r="R312" s="18">
        <v>44285</v>
      </c>
      <c r="S312">
        <v>2639.95</v>
      </c>
      <c r="T312">
        <v>980340</v>
      </c>
      <c r="U312" s="18">
        <v>44285</v>
      </c>
    </row>
    <row r="313" spans="15:21" x14ac:dyDescent="0.35">
      <c r="O313" s="18">
        <v>39927</v>
      </c>
      <c r="P313">
        <v>19.91</v>
      </c>
      <c r="R313" s="18">
        <v>44286</v>
      </c>
      <c r="S313">
        <v>2603.9499999999998</v>
      </c>
      <c r="T313">
        <v>829500</v>
      </c>
      <c r="U313" s="18">
        <v>44286</v>
      </c>
    </row>
    <row r="314" spans="15:21" x14ac:dyDescent="0.35">
      <c r="O314" s="18">
        <v>39930</v>
      </c>
      <c r="P314">
        <v>20.21</v>
      </c>
      <c r="R314" s="18">
        <v>44287</v>
      </c>
      <c r="S314">
        <v>2631.15</v>
      </c>
      <c r="T314">
        <v>744420</v>
      </c>
      <c r="U314" s="18">
        <v>44287</v>
      </c>
    </row>
    <row r="315" spans="15:21" x14ac:dyDescent="0.35">
      <c r="O315" s="18">
        <v>39931</v>
      </c>
      <c r="P315">
        <v>20.13</v>
      </c>
      <c r="R315" s="18">
        <v>44291</v>
      </c>
      <c r="S315">
        <v>2517.1999999999998</v>
      </c>
      <c r="T315">
        <v>1210000</v>
      </c>
      <c r="U315" s="18">
        <v>44291</v>
      </c>
    </row>
    <row r="316" spans="15:21" x14ac:dyDescent="0.35">
      <c r="O316" s="18">
        <v>39932</v>
      </c>
      <c r="P316">
        <v>20.46</v>
      </c>
      <c r="R316" s="18">
        <v>44292</v>
      </c>
      <c r="S316">
        <v>2486.6</v>
      </c>
      <c r="T316">
        <v>916830</v>
      </c>
      <c r="U316" s="18">
        <v>44292</v>
      </c>
    </row>
    <row r="317" spans="15:21" x14ac:dyDescent="0.35">
      <c r="O317" s="18">
        <v>39937</v>
      </c>
      <c r="P317">
        <v>19.77</v>
      </c>
      <c r="R317" s="18">
        <v>44293</v>
      </c>
      <c r="S317">
        <v>2538.1999999999998</v>
      </c>
      <c r="T317">
        <v>684430</v>
      </c>
      <c r="U317" s="18">
        <v>44293</v>
      </c>
    </row>
    <row r="318" spans="15:21" x14ac:dyDescent="0.35">
      <c r="O318" s="18">
        <v>39938</v>
      </c>
      <c r="P318">
        <v>19.64</v>
      </c>
      <c r="R318" s="18">
        <v>44294</v>
      </c>
      <c r="S318">
        <v>2553</v>
      </c>
      <c r="T318">
        <v>760850</v>
      </c>
      <c r="U318" s="18">
        <v>44294</v>
      </c>
    </row>
    <row r="319" spans="15:21" x14ac:dyDescent="0.35">
      <c r="O319" s="18">
        <v>39939</v>
      </c>
      <c r="P319">
        <v>20.03</v>
      </c>
      <c r="R319" s="18">
        <v>44295</v>
      </c>
      <c r="S319">
        <v>2521.6</v>
      </c>
      <c r="T319">
        <v>719040</v>
      </c>
      <c r="U319" s="18">
        <v>44295</v>
      </c>
    </row>
    <row r="320" spans="15:21" x14ac:dyDescent="0.35">
      <c r="O320" s="18">
        <v>39940</v>
      </c>
      <c r="P320">
        <v>20.6</v>
      </c>
      <c r="R320" s="18">
        <v>44298</v>
      </c>
      <c r="S320">
        <v>2427.1999999999998</v>
      </c>
      <c r="T320">
        <v>1050000</v>
      </c>
      <c r="U320" s="18">
        <v>44298</v>
      </c>
    </row>
    <row r="321" spans="15:21" x14ac:dyDescent="0.35">
      <c r="O321" s="18">
        <v>39941</v>
      </c>
      <c r="P321">
        <v>21.39</v>
      </c>
      <c r="R321" s="18">
        <v>44299</v>
      </c>
      <c r="S321">
        <v>2493.85</v>
      </c>
      <c r="T321">
        <v>720900</v>
      </c>
      <c r="U321" s="18">
        <v>44299</v>
      </c>
    </row>
    <row r="322" spans="15:21" x14ac:dyDescent="0.35">
      <c r="O322" s="18">
        <v>39944</v>
      </c>
      <c r="P322">
        <v>22.91</v>
      </c>
      <c r="R322" s="18">
        <v>44301</v>
      </c>
      <c r="S322">
        <v>2412.6</v>
      </c>
      <c r="T322">
        <v>1980000</v>
      </c>
      <c r="U322" s="18">
        <v>44301</v>
      </c>
    </row>
    <row r="323" spans="15:21" x14ac:dyDescent="0.35">
      <c r="O323" s="18">
        <v>39945</v>
      </c>
      <c r="P323">
        <v>22.52</v>
      </c>
      <c r="R323" s="18">
        <v>44302</v>
      </c>
      <c r="S323">
        <v>2434.85</v>
      </c>
      <c r="T323">
        <v>789680</v>
      </c>
      <c r="U323" s="18">
        <v>44302</v>
      </c>
    </row>
    <row r="324" spans="15:21" x14ac:dyDescent="0.35">
      <c r="O324" s="18">
        <v>39946</v>
      </c>
      <c r="P324">
        <v>22.84</v>
      </c>
      <c r="R324" s="18">
        <v>44305</v>
      </c>
      <c r="S324">
        <v>2370.35</v>
      </c>
      <c r="T324">
        <v>882320</v>
      </c>
      <c r="U324" s="18">
        <v>44305</v>
      </c>
    </row>
    <row r="325" spans="15:21" x14ac:dyDescent="0.35">
      <c r="O325" s="18">
        <v>39947</v>
      </c>
      <c r="P325">
        <v>22.64</v>
      </c>
      <c r="R325" s="18">
        <v>44306</v>
      </c>
      <c r="S325">
        <v>2340</v>
      </c>
      <c r="T325">
        <v>1040000</v>
      </c>
      <c r="U325" s="18">
        <v>44306</v>
      </c>
    </row>
    <row r="326" spans="15:21" x14ac:dyDescent="0.35">
      <c r="O326" s="18">
        <v>39948</v>
      </c>
      <c r="P326">
        <v>22.18</v>
      </c>
      <c r="R326" s="18">
        <v>44308</v>
      </c>
      <c r="S326">
        <v>2337.85</v>
      </c>
      <c r="T326">
        <v>834720</v>
      </c>
      <c r="U326" s="18">
        <v>44308</v>
      </c>
    </row>
    <row r="327" spans="15:21" x14ac:dyDescent="0.35">
      <c r="O327" s="18">
        <v>39951</v>
      </c>
      <c r="P327">
        <v>25.01</v>
      </c>
      <c r="R327" s="18">
        <v>44309</v>
      </c>
      <c r="S327">
        <v>2317.3000000000002</v>
      </c>
      <c r="T327">
        <v>962270</v>
      </c>
      <c r="U327" s="18">
        <v>44309</v>
      </c>
    </row>
    <row r="328" spans="15:21" x14ac:dyDescent="0.35">
      <c r="O328" s="18">
        <v>39952</v>
      </c>
      <c r="P328">
        <v>25.01</v>
      </c>
      <c r="R328" s="18">
        <v>44312</v>
      </c>
      <c r="S328">
        <v>2369.85</v>
      </c>
      <c r="T328">
        <v>1330000</v>
      </c>
      <c r="U328" s="18">
        <v>44312</v>
      </c>
    </row>
    <row r="329" spans="15:21" x14ac:dyDescent="0.35">
      <c r="O329" s="18">
        <v>39953</v>
      </c>
      <c r="P329">
        <v>26.12</v>
      </c>
      <c r="R329" s="18">
        <v>44313</v>
      </c>
      <c r="S329">
        <v>2400.1</v>
      </c>
      <c r="T329">
        <v>523799.99999999994</v>
      </c>
      <c r="U329" s="18">
        <v>44313</v>
      </c>
    </row>
    <row r="330" spans="15:21" x14ac:dyDescent="0.35">
      <c r="O330" s="18">
        <v>39954</v>
      </c>
      <c r="P330">
        <v>26.66</v>
      </c>
      <c r="R330" s="18">
        <v>44314</v>
      </c>
      <c r="S330">
        <v>2521.1999999999998</v>
      </c>
      <c r="T330">
        <v>1680000</v>
      </c>
      <c r="U330" s="18">
        <v>44314</v>
      </c>
    </row>
    <row r="331" spans="15:21" x14ac:dyDescent="0.35">
      <c r="O331" s="18">
        <v>39955</v>
      </c>
      <c r="P331">
        <v>28.98</v>
      </c>
      <c r="R331" s="18">
        <v>44315</v>
      </c>
      <c r="S331">
        <v>2462.9</v>
      </c>
      <c r="T331">
        <v>1170000</v>
      </c>
      <c r="U331" s="18">
        <v>44315</v>
      </c>
    </row>
    <row r="332" spans="15:21" x14ac:dyDescent="0.35">
      <c r="O332" s="18">
        <v>39958</v>
      </c>
      <c r="P332">
        <v>29.84</v>
      </c>
      <c r="R332" s="18">
        <v>44316</v>
      </c>
      <c r="S332">
        <v>2421.65</v>
      </c>
      <c r="T332">
        <v>646260</v>
      </c>
      <c r="U332" s="18">
        <v>44316</v>
      </c>
    </row>
    <row r="333" spans="15:21" x14ac:dyDescent="0.35">
      <c r="O333" s="18">
        <v>39959</v>
      </c>
      <c r="P333">
        <v>28.34</v>
      </c>
      <c r="R333" s="18">
        <v>44319</v>
      </c>
      <c r="S333">
        <v>2396.25</v>
      </c>
      <c r="T333">
        <v>461090</v>
      </c>
      <c r="U333" s="18">
        <v>44319</v>
      </c>
    </row>
    <row r="334" spans="15:21" x14ac:dyDescent="0.35">
      <c r="O334" s="18">
        <v>39960</v>
      </c>
      <c r="P334">
        <v>28.82</v>
      </c>
      <c r="R334" s="18">
        <v>44320</v>
      </c>
      <c r="S334">
        <v>2368</v>
      </c>
      <c r="T334">
        <v>623480</v>
      </c>
      <c r="U334" s="18">
        <v>44320</v>
      </c>
    </row>
    <row r="335" spans="15:21" x14ac:dyDescent="0.35">
      <c r="O335" s="18">
        <v>39961</v>
      </c>
      <c r="P335">
        <v>28.66</v>
      </c>
      <c r="R335" s="18">
        <v>44321</v>
      </c>
      <c r="S335">
        <v>2372.4</v>
      </c>
      <c r="T335">
        <v>382620</v>
      </c>
      <c r="U335" s="18">
        <v>44321</v>
      </c>
    </row>
    <row r="336" spans="15:21" x14ac:dyDescent="0.35">
      <c r="O336" s="18">
        <v>39962</v>
      </c>
      <c r="P336">
        <v>28.43</v>
      </c>
      <c r="R336" s="18">
        <v>44322</v>
      </c>
      <c r="S336">
        <v>2443.25</v>
      </c>
      <c r="T336">
        <v>628780</v>
      </c>
      <c r="U336" s="18">
        <v>44322</v>
      </c>
    </row>
    <row r="337" spans="15:21" x14ac:dyDescent="0.35">
      <c r="O337" s="18">
        <v>39965</v>
      </c>
      <c r="P337">
        <v>29.09</v>
      </c>
      <c r="R337" s="18">
        <v>44323</v>
      </c>
      <c r="S337">
        <v>2417.15</v>
      </c>
      <c r="T337">
        <v>464240</v>
      </c>
      <c r="U337" s="18">
        <v>44323</v>
      </c>
    </row>
    <row r="338" spans="15:21" x14ac:dyDescent="0.35">
      <c r="O338" s="18">
        <v>39966</v>
      </c>
      <c r="P338">
        <v>28.39</v>
      </c>
      <c r="R338" s="18">
        <v>44326</v>
      </c>
      <c r="S338">
        <v>2447.25</v>
      </c>
      <c r="T338">
        <v>350560</v>
      </c>
      <c r="U338" s="18">
        <v>44326</v>
      </c>
    </row>
    <row r="339" spans="15:21" x14ac:dyDescent="0.35">
      <c r="O339" s="18">
        <v>39967</v>
      </c>
      <c r="P339">
        <v>29.66</v>
      </c>
      <c r="R339" s="18">
        <v>44327</v>
      </c>
      <c r="S339">
        <v>2471.1999999999998</v>
      </c>
      <c r="T339">
        <v>500449.99999999994</v>
      </c>
      <c r="U339" s="18">
        <v>44327</v>
      </c>
    </row>
    <row r="340" spans="15:21" x14ac:dyDescent="0.35">
      <c r="O340" s="18">
        <v>39968</v>
      </c>
      <c r="P340">
        <v>29.89</v>
      </c>
      <c r="R340" s="18">
        <v>44328</v>
      </c>
      <c r="S340">
        <v>2456.4499999999998</v>
      </c>
      <c r="T340">
        <v>334230</v>
      </c>
      <c r="U340" s="18">
        <v>44328</v>
      </c>
    </row>
    <row r="341" spans="15:21" x14ac:dyDescent="0.35">
      <c r="O341" s="18">
        <v>39969</v>
      </c>
      <c r="P341">
        <v>29.54</v>
      </c>
      <c r="R341" s="18">
        <v>44330</v>
      </c>
      <c r="S341">
        <v>2415.1999999999998</v>
      </c>
      <c r="T341">
        <v>429170</v>
      </c>
      <c r="U341" s="18">
        <v>44330</v>
      </c>
    </row>
    <row r="342" spans="15:21" x14ac:dyDescent="0.35">
      <c r="O342" s="18">
        <v>39972</v>
      </c>
      <c r="P342">
        <v>28.5</v>
      </c>
      <c r="R342" s="18">
        <v>44333</v>
      </c>
      <c r="S342">
        <v>2484.35</v>
      </c>
      <c r="T342">
        <v>577280</v>
      </c>
      <c r="U342" s="18">
        <v>44333</v>
      </c>
    </row>
    <row r="343" spans="15:21" x14ac:dyDescent="0.35">
      <c r="O343" s="18">
        <v>39973</v>
      </c>
      <c r="P343">
        <v>29.02</v>
      </c>
      <c r="R343" s="18">
        <v>44334</v>
      </c>
      <c r="S343">
        <v>2571.85</v>
      </c>
      <c r="T343">
        <v>1020000</v>
      </c>
      <c r="U343" s="18">
        <v>44334</v>
      </c>
    </row>
    <row r="344" spans="15:21" x14ac:dyDescent="0.35">
      <c r="O344" s="18">
        <v>39974</v>
      </c>
      <c r="P344">
        <v>30.05</v>
      </c>
      <c r="R344" s="18">
        <v>44335</v>
      </c>
      <c r="S344">
        <v>2564.6999999999998</v>
      </c>
      <c r="T344">
        <v>1090000</v>
      </c>
      <c r="U344" s="18">
        <v>44335</v>
      </c>
    </row>
    <row r="345" spans="15:21" x14ac:dyDescent="0.35">
      <c r="O345" s="18">
        <v>39975</v>
      </c>
      <c r="P345">
        <v>29.17</v>
      </c>
      <c r="R345" s="18">
        <v>44336</v>
      </c>
      <c r="S345">
        <v>2530.6</v>
      </c>
      <c r="T345">
        <v>509270</v>
      </c>
      <c r="U345" s="18">
        <v>44336</v>
      </c>
    </row>
    <row r="346" spans="15:21" x14ac:dyDescent="0.35">
      <c r="O346" s="18">
        <v>39976</v>
      </c>
      <c r="P346">
        <v>30.53</v>
      </c>
      <c r="R346" s="18">
        <v>44337</v>
      </c>
      <c r="S346">
        <v>2522.3000000000002</v>
      </c>
      <c r="T346">
        <v>743110</v>
      </c>
      <c r="U346" s="18">
        <v>44337</v>
      </c>
    </row>
    <row r="347" spans="15:21" x14ac:dyDescent="0.35">
      <c r="O347" s="18">
        <v>39979</v>
      </c>
      <c r="P347">
        <v>30.82</v>
      </c>
      <c r="R347" s="18">
        <v>44340</v>
      </c>
      <c r="S347">
        <v>2551.1999999999998</v>
      </c>
      <c r="T347">
        <v>850200</v>
      </c>
      <c r="U347" s="18">
        <v>44340</v>
      </c>
    </row>
    <row r="348" spans="15:21" x14ac:dyDescent="0.35">
      <c r="O348" s="18">
        <v>39980</v>
      </c>
      <c r="P348">
        <v>31.06</v>
      </c>
      <c r="R348" s="18">
        <v>44341</v>
      </c>
      <c r="S348">
        <v>2625.05</v>
      </c>
      <c r="T348">
        <v>1020000</v>
      </c>
      <c r="U348" s="18">
        <v>44341</v>
      </c>
    </row>
    <row r="349" spans="15:21" x14ac:dyDescent="0.35">
      <c r="O349" s="18">
        <v>39981</v>
      </c>
      <c r="P349">
        <v>31.32</v>
      </c>
      <c r="R349" s="18">
        <v>44342</v>
      </c>
      <c r="S349">
        <v>2633.5</v>
      </c>
      <c r="T349">
        <v>1030000</v>
      </c>
      <c r="U349" s="18">
        <v>44342</v>
      </c>
    </row>
    <row r="350" spans="15:21" x14ac:dyDescent="0.35">
      <c r="O350" s="18">
        <v>39982</v>
      </c>
      <c r="P350">
        <v>31.5</v>
      </c>
      <c r="R350" s="18">
        <v>44343</v>
      </c>
      <c r="S350">
        <v>2604.0500000000002</v>
      </c>
      <c r="T350">
        <v>1510000</v>
      </c>
      <c r="U350" s="18">
        <v>44343</v>
      </c>
    </row>
    <row r="351" spans="15:21" x14ac:dyDescent="0.35">
      <c r="O351" s="18">
        <v>39983</v>
      </c>
      <c r="P351">
        <v>30.48</v>
      </c>
      <c r="R351" s="18">
        <v>44344</v>
      </c>
      <c r="S351">
        <v>2638.45</v>
      </c>
      <c r="T351">
        <v>2280000</v>
      </c>
      <c r="U351" s="18">
        <v>44344</v>
      </c>
    </row>
    <row r="352" spans="15:21" x14ac:dyDescent="0.35">
      <c r="O352" s="18">
        <v>39986</v>
      </c>
      <c r="P352">
        <v>30.78</v>
      </c>
      <c r="R352" s="18">
        <v>44347</v>
      </c>
      <c r="S352">
        <v>2676.15</v>
      </c>
      <c r="T352">
        <v>838680</v>
      </c>
      <c r="U352" s="18">
        <v>44347</v>
      </c>
    </row>
    <row r="353" spans="15:21" x14ac:dyDescent="0.35">
      <c r="O353" s="18">
        <v>39987</v>
      </c>
      <c r="P353">
        <v>30.83</v>
      </c>
      <c r="R353" s="18">
        <v>44348</v>
      </c>
      <c r="S353">
        <v>2665.8</v>
      </c>
      <c r="T353">
        <v>1130000</v>
      </c>
      <c r="U353" s="18">
        <v>44348</v>
      </c>
    </row>
    <row r="354" spans="15:21" x14ac:dyDescent="0.35">
      <c r="O354" s="18">
        <v>39988</v>
      </c>
      <c r="P354">
        <v>30.99</v>
      </c>
      <c r="R354" s="18">
        <v>44349</v>
      </c>
      <c r="S354">
        <v>2677.75</v>
      </c>
      <c r="T354">
        <v>659430</v>
      </c>
      <c r="U354" s="18">
        <v>44349</v>
      </c>
    </row>
    <row r="355" spans="15:21" x14ac:dyDescent="0.35">
      <c r="O355" s="18">
        <v>39989</v>
      </c>
      <c r="P355">
        <v>31.52</v>
      </c>
      <c r="R355" s="18">
        <v>44350</v>
      </c>
      <c r="S355">
        <v>2767.75</v>
      </c>
      <c r="T355">
        <v>1270000</v>
      </c>
      <c r="U355" s="18">
        <v>44350</v>
      </c>
    </row>
    <row r="356" spans="15:21" x14ac:dyDescent="0.35">
      <c r="O356" s="18">
        <v>39990</v>
      </c>
      <c r="P356">
        <v>31.51</v>
      </c>
      <c r="R356" s="18">
        <v>44351</v>
      </c>
      <c r="S356">
        <v>2744.6</v>
      </c>
      <c r="T356">
        <v>621360</v>
      </c>
      <c r="U356" s="18">
        <v>44351</v>
      </c>
    </row>
    <row r="357" spans="15:21" x14ac:dyDescent="0.35">
      <c r="O357" s="18">
        <v>39993</v>
      </c>
      <c r="P357">
        <v>31.79</v>
      </c>
      <c r="R357" s="18">
        <v>44354</v>
      </c>
      <c r="S357">
        <v>2754.45</v>
      </c>
      <c r="T357">
        <v>602330</v>
      </c>
      <c r="U357" s="18">
        <v>44354</v>
      </c>
    </row>
    <row r="358" spans="15:21" x14ac:dyDescent="0.35">
      <c r="O358" s="18">
        <v>39994</v>
      </c>
      <c r="P358">
        <v>31.16</v>
      </c>
      <c r="R358" s="18">
        <v>44355</v>
      </c>
      <c r="S358">
        <v>2763.8</v>
      </c>
      <c r="T358">
        <v>441930</v>
      </c>
      <c r="U358" s="18">
        <v>44355</v>
      </c>
    </row>
    <row r="359" spans="15:21" x14ac:dyDescent="0.35">
      <c r="O359" s="18">
        <v>39995</v>
      </c>
      <c r="P359">
        <v>33.79</v>
      </c>
      <c r="R359" s="18">
        <v>44356</v>
      </c>
      <c r="S359">
        <v>2729.05</v>
      </c>
      <c r="T359">
        <v>471760</v>
      </c>
      <c r="U359" s="18">
        <v>44356</v>
      </c>
    </row>
    <row r="360" spans="15:21" x14ac:dyDescent="0.35">
      <c r="O360" s="18">
        <v>39996</v>
      </c>
      <c r="P360">
        <v>32.049999999999997</v>
      </c>
      <c r="R360" s="18">
        <v>44357</v>
      </c>
      <c r="S360">
        <v>2705.05</v>
      </c>
      <c r="T360">
        <v>571290</v>
      </c>
      <c r="U360" s="18">
        <v>44357</v>
      </c>
    </row>
    <row r="361" spans="15:21" x14ac:dyDescent="0.35">
      <c r="O361" s="18">
        <v>39997</v>
      </c>
      <c r="P361">
        <v>32.159999999999997</v>
      </c>
      <c r="R361" s="18">
        <v>44358</v>
      </c>
      <c r="S361">
        <v>2746.4</v>
      </c>
      <c r="T361">
        <v>596670</v>
      </c>
      <c r="U361" s="18">
        <v>44358</v>
      </c>
    </row>
    <row r="362" spans="15:21" x14ac:dyDescent="0.35">
      <c r="O362" s="18">
        <v>40000</v>
      </c>
      <c r="P362">
        <v>30.21</v>
      </c>
      <c r="R362" s="18">
        <v>44361</v>
      </c>
      <c r="S362">
        <v>2744.95</v>
      </c>
      <c r="T362">
        <v>525550</v>
      </c>
      <c r="U362" s="18">
        <v>44361</v>
      </c>
    </row>
    <row r="363" spans="15:21" x14ac:dyDescent="0.35">
      <c r="O363" s="18">
        <v>40001</v>
      </c>
      <c r="P363">
        <v>31.61</v>
      </c>
      <c r="R363" s="18">
        <v>44362</v>
      </c>
      <c r="S363">
        <v>2763.5</v>
      </c>
      <c r="T363">
        <v>646740</v>
      </c>
      <c r="U363" s="18">
        <v>44362</v>
      </c>
    </row>
    <row r="364" spans="15:21" x14ac:dyDescent="0.35">
      <c r="O364" s="18">
        <v>40002</v>
      </c>
      <c r="P364">
        <v>31.29</v>
      </c>
      <c r="R364" s="18">
        <v>44363</v>
      </c>
      <c r="S364">
        <v>2741.05</v>
      </c>
      <c r="T364">
        <v>312870</v>
      </c>
      <c r="U364" s="18">
        <v>44363</v>
      </c>
    </row>
    <row r="365" spans="15:21" x14ac:dyDescent="0.35">
      <c r="O365" s="18">
        <v>40003</v>
      </c>
      <c r="P365">
        <v>31.39</v>
      </c>
      <c r="R365" s="18">
        <v>44364</v>
      </c>
      <c r="S365">
        <v>2673.75</v>
      </c>
      <c r="T365">
        <v>701970</v>
      </c>
      <c r="U365" s="18">
        <v>44364</v>
      </c>
    </row>
    <row r="366" spans="15:21" x14ac:dyDescent="0.35">
      <c r="O366" s="18">
        <v>40004</v>
      </c>
      <c r="P366">
        <v>31.39</v>
      </c>
      <c r="R366" s="18">
        <v>44365</v>
      </c>
      <c r="S366">
        <v>2707.55</v>
      </c>
      <c r="T366">
        <v>649500</v>
      </c>
      <c r="U366" s="18">
        <v>44365</v>
      </c>
    </row>
    <row r="367" spans="15:21" x14ac:dyDescent="0.35">
      <c r="O367" s="18">
        <v>40007</v>
      </c>
      <c r="P367">
        <v>31.52</v>
      </c>
      <c r="R367" s="18">
        <v>44368</v>
      </c>
      <c r="S367">
        <v>2698.45</v>
      </c>
      <c r="T367">
        <v>528920</v>
      </c>
      <c r="U367" s="18">
        <v>44368</v>
      </c>
    </row>
    <row r="368" spans="15:21" x14ac:dyDescent="0.35">
      <c r="O368" s="18">
        <v>40008</v>
      </c>
      <c r="P368">
        <v>32.119999999999997</v>
      </c>
      <c r="R368" s="18">
        <v>44369</v>
      </c>
      <c r="S368">
        <v>2718.2</v>
      </c>
      <c r="T368">
        <v>477520</v>
      </c>
      <c r="U368" s="18">
        <v>44369</v>
      </c>
    </row>
    <row r="369" spans="15:21" x14ac:dyDescent="0.35">
      <c r="O369" s="18">
        <v>40009</v>
      </c>
      <c r="P369">
        <v>32.06</v>
      </c>
      <c r="R369" s="18">
        <v>44370</v>
      </c>
      <c r="S369">
        <v>2728.6</v>
      </c>
      <c r="T369">
        <v>432920</v>
      </c>
      <c r="U369" s="18">
        <v>44370</v>
      </c>
    </row>
    <row r="370" spans="15:21" x14ac:dyDescent="0.35">
      <c r="O370" s="18">
        <v>40010</v>
      </c>
      <c r="P370">
        <v>32.659999999999997</v>
      </c>
      <c r="R370" s="18">
        <v>44371</v>
      </c>
      <c r="S370">
        <v>2706.75</v>
      </c>
      <c r="T370">
        <v>402740</v>
      </c>
      <c r="U370" s="18">
        <v>44371</v>
      </c>
    </row>
    <row r="371" spans="15:21" x14ac:dyDescent="0.35">
      <c r="O371" s="18">
        <v>40011</v>
      </c>
      <c r="P371">
        <v>33.020000000000003</v>
      </c>
      <c r="R371" s="18">
        <v>44372</v>
      </c>
      <c r="S371">
        <v>2720.8</v>
      </c>
      <c r="T371">
        <v>455800</v>
      </c>
      <c r="U371" s="18">
        <v>44372</v>
      </c>
    </row>
    <row r="372" spans="15:21" x14ac:dyDescent="0.35">
      <c r="O372" s="18">
        <v>40014</v>
      </c>
      <c r="P372">
        <v>33.049999999999997</v>
      </c>
      <c r="R372" s="18">
        <v>44375</v>
      </c>
      <c r="S372">
        <v>2740.45</v>
      </c>
      <c r="T372">
        <v>243080</v>
      </c>
      <c r="U372" s="18">
        <v>44375</v>
      </c>
    </row>
    <row r="373" spans="15:21" x14ac:dyDescent="0.35">
      <c r="O373" s="18">
        <v>40015</v>
      </c>
      <c r="P373">
        <v>33.01</v>
      </c>
      <c r="R373" s="18">
        <v>44376</v>
      </c>
      <c r="S373">
        <v>2705.1</v>
      </c>
      <c r="T373">
        <v>290140</v>
      </c>
      <c r="U373" s="18">
        <v>44376</v>
      </c>
    </row>
    <row r="374" spans="15:21" x14ac:dyDescent="0.35">
      <c r="O374" s="18">
        <v>40016</v>
      </c>
      <c r="P374">
        <v>33.06</v>
      </c>
      <c r="R374" s="18">
        <v>44377</v>
      </c>
      <c r="S374">
        <v>2671.15</v>
      </c>
      <c r="T374">
        <v>391740</v>
      </c>
      <c r="U374" s="18">
        <v>44377</v>
      </c>
    </row>
    <row r="375" spans="15:21" x14ac:dyDescent="0.35">
      <c r="O375" s="18">
        <v>40017</v>
      </c>
      <c r="P375">
        <v>32.94</v>
      </c>
      <c r="R375" s="18">
        <v>44378</v>
      </c>
      <c r="S375">
        <v>2675.3</v>
      </c>
      <c r="T375">
        <v>463030</v>
      </c>
      <c r="U375" s="18">
        <v>44378</v>
      </c>
    </row>
    <row r="376" spans="15:21" x14ac:dyDescent="0.35">
      <c r="O376" s="18">
        <v>40018</v>
      </c>
      <c r="P376">
        <v>33.39</v>
      </c>
      <c r="R376" s="18">
        <v>44379</v>
      </c>
      <c r="S376">
        <v>2661</v>
      </c>
      <c r="T376">
        <v>621220</v>
      </c>
      <c r="U376" s="18">
        <v>44379</v>
      </c>
    </row>
    <row r="377" spans="15:21" x14ac:dyDescent="0.35">
      <c r="O377" s="18">
        <v>40021</v>
      </c>
      <c r="P377">
        <v>35.35</v>
      </c>
      <c r="R377" s="18">
        <v>44382</v>
      </c>
      <c r="S377">
        <v>2701.05</v>
      </c>
      <c r="T377">
        <v>489160</v>
      </c>
      <c r="U377" s="18">
        <v>44382</v>
      </c>
    </row>
    <row r="378" spans="15:21" x14ac:dyDescent="0.35">
      <c r="O378" s="18">
        <v>40022</v>
      </c>
      <c r="P378">
        <v>36.869999999999997</v>
      </c>
      <c r="R378" s="18">
        <v>44383</v>
      </c>
      <c r="S378">
        <v>2711.15</v>
      </c>
      <c r="T378">
        <v>331770</v>
      </c>
      <c r="U378" s="18">
        <v>44383</v>
      </c>
    </row>
    <row r="379" spans="15:21" x14ac:dyDescent="0.35">
      <c r="O379" s="18">
        <v>40023</v>
      </c>
      <c r="P379">
        <v>36.68</v>
      </c>
      <c r="R379" s="18">
        <v>44384</v>
      </c>
      <c r="S379">
        <v>2710.85</v>
      </c>
      <c r="T379">
        <v>517130</v>
      </c>
      <c r="U379" s="18">
        <v>44384</v>
      </c>
    </row>
    <row r="380" spans="15:21" x14ac:dyDescent="0.35">
      <c r="O380" s="18">
        <v>40024</v>
      </c>
      <c r="P380">
        <v>36.700000000000003</v>
      </c>
      <c r="R380" s="18">
        <v>44385</v>
      </c>
      <c r="S380">
        <v>2729.3</v>
      </c>
      <c r="T380">
        <v>509970.00000000006</v>
      </c>
      <c r="U380" s="18">
        <v>44385</v>
      </c>
    </row>
    <row r="381" spans="15:21" x14ac:dyDescent="0.35">
      <c r="O381" s="18">
        <v>40025</v>
      </c>
      <c r="P381">
        <v>37.729999999999997</v>
      </c>
      <c r="R381" s="18">
        <v>44386</v>
      </c>
      <c r="S381">
        <v>2712.15</v>
      </c>
      <c r="T381">
        <v>971880</v>
      </c>
      <c r="U381" s="18">
        <v>44386</v>
      </c>
    </row>
    <row r="382" spans="15:21" x14ac:dyDescent="0.35">
      <c r="O382" s="18">
        <v>40028</v>
      </c>
      <c r="P382">
        <v>39.020000000000003</v>
      </c>
      <c r="R382" s="18">
        <v>44389</v>
      </c>
      <c r="S382">
        <v>2709.5</v>
      </c>
      <c r="T382">
        <v>273840</v>
      </c>
      <c r="U382" s="18">
        <v>44389</v>
      </c>
    </row>
    <row r="383" spans="15:21" x14ac:dyDescent="0.35">
      <c r="O383" s="18">
        <v>40029</v>
      </c>
      <c r="P383">
        <v>40.44</v>
      </c>
      <c r="R383" s="18">
        <v>44390</v>
      </c>
      <c r="S383">
        <v>2706.7</v>
      </c>
      <c r="T383">
        <v>488410</v>
      </c>
      <c r="U383" s="18">
        <v>44390</v>
      </c>
    </row>
    <row r="384" spans="15:21" x14ac:dyDescent="0.35">
      <c r="O384" s="18">
        <v>40030</v>
      </c>
      <c r="P384">
        <v>39.51</v>
      </c>
      <c r="R384" s="18">
        <v>44391</v>
      </c>
      <c r="S384">
        <v>2700</v>
      </c>
      <c r="T384">
        <v>830880</v>
      </c>
      <c r="U384" s="18">
        <v>44391</v>
      </c>
    </row>
    <row r="385" spans="15:21" x14ac:dyDescent="0.35">
      <c r="O385" s="18">
        <v>40031</v>
      </c>
      <c r="P385">
        <v>41.44</v>
      </c>
      <c r="R385" s="18">
        <v>44392</v>
      </c>
      <c r="S385">
        <v>2667.5</v>
      </c>
      <c r="T385">
        <v>730940</v>
      </c>
      <c r="U385" s="18">
        <v>44392</v>
      </c>
    </row>
    <row r="386" spans="15:21" x14ac:dyDescent="0.35">
      <c r="O386" s="18">
        <v>40032</v>
      </c>
      <c r="P386">
        <v>40.89</v>
      </c>
      <c r="R386" s="18">
        <v>44393</v>
      </c>
      <c r="S386">
        <v>2617.25</v>
      </c>
      <c r="T386">
        <v>1040000</v>
      </c>
      <c r="U386" s="18">
        <v>44393</v>
      </c>
    </row>
    <row r="387" spans="15:21" x14ac:dyDescent="0.35">
      <c r="O387" s="18">
        <v>40035</v>
      </c>
      <c r="P387">
        <v>40.1</v>
      </c>
      <c r="R387" s="18">
        <v>44396</v>
      </c>
      <c r="S387">
        <v>2579.75</v>
      </c>
      <c r="T387">
        <v>561170</v>
      </c>
      <c r="U387" s="18">
        <v>44396</v>
      </c>
    </row>
    <row r="388" spans="15:21" x14ac:dyDescent="0.35">
      <c r="O388" s="18">
        <v>40036</v>
      </c>
      <c r="P388">
        <v>41.05</v>
      </c>
      <c r="R388" s="18">
        <v>44397</v>
      </c>
      <c r="S388">
        <v>2554.85</v>
      </c>
      <c r="T388">
        <v>890120</v>
      </c>
      <c r="U388" s="18">
        <v>44397</v>
      </c>
    </row>
    <row r="389" spans="15:21" x14ac:dyDescent="0.35">
      <c r="O389" s="18">
        <v>40037</v>
      </c>
      <c r="P389">
        <v>40.43</v>
      </c>
      <c r="R389" s="18">
        <v>44399</v>
      </c>
      <c r="S389">
        <v>2560.1</v>
      </c>
      <c r="T389">
        <v>1320000</v>
      </c>
      <c r="U389" s="18">
        <v>44399</v>
      </c>
    </row>
    <row r="390" spans="15:21" x14ac:dyDescent="0.35">
      <c r="O390" s="18">
        <v>40038</v>
      </c>
      <c r="P390">
        <v>42.2</v>
      </c>
      <c r="R390" s="18">
        <v>44400</v>
      </c>
      <c r="S390">
        <v>2549.65</v>
      </c>
      <c r="T390">
        <v>379800</v>
      </c>
      <c r="U390" s="18">
        <v>44400</v>
      </c>
    </row>
    <row r="391" spans="15:21" x14ac:dyDescent="0.35">
      <c r="O391" s="18">
        <v>40039</v>
      </c>
      <c r="P391">
        <v>42.35</v>
      </c>
      <c r="R391" s="18">
        <v>44403</v>
      </c>
      <c r="S391">
        <v>2563.1999999999998</v>
      </c>
      <c r="T391">
        <v>309300</v>
      </c>
      <c r="U391" s="18">
        <v>44403</v>
      </c>
    </row>
    <row r="392" spans="15:21" x14ac:dyDescent="0.35">
      <c r="O392" s="18">
        <v>40042</v>
      </c>
      <c r="P392">
        <v>40.99</v>
      </c>
      <c r="R392" s="18">
        <v>44404</v>
      </c>
      <c r="S392">
        <v>2571.35</v>
      </c>
      <c r="T392">
        <v>492850</v>
      </c>
      <c r="U392" s="18">
        <v>44404</v>
      </c>
    </row>
    <row r="393" spans="15:21" x14ac:dyDescent="0.35">
      <c r="O393" s="18">
        <v>40043</v>
      </c>
      <c r="P393">
        <v>42.47</v>
      </c>
      <c r="R393" s="18">
        <v>44405</v>
      </c>
      <c r="S393">
        <v>2550.4</v>
      </c>
      <c r="T393">
        <v>383900</v>
      </c>
      <c r="U393" s="18">
        <v>44405</v>
      </c>
    </row>
    <row r="394" spans="15:21" x14ac:dyDescent="0.35">
      <c r="O394" s="18">
        <v>40044</v>
      </c>
      <c r="P394">
        <v>42.94</v>
      </c>
      <c r="R394" s="18">
        <v>44406</v>
      </c>
      <c r="S394">
        <v>2528.15</v>
      </c>
      <c r="T394">
        <v>341350</v>
      </c>
      <c r="U394" s="18">
        <v>44406</v>
      </c>
    </row>
    <row r="395" spans="15:21" x14ac:dyDescent="0.35">
      <c r="O395" s="18">
        <v>40045</v>
      </c>
      <c r="P395">
        <v>43.06</v>
      </c>
      <c r="R395" s="18">
        <v>44407</v>
      </c>
      <c r="S395">
        <v>2530.25</v>
      </c>
      <c r="T395">
        <v>606230</v>
      </c>
      <c r="U395" s="18">
        <v>44407</v>
      </c>
    </row>
    <row r="396" spans="15:21" x14ac:dyDescent="0.35">
      <c r="O396" s="18">
        <v>40046</v>
      </c>
      <c r="P396">
        <v>43.03</v>
      </c>
      <c r="R396" s="18">
        <v>44410</v>
      </c>
      <c r="S396">
        <v>2602.6</v>
      </c>
      <c r="T396">
        <v>691440</v>
      </c>
      <c r="U396" s="18">
        <v>44410</v>
      </c>
    </row>
    <row r="397" spans="15:21" x14ac:dyDescent="0.35">
      <c r="O397" s="18">
        <v>40049</v>
      </c>
      <c r="P397">
        <v>44.05</v>
      </c>
      <c r="R397" s="18">
        <v>44411</v>
      </c>
      <c r="S397">
        <v>2649.3</v>
      </c>
      <c r="T397">
        <v>678470</v>
      </c>
      <c r="U397" s="18">
        <v>44411</v>
      </c>
    </row>
    <row r="398" spans="15:21" x14ac:dyDescent="0.35">
      <c r="O398" s="18">
        <v>40050</v>
      </c>
      <c r="P398">
        <v>44.48</v>
      </c>
      <c r="R398" s="18">
        <v>44412</v>
      </c>
      <c r="S398">
        <v>2641.8</v>
      </c>
      <c r="T398">
        <v>548190</v>
      </c>
      <c r="U398" s="18">
        <v>44412</v>
      </c>
    </row>
    <row r="399" spans="15:21" x14ac:dyDescent="0.35">
      <c r="O399" s="18">
        <v>40051</v>
      </c>
      <c r="P399">
        <v>44.59</v>
      </c>
      <c r="R399" s="18">
        <v>44413</v>
      </c>
      <c r="S399">
        <v>2732.15</v>
      </c>
      <c r="T399">
        <v>2170000</v>
      </c>
      <c r="U399" s="18">
        <v>44413</v>
      </c>
    </row>
    <row r="400" spans="15:21" x14ac:dyDescent="0.35">
      <c r="O400" s="18">
        <v>40052</v>
      </c>
      <c r="P400">
        <v>44.29</v>
      </c>
      <c r="R400" s="18">
        <v>44414</v>
      </c>
      <c r="S400">
        <v>2747.35</v>
      </c>
      <c r="T400">
        <v>799080</v>
      </c>
      <c r="U400" s="18">
        <v>44414</v>
      </c>
    </row>
    <row r="401" spans="15:21" x14ac:dyDescent="0.35">
      <c r="O401" s="18">
        <v>40053</v>
      </c>
      <c r="P401">
        <v>43.27</v>
      </c>
      <c r="R401" s="18">
        <v>44417</v>
      </c>
      <c r="S401">
        <v>2729</v>
      </c>
      <c r="T401">
        <v>516619.99999999994</v>
      </c>
      <c r="U401" s="18">
        <v>44417</v>
      </c>
    </row>
    <row r="402" spans="15:21" x14ac:dyDescent="0.35">
      <c r="O402" s="18">
        <v>40056</v>
      </c>
      <c r="P402">
        <v>44.45</v>
      </c>
      <c r="R402" s="18">
        <v>44418</v>
      </c>
      <c r="S402">
        <v>2734.35</v>
      </c>
      <c r="T402">
        <v>733890</v>
      </c>
      <c r="U402" s="18">
        <v>44418</v>
      </c>
    </row>
    <row r="403" spans="15:21" x14ac:dyDescent="0.35">
      <c r="O403" s="18">
        <v>40057</v>
      </c>
      <c r="P403">
        <v>44.53</v>
      </c>
      <c r="R403" s="18">
        <v>44419</v>
      </c>
      <c r="S403">
        <v>2718.25</v>
      </c>
      <c r="T403">
        <v>361520</v>
      </c>
      <c r="U403" s="18">
        <v>44419</v>
      </c>
    </row>
    <row r="404" spans="15:21" x14ac:dyDescent="0.35">
      <c r="O404" s="18">
        <v>40058</v>
      </c>
      <c r="P404">
        <v>45.08</v>
      </c>
      <c r="R404" s="18">
        <v>44420</v>
      </c>
      <c r="S404">
        <v>2616.5500000000002</v>
      </c>
      <c r="T404">
        <v>2250000</v>
      </c>
      <c r="U404" s="18">
        <v>44420</v>
      </c>
    </row>
    <row r="405" spans="15:21" x14ac:dyDescent="0.35">
      <c r="O405" s="18">
        <v>40059</v>
      </c>
      <c r="P405">
        <v>44.58</v>
      </c>
      <c r="R405" s="18">
        <v>44421</v>
      </c>
      <c r="S405">
        <v>2546.8000000000002</v>
      </c>
      <c r="T405">
        <v>4130000</v>
      </c>
      <c r="U405" s="18">
        <v>44421</v>
      </c>
    </row>
    <row r="406" spans="15:21" x14ac:dyDescent="0.35">
      <c r="O406" s="18">
        <v>40060</v>
      </c>
      <c r="P406">
        <v>45.05</v>
      </c>
      <c r="R406" s="18">
        <v>44424</v>
      </c>
      <c r="S406">
        <v>2495.85</v>
      </c>
      <c r="T406">
        <v>1020000</v>
      </c>
      <c r="U406" s="18">
        <v>44424</v>
      </c>
    </row>
    <row r="407" spans="15:21" x14ac:dyDescent="0.35">
      <c r="O407" s="18">
        <v>40063</v>
      </c>
      <c r="P407">
        <v>47.98</v>
      </c>
      <c r="R407" s="18">
        <v>44425</v>
      </c>
      <c r="S407">
        <v>2515.65</v>
      </c>
      <c r="T407">
        <v>1300000</v>
      </c>
      <c r="U407" s="18">
        <v>44425</v>
      </c>
    </row>
    <row r="408" spans="15:21" x14ac:dyDescent="0.35">
      <c r="O408" s="18">
        <v>40064</v>
      </c>
      <c r="P408">
        <v>48.24</v>
      </c>
      <c r="R408" s="18">
        <v>44426</v>
      </c>
      <c r="S408">
        <v>2589.65</v>
      </c>
      <c r="T408">
        <v>1900000</v>
      </c>
      <c r="U408" s="18">
        <v>44426</v>
      </c>
    </row>
    <row r="409" spans="15:21" x14ac:dyDescent="0.35">
      <c r="O409" s="18">
        <v>40065</v>
      </c>
      <c r="P409">
        <v>47.91</v>
      </c>
      <c r="R409" s="18">
        <v>44428</v>
      </c>
      <c r="S409">
        <v>2601.65</v>
      </c>
      <c r="T409">
        <v>2190000</v>
      </c>
      <c r="U409" s="18">
        <v>44428</v>
      </c>
    </row>
    <row r="410" spans="15:21" x14ac:dyDescent="0.35">
      <c r="O410" s="18">
        <v>40066</v>
      </c>
      <c r="P410">
        <v>48.48</v>
      </c>
      <c r="R410" s="18">
        <v>44431</v>
      </c>
      <c r="S410">
        <v>2544</v>
      </c>
      <c r="T410">
        <v>1270000</v>
      </c>
      <c r="U410" s="18">
        <v>44431</v>
      </c>
    </row>
    <row r="411" spans="15:21" x14ac:dyDescent="0.35">
      <c r="O411" s="18">
        <v>40067</v>
      </c>
      <c r="P411">
        <v>50.23</v>
      </c>
      <c r="R411" s="18">
        <v>44432</v>
      </c>
      <c r="S411">
        <v>2547.9</v>
      </c>
      <c r="T411">
        <v>1280000</v>
      </c>
      <c r="U411" s="18">
        <v>44432</v>
      </c>
    </row>
    <row r="412" spans="15:21" x14ac:dyDescent="0.35">
      <c r="O412" s="18">
        <v>40070</v>
      </c>
      <c r="P412">
        <v>50.09</v>
      </c>
      <c r="R412" s="18">
        <v>44433</v>
      </c>
      <c r="S412">
        <v>2579.5</v>
      </c>
      <c r="T412">
        <v>721580</v>
      </c>
      <c r="U412" s="18">
        <v>44433</v>
      </c>
    </row>
    <row r="413" spans="15:21" x14ac:dyDescent="0.35">
      <c r="O413" s="18">
        <v>40071</v>
      </c>
      <c r="P413">
        <v>52.1</v>
      </c>
      <c r="R413" s="18">
        <v>44434</v>
      </c>
      <c r="S413">
        <v>2578.75</v>
      </c>
      <c r="T413">
        <v>440540</v>
      </c>
      <c r="U413" s="18">
        <v>44434</v>
      </c>
    </row>
    <row r="414" spans="15:21" x14ac:dyDescent="0.35">
      <c r="O414" s="18">
        <v>40072</v>
      </c>
      <c r="P414">
        <v>53.38</v>
      </c>
      <c r="R414" s="18">
        <v>44435</v>
      </c>
      <c r="S414">
        <v>2576.1</v>
      </c>
      <c r="T414">
        <v>541880</v>
      </c>
      <c r="U414" s="18">
        <v>44435</v>
      </c>
    </row>
    <row r="415" spans="15:21" x14ac:dyDescent="0.35">
      <c r="O415" s="18">
        <v>40073</v>
      </c>
      <c r="P415">
        <v>54.56</v>
      </c>
      <c r="R415" s="18">
        <v>44438</v>
      </c>
      <c r="S415">
        <v>2553.9499999999998</v>
      </c>
      <c r="T415">
        <v>926190</v>
      </c>
      <c r="U415" s="18">
        <v>44438</v>
      </c>
    </row>
    <row r="416" spans="15:21" x14ac:dyDescent="0.35">
      <c r="O416" s="18">
        <v>40074</v>
      </c>
      <c r="P416">
        <v>54.2</v>
      </c>
      <c r="R416" s="18">
        <v>44439</v>
      </c>
      <c r="S416">
        <v>2679.25</v>
      </c>
      <c r="T416">
        <v>2380000</v>
      </c>
      <c r="U416" s="18">
        <v>44439</v>
      </c>
    </row>
    <row r="417" spans="15:21" x14ac:dyDescent="0.35">
      <c r="O417" s="18">
        <v>40078</v>
      </c>
      <c r="P417">
        <v>54.31</v>
      </c>
      <c r="R417" s="18">
        <v>44440</v>
      </c>
      <c r="S417">
        <v>2703.15</v>
      </c>
      <c r="T417">
        <v>2000000</v>
      </c>
      <c r="U417" s="18">
        <v>44440</v>
      </c>
    </row>
    <row r="418" spans="15:21" x14ac:dyDescent="0.35">
      <c r="O418" s="18">
        <v>40079</v>
      </c>
      <c r="P418">
        <v>55.08</v>
      </c>
      <c r="R418" s="18">
        <v>44441</v>
      </c>
      <c r="S418">
        <v>2733.2</v>
      </c>
      <c r="T418">
        <v>898430</v>
      </c>
      <c r="U418" s="18">
        <v>44441</v>
      </c>
    </row>
    <row r="419" spans="15:21" x14ac:dyDescent="0.35">
      <c r="O419" s="18">
        <v>40080</v>
      </c>
      <c r="P419">
        <v>55.06</v>
      </c>
      <c r="R419" s="18">
        <v>44442</v>
      </c>
      <c r="S419">
        <v>2802.6</v>
      </c>
      <c r="T419">
        <v>2310000</v>
      </c>
      <c r="U419" s="18">
        <v>44442</v>
      </c>
    </row>
    <row r="420" spans="15:21" x14ac:dyDescent="0.35">
      <c r="O420" s="18">
        <v>40081</v>
      </c>
      <c r="P420">
        <v>56.43</v>
      </c>
      <c r="R420" s="18">
        <v>44445</v>
      </c>
      <c r="S420">
        <v>2844.9</v>
      </c>
      <c r="T420">
        <v>1200000</v>
      </c>
      <c r="U420" s="18">
        <v>44445</v>
      </c>
    </row>
    <row r="421" spans="15:21" x14ac:dyDescent="0.35">
      <c r="O421" s="18">
        <v>40085</v>
      </c>
      <c r="P421">
        <v>55.48</v>
      </c>
      <c r="R421" s="18">
        <v>44446</v>
      </c>
      <c r="S421">
        <v>2823.15</v>
      </c>
      <c r="T421">
        <v>545230</v>
      </c>
      <c r="U421" s="18">
        <v>44446</v>
      </c>
    </row>
    <row r="422" spans="15:21" x14ac:dyDescent="0.35">
      <c r="O422" s="18">
        <v>40086</v>
      </c>
      <c r="P422">
        <v>58.08</v>
      </c>
      <c r="R422" s="18">
        <v>44447</v>
      </c>
      <c r="S422">
        <v>2800</v>
      </c>
      <c r="T422">
        <v>616050</v>
      </c>
      <c r="U422" s="18">
        <v>44447</v>
      </c>
    </row>
    <row r="423" spans="15:21" x14ac:dyDescent="0.35">
      <c r="O423" s="18">
        <v>40087</v>
      </c>
      <c r="P423">
        <v>56.12</v>
      </c>
      <c r="R423" s="18">
        <v>44448</v>
      </c>
      <c r="S423">
        <v>2818.2</v>
      </c>
      <c r="T423">
        <v>456150</v>
      </c>
      <c r="U423" s="18">
        <v>44448</v>
      </c>
    </row>
    <row r="424" spans="15:21" x14ac:dyDescent="0.35">
      <c r="O424" s="18">
        <v>40091</v>
      </c>
      <c r="P424">
        <v>54.85</v>
      </c>
      <c r="R424" s="18">
        <v>44452</v>
      </c>
      <c r="S424">
        <v>2805</v>
      </c>
      <c r="T424">
        <v>287430</v>
      </c>
      <c r="U424" s="18">
        <v>44452</v>
      </c>
    </row>
    <row r="425" spans="15:21" x14ac:dyDescent="0.35">
      <c r="O425" s="18">
        <v>40092</v>
      </c>
      <c r="P425">
        <v>54.16</v>
      </c>
      <c r="R425" s="18">
        <v>44453</v>
      </c>
      <c r="S425">
        <v>2820.3</v>
      </c>
      <c r="T425">
        <v>672700</v>
      </c>
      <c r="U425" s="18">
        <v>44453</v>
      </c>
    </row>
    <row r="426" spans="15:21" x14ac:dyDescent="0.35">
      <c r="O426" s="18">
        <v>40093</v>
      </c>
      <c r="P426">
        <v>53.51</v>
      </c>
      <c r="R426" s="18">
        <v>44454</v>
      </c>
      <c r="S426">
        <v>2841.95</v>
      </c>
      <c r="T426">
        <v>412750</v>
      </c>
      <c r="U426" s="18">
        <v>44454</v>
      </c>
    </row>
    <row r="427" spans="15:21" x14ac:dyDescent="0.35">
      <c r="O427" s="18">
        <v>40094</v>
      </c>
      <c r="P427">
        <v>52.33</v>
      </c>
      <c r="R427" s="18">
        <v>44455</v>
      </c>
      <c r="S427">
        <v>2860.2</v>
      </c>
      <c r="T427">
        <v>570870</v>
      </c>
      <c r="U427" s="18">
        <v>44455</v>
      </c>
    </row>
    <row r="428" spans="15:21" x14ac:dyDescent="0.35">
      <c r="O428" s="18">
        <v>40095</v>
      </c>
      <c r="P428">
        <v>51.2</v>
      </c>
      <c r="R428" s="18">
        <v>44456</v>
      </c>
      <c r="S428">
        <v>2898.55</v>
      </c>
      <c r="T428">
        <v>1380000</v>
      </c>
      <c r="U428" s="18">
        <v>44456</v>
      </c>
    </row>
    <row r="429" spans="15:21" x14ac:dyDescent="0.35">
      <c r="O429" s="18">
        <v>40098</v>
      </c>
      <c r="P429">
        <v>51.16</v>
      </c>
      <c r="R429" s="18">
        <v>44459</v>
      </c>
      <c r="S429">
        <v>2813</v>
      </c>
      <c r="T429">
        <v>1190000</v>
      </c>
      <c r="U429" s="18">
        <v>44459</v>
      </c>
    </row>
    <row r="430" spans="15:21" x14ac:dyDescent="0.35">
      <c r="O430" s="18">
        <v>40100</v>
      </c>
      <c r="P430">
        <v>51.7</v>
      </c>
      <c r="R430" s="18">
        <v>44460</v>
      </c>
      <c r="S430">
        <v>2854.4</v>
      </c>
      <c r="T430">
        <v>595120</v>
      </c>
      <c r="U430" s="18">
        <v>44460</v>
      </c>
    </row>
    <row r="431" spans="15:21" x14ac:dyDescent="0.35">
      <c r="O431" s="18">
        <v>40101</v>
      </c>
      <c r="P431">
        <v>51.81</v>
      </c>
      <c r="R431" s="18">
        <v>44461</v>
      </c>
      <c r="S431">
        <v>2842.85</v>
      </c>
      <c r="T431">
        <v>424340</v>
      </c>
      <c r="U431" s="18">
        <v>44461</v>
      </c>
    </row>
    <row r="432" spans="15:21" x14ac:dyDescent="0.35">
      <c r="O432" s="18">
        <v>40102</v>
      </c>
      <c r="P432">
        <v>51.59</v>
      </c>
      <c r="R432" s="18">
        <v>44462</v>
      </c>
      <c r="S432">
        <v>2857.05</v>
      </c>
      <c r="T432">
        <v>452680</v>
      </c>
      <c r="U432" s="18">
        <v>44462</v>
      </c>
    </row>
    <row r="433" spans="15:21" x14ac:dyDescent="0.35">
      <c r="O433" s="18">
        <v>40103</v>
      </c>
      <c r="P433">
        <v>51.49</v>
      </c>
      <c r="R433" s="18">
        <v>44463</v>
      </c>
      <c r="S433">
        <v>2931</v>
      </c>
      <c r="T433">
        <v>806910</v>
      </c>
      <c r="U433" s="18">
        <v>44463</v>
      </c>
    </row>
    <row r="434" spans="15:21" x14ac:dyDescent="0.35">
      <c r="O434" s="18">
        <v>40106</v>
      </c>
      <c r="P434">
        <v>51.65</v>
      </c>
      <c r="R434" s="18">
        <v>44466</v>
      </c>
      <c r="S434">
        <v>2879.35</v>
      </c>
      <c r="T434">
        <v>1330000</v>
      </c>
      <c r="U434" s="18">
        <v>44466</v>
      </c>
    </row>
    <row r="435" spans="15:21" x14ac:dyDescent="0.35">
      <c r="O435" s="18">
        <v>40107</v>
      </c>
      <c r="P435">
        <v>53.05</v>
      </c>
      <c r="R435" s="18">
        <v>44467</v>
      </c>
      <c r="S435">
        <v>2883.05</v>
      </c>
      <c r="T435">
        <v>838120</v>
      </c>
      <c r="U435" s="18">
        <v>44467</v>
      </c>
    </row>
    <row r="436" spans="15:21" x14ac:dyDescent="0.35">
      <c r="O436" s="18">
        <v>40108</v>
      </c>
      <c r="P436">
        <v>52.06</v>
      </c>
      <c r="R436" s="18">
        <v>44468</v>
      </c>
      <c r="S436">
        <v>2843.25</v>
      </c>
      <c r="T436">
        <v>386610</v>
      </c>
      <c r="U436" s="18">
        <v>44468</v>
      </c>
    </row>
    <row r="437" spans="15:21" x14ac:dyDescent="0.35">
      <c r="O437" s="18">
        <v>40109</v>
      </c>
      <c r="P437">
        <v>53.12</v>
      </c>
      <c r="R437" s="18">
        <v>44469</v>
      </c>
      <c r="S437">
        <v>2790.2</v>
      </c>
      <c r="T437">
        <v>861340</v>
      </c>
      <c r="U437" s="18">
        <v>44469</v>
      </c>
    </row>
    <row r="438" spans="15:21" x14ac:dyDescent="0.35">
      <c r="O438" s="18">
        <v>40112</v>
      </c>
      <c r="P438">
        <v>52.93</v>
      </c>
      <c r="R438" s="18">
        <v>44470</v>
      </c>
      <c r="S438">
        <v>2772.45</v>
      </c>
      <c r="T438">
        <v>411010</v>
      </c>
      <c r="U438" s="18">
        <v>44470</v>
      </c>
    </row>
    <row r="439" spans="15:21" x14ac:dyDescent="0.35">
      <c r="O439" s="18">
        <v>40113</v>
      </c>
      <c r="P439">
        <v>52.65</v>
      </c>
      <c r="R439" s="18">
        <v>44473</v>
      </c>
      <c r="S439">
        <v>2745.9</v>
      </c>
      <c r="T439">
        <v>874870</v>
      </c>
      <c r="U439" s="18">
        <v>44473</v>
      </c>
    </row>
    <row r="440" spans="15:21" x14ac:dyDescent="0.35">
      <c r="O440" s="18">
        <v>40114</v>
      </c>
      <c r="P440">
        <v>51.03</v>
      </c>
      <c r="R440" s="18">
        <v>44474</v>
      </c>
      <c r="S440">
        <v>2760.1</v>
      </c>
      <c r="T440">
        <v>452280</v>
      </c>
      <c r="U440" s="18">
        <v>44474</v>
      </c>
    </row>
    <row r="441" spans="15:21" x14ac:dyDescent="0.35">
      <c r="O441" s="18">
        <v>40115</v>
      </c>
      <c r="P441">
        <v>50.33</v>
      </c>
      <c r="R441" s="18">
        <v>44475</v>
      </c>
      <c r="S441">
        <v>2728.95</v>
      </c>
      <c r="T441">
        <v>589260</v>
      </c>
      <c r="U441" s="18">
        <v>44475</v>
      </c>
    </row>
    <row r="442" spans="15:21" x14ac:dyDescent="0.35">
      <c r="O442" s="18">
        <v>40116</v>
      </c>
      <c r="P442">
        <v>50.07</v>
      </c>
      <c r="R442" s="18">
        <v>44476</v>
      </c>
      <c r="S442">
        <v>2820.95</v>
      </c>
      <c r="T442">
        <v>897520</v>
      </c>
      <c r="U442" s="18">
        <v>44476</v>
      </c>
    </row>
    <row r="443" spans="15:21" x14ac:dyDescent="0.35">
      <c r="O443" s="18">
        <v>40120</v>
      </c>
      <c r="P443">
        <v>48.01</v>
      </c>
      <c r="R443" s="18">
        <v>44477</v>
      </c>
      <c r="S443">
        <v>2817.95</v>
      </c>
      <c r="T443">
        <v>572890</v>
      </c>
      <c r="U443" s="18">
        <v>44477</v>
      </c>
    </row>
    <row r="444" spans="15:21" x14ac:dyDescent="0.35">
      <c r="O444" s="18">
        <v>40121</v>
      </c>
      <c r="P444">
        <v>50.6</v>
      </c>
      <c r="R444" s="18">
        <v>44480</v>
      </c>
      <c r="S444">
        <v>2851.75</v>
      </c>
      <c r="T444">
        <v>622400</v>
      </c>
      <c r="U444" s="18">
        <v>44480</v>
      </c>
    </row>
    <row r="445" spans="15:21" x14ac:dyDescent="0.35">
      <c r="O445" s="18">
        <v>40122</v>
      </c>
      <c r="P445">
        <v>51.45</v>
      </c>
      <c r="R445" s="18">
        <v>44481</v>
      </c>
      <c r="S445">
        <v>2909.6</v>
      </c>
      <c r="T445">
        <v>786360</v>
      </c>
      <c r="U445" s="18">
        <v>44481</v>
      </c>
    </row>
    <row r="446" spans="15:21" x14ac:dyDescent="0.35">
      <c r="O446" s="18">
        <v>40123</v>
      </c>
      <c r="P446">
        <v>53.58</v>
      </c>
      <c r="R446" s="18">
        <v>44482</v>
      </c>
      <c r="S446">
        <v>2905.75</v>
      </c>
      <c r="T446">
        <v>687450</v>
      </c>
      <c r="U446" s="18">
        <v>44482</v>
      </c>
    </row>
    <row r="447" spans="15:21" x14ac:dyDescent="0.35">
      <c r="O447" s="18">
        <v>40126</v>
      </c>
      <c r="P447">
        <v>55.03</v>
      </c>
      <c r="R447" s="18">
        <v>44483</v>
      </c>
      <c r="S447">
        <v>2853.2</v>
      </c>
      <c r="T447">
        <v>497010</v>
      </c>
      <c r="U447" s="18">
        <v>44483</v>
      </c>
    </row>
    <row r="448" spans="15:21" x14ac:dyDescent="0.35">
      <c r="O448" s="18">
        <v>40127</v>
      </c>
      <c r="P448">
        <v>55.87</v>
      </c>
      <c r="R448" s="18">
        <v>44487</v>
      </c>
      <c r="S448">
        <v>2826.35</v>
      </c>
      <c r="T448">
        <v>360160</v>
      </c>
      <c r="U448" s="18">
        <v>44487</v>
      </c>
    </row>
    <row r="449" spans="15:21" x14ac:dyDescent="0.35">
      <c r="O449" s="18">
        <v>40128</v>
      </c>
      <c r="P449">
        <v>57.63</v>
      </c>
      <c r="R449" s="18">
        <v>44488</v>
      </c>
      <c r="S449">
        <v>2703.7</v>
      </c>
      <c r="T449">
        <v>999100</v>
      </c>
      <c r="U449" s="18">
        <v>44488</v>
      </c>
    </row>
    <row r="450" spans="15:21" x14ac:dyDescent="0.35">
      <c r="O450" s="18">
        <v>40129</v>
      </c>
      <c r="P450">
        <v>57.97</v>
      </c>
      <c r="R450" s="18">
        <v>44489</v>
      </c>
      <c r="S450">
        <v>2651.2</v>
      </c>
      <c r="T450">
        <v>1160000</v>
      </c>
      <c r="U450" s="18">
        <v>44489</v>
      </c>
    </row>
    <row r="451" spans="15:21" x14ac:dyDescent="0.35">
      <c r="O451" s="18">
        <v>40130</v>
      </c>
      <c r="P451">
        <v>57.02</v>
      </c>
      <c r="R451" s="18">
        <v>44490</v>
      </c>
      <c r="S451">
        <v>2663.35</v>
      </c>
      <c r="T451">
        <v>816200</v>
      </c>
      <c r="U451" s="18">
        <v>44490</v>
      </c>
    </row>
    <row r="452" spans="15:21" x14ac:dyDescent="0.35">
      <c r="O452" s="18">
        <v>40133</v>
      </c>
      <c r="P452">
        <v>58.05</v>
      </c>
      <c r="R452" s="18">
        <v>44491</v>
      </c>
      <c r="S452">
        <v>2612.5500000000002</v>
      </c>
      <c r="T452">
        <v>519030</v>
      </c>
      <c r="U452" s="18">
        <v>44491</v>
      </c>
    </row>
    <row r="453" spans="15:21" x14ac:dyDescent="0.35">
      <c r="O453" s="18">
        <v>40134</v>
      </c>
      <c r="P453">
        <v>58.48</v>
      </c>
      <c r="R453" s="18">
        <v>44494</v>
      </c>
      <c r="S453">
        <v>2561.75</v>
      </c>
      <c r="T453">
        <v>457700</v>
      </c>
      <c r="U453" s="18">
        <v>44494</v>
      </c>
    </row>
    <row r="454" spans="15:21" x14ac:dyDescent="0.35">
      <c r="O454" s="18">
        <v>40135</v>
      </c>
      <c r="P454">
        <v>58.73</v>
      </c>
      <c r="R454" s="18">
        <v>44495</v>
      </c>
      <c r="S454">
        <v>2590.25</v>
      </c>
      <c r="T454">
        <v>677510</v>
      </c>
      <c r="U454" s="18">
        <v>44495</v>
      </c>
    </row>
    <row r="455" spans="15:21" x14ac:dyDescent="0.35">
      <c r="O455" s="18">
        <v>40136</v>
      </c>
      <c r="P455">
        <v>59.55</v>
      </c>
      <c r="R455" s="18">
        <v>44496</v>
      </c>
      <c r="S455">
        <v>2583.9</v>
      </c>
      <c r="T455">
        <v>430370</v>
      </c>
      <c r="U455" s="18">
        <v>44496</v>
      </c>
    </row>
    <row r="456" spans="15:21" x14ac:dyDescent="0.35">
      <c r="O456" s="18">
        <v>40137</v>
      </c>
      <c r="P456">
        <v>59.96</v>
      </c>
      <c r="R456" s="18">
        <v>44497</v>
      </c>
      <c r="S456">
        <v>2527.5</v>
      </c>
      <c r="T456">
        <v>1330000</v>
      </c>
      <c r="U456" s="18">
        <v>44497</v>
      </c>
    </row>
    <row r="457" spans="15:21" x14ac:dyDescent="0.35">
      <c r="O457" s="18">
        <v>40140</v>
      </c>
      <c r="P457">
        <v>58.8</v>
      </c>
      <c r="R457" s="18">
        <v>44498</v>
      </c>
      <c r="S457">
        <v>2484.8000000000002</v>
      </c>
      <c r="T457">
        <v>1630000</v>
      </c>
      <c r="U457" s="18">
        <v>44498</v>
      </c>
    </row>
    <row r="458" spans="15:21" x14ac:dyDescent="0.35">
      <c r="O458" s="18">
        <v>40141</v>
      </c>
      <c r="P458">
        <v>58.49</v>
      </c>
      <c r="R458" s="18">
        <v>44501</v>
      </c>
      <c r="S458">
        <v>2560</v>
      </c>
      <c r="T458">
        <v>1070000</v>
      </c>
      <c r="U458" s="18">
        <v>44501</v>
      </c>
    </row>
    <row r="459" spans="15:21" x14ac:dyDescent="0.35">
      <c r="O459" s="18">
        <v>40142</v>
      </c>
      <c r="P459">
        <v>56.88</v>
      </c>
      <c r="R459" s="18">
        <v>44502</v>
      </c>
      <c r="S459">
        <v>2542.4499999999998</v>
      </c>
      <c r="T459">
        <v>657520</v>
      </c>
      <c r="U459" s="18">
        <v>44502</v>
      </c>
    </row>
    <row r="460" spans="15:21" x14ac:dyDescent="0.35">
      <c r="O460" s="18">
        <v>40143</v>
      </c>
      <c r="P460">
        <v>56.44</v>
      </c>
      <c r="R460" s="18">
        <v>44503</v>
      </c>
      <c r="S460">
        <v>2521.85</v>
      </c>
      <c r="T460">
        <v>930850</v>
      </c>
      <c r="U460" s="18">
        <v>44503</v>
      </c>
    </row>
    <row r="461" spans="15:21" x14ac:dyDescent="0.35">
      <c r="O461" s="18">
        <v>40144</v>
      </c>
      <c r="P461">
        <v>55.71</v>
      </c>
      <c r="R461" s="18">
        <v>44504</v>
      </c>
      <c r="S461">
        <v>2661.6</v>
      </c>
      <c r="T461">
        <v>1390000</v>
      </c>
      <c r="U461" s="18">
        <v>44504</v>
      </c>
    </row>
    <row r="462" spans="15:21" x14ac:dyDescent="0.35">
      <c r="O462" s="18">
        <v>40147</v>
      </c>
      <c r="P462">
        <v>58.45</v>
      </c>
      <c r="R462" s="18">
        <v>44508</v>
      </c>
      <c r="S462">
        <v>2711.25</v>
      </c>
      <c r="T462">
        <v>3080000</v>
      </c>
      <c r="U462" s="18">
        <v>44508</v>
      </c>
    </row>
    <row r="463" spans="15:21" x14ac:dyDescent="0.35">
      <c r="O463" s="18">
        <v>40148</v>
      </c>
      <c r="P463">
        <v>58.77</v>
      </c>
      <c r="R463" s="18">
        <v>44509</v>
      </c>
      <c r="S463">
        <v>2724.25</v>
      </c>
      <c r="T463">
        <v>726390</v>
      </c>
      <c r="U463" s="18">
        <v>44509</v>
      </c>
    </row>
    <row r="464" spans="15:21" x14ac:dyDescent="0.35">
      <c r="O464" s="18">
        <v>40149</v>
      </c>
      <c r="P464">
        <v>59.52</v>
      </c>
      <c r="R464" s="18">
        <v>44510</v>
      </c>
      <c r="S464">
        <v>2746.75</v>
      </c>
      <c r="T464">
        <v>861640</v>
      </c>
      <c r="U464" s="18">
        <v>44510</v>
      </c>
    </row>
    <row r="465" spans="15:21" x14ac:dyDescent="0.35">
      <c r="O465" s="18">
        <v>40150</v>
      </c>
      <c r="P465">
        <v>62.52</v>
      </c>
      <c r="R465" s="18">
        <v>44511</v>
      </c>
      <c r="S465">
        <v>2704.35</v>
      </c>
      <c r="T465">
        <v>533140</v>
      </c>
      <c r="U465" s="18">
        <v>44511</v>
      </c>
    </row>
    <row r="466" spans="15:21" x14ac:dyDescent="0.35">
      <c r="O466" s="18">
        <v>40151</v>
      </c>
      <c r="P466">
        <v>60.44</v>
      </c>
      <c r="R466" s="18">
        <v>44512</v>
      </c>
      <c r="S466">
        <v>2723</v>
      </c>
      <c r="T466">
        <v>879210</v>
      </c>
      <c r="U466" s="18">
        <v>44512</v>
      </c>
    </row>
    <row r="467" spans="15:21" x14ac:dyDescent="0.35">
      <c r="O467" s="18">
        <v>40154</v>
      </c>
      <c r="P467">
        <v>59.85</v>
      </c>
      <c r="R467" s="18">
        <v>44515</v>
      </c>
      <c r="S467">
        <v>2684.35</v>
      </c>
      <c r="T467">
        <v>686530</v>
      </c>
      <c r="U467" s="18">
        <v>44515</v>
      </c>
    </row>
    <row r="468" spans="15:21" x14ac:dyDescent="0.35">
      <c r="O468" s="18">
        <v>40155</v>
      </c>
      <c r="P468">
        <v>59.47</v>
      </c>
      <c r="R468" s="18">
        <v>44516</v>
      </c>
      <c r="S468">
        <v>2710.3</v>
      </c>
      <c r="T468">
        <v>1230000</v>
      </c>
      <c r="U468" s="18">
        <v>44516</v>
      </c>
    </row>
    <row r="469" spans="15:21" x14ac:dyDescent="0.35">
      <c r="O469" s="18">
        <v>40156</v>
      </c>
      <c r="P469">
        <v>59.28</v>
      </c>
      <c r="R469" s="18">
        <v>44517</v>
      </c>
      <c r="S469">
        <v>2674.2</v>
      </c>
      <c r="T469">
        <v>848880</v>
      </c>
      <c r="U469" s="18">
        <v>44517</v>
      </c>
    </row>
    <row r="470" spans="15:21" x14ac:dyDescent="0.35">
      <c r="O470" s="18">
        <v>40157</v>
      </c>
      <c r="P470">
        <v>58.38</v>
      </c>
      <c r="R470" s="18">
        <v>44518</v>
      </c>
      <c r="S470">
        <v>2603.3000000000002</v>
      </c>
      <c r="T470">
        <v>823300</v>
      </c>
      <c r="U470" s="18">
        <v>44518</v>
      </c>
    </row>
    <row r="471" spans="15:21" x14ac:dyDescent="0.35">
      <c r="O471" s="18">
        <v>40158</v>
      </c>
      <c r="P471">
        <v>59.52</v>
      </c>
      <c r="R471" s="18">
        <v>44522</v>
      </c>
      <c r="S471">
        <v>2548.0500000000002</v>
      </c>
      <c r="T471">
        <v>1010000</v>
      </c>
      <c r="U471" s="18">
        <v>44522</v>
      </c>
    </row>
    <row r="472" spans="15:21" x14ac:dyDescent="0.35">
      <c r="O472" s="18">
        <v>40161</v>
      </c>
      <c r="P472">
        <v>60.6</v>
      </c>
      <c r="R472" s="18">
        <v>44523</v>
      </c>
      <c r="S472">
        <v>2599.1999999999998</v>
      </c>
      <c r="T472">
        <v>611140</v>
      </c>
      <c r="U472" s="18">
        <v>44523</v>
      </c>
    </row>
    <row r="473" spans="15:21" x14ac:dyDescent="0.35">
      <c r="O473" s="18">
        <v>40162</v>
      </c>
      <c r="P473">
        <v>61.35</v>
      </c>
      <c r="R473" s="18">
        <v>44524</v>
      </c>
      <c r="S473">
        <v>2536.9499999999998</v>
      </c>
      <c r="T473">
        <v>455220</v>
      </c>
      <c r="U473" s="18">
        <v>44524</v>
      </c>
    </row>
    <row r="474" spans="15:21" x14ac:dyDescent="0.35">
      <c r="O474" s="18">
        <v>40163</v>
      </c>
      <c r="P474">
        <v>60.02</v>
      </c>
      <c r="R474" s="18">
        <v>44525</v>
      </c>
      <c r="S474">
        <v>2520.4</v>
      </c>
      <c r="T474">
        <v>525540</v>
      </c>
      <c r="U474" s="18">
        <v>44525</v>
      </c>
    </row>
    <row r="475" spans="15:21" x14ac:dyDescent="0.35">
      <c r="O475" s="18">
        <v>40164</v>
      </c>
      <c r="P475">
        <v>59.81</v>
      </c>
      <c r="R475" s="18">
        <v>44526</v>
      </c>
      <c r="S475">
        <v>2433.9</v>
      </c>
      <c r="T475">
        <v>554630</v>
      </c>
      <c r="U475" s="18">
        <v>44526</v>
      </c>
    </row>
    <row r="476" spans="15:21" x14ac:dyDescent="0.35">
      <c r="O476" s="18">
        <v>40165</v>
      </c>
      <c r="P476">
        <v>59.13</v>
      </c>
      <c r="R476" s="18">
        <v>44529</v>
      </c>
      <c r="S476">
        <v>2413.4</v>
      </c>
      <c r="T476">
        <v>342550</v>
      </c>
      <c r="U476" s="18">
        <v>44529</v>
      </c>
    </row>
    <row r="477" spans="15:21" x14ac:dyDescent="0.35">
      <c r="O477" s="18">
        <v>40168</v>
      </c>
      <c r="P477">
        <v>60.93</v>
      </c>
      <c r="R477" s="18">
        <v>44530</v>
      </c>
      <c r="S477">
        <v>2370.4499999999998</v>
      </c>
      <c r="T477">
        <v>1100000</v>
      </c>
      <c r="U477" s="18">
        <v>44530</v>
      </c>
    </row>
    <row r="478" spans="15:21" x14ac:dyDescent="0.35">
      <c r="O478" s="18">
        <v>40169</v>
      </c>
      <c r="P478">
        <v>60.03</v>
      </c>
      <c r="R478" s="18">
        <v>44531</v>
      </c>
      <c r="S478">
        <v>2438.3000000000002</v>
      </c>
      <c r="T478">
        <v>1690000</v>
      </c>
      <c r="U478" s="18">
        <v>44531</v>
      </c>
    </row>
    <row r="479" spans="15:21" x14ac:dyDescent="0.35">
      <c r="O479" s="18">
        <v>40170</v>
      </c>
      <c r="P479">
        <v>61.5</v>
      </c>
      <c r="R479" s="18">
        <v>44532</v>
      </c>
      <c r="S479">
        <v>2451.5500000000002</v>
      </c>
      <c r="T479">
        <v>363180</v>
      </c>
      <c r="U479" s="18">
        <v>44532</v>
      </c>
    </row>
    <row r="480" spans="15:21" x14ac:dyDescent="0.35">
      <c r="O480" s="18">
        <v>40171</v>
      </c>
      <c r="P480">
        <v>61.85</v>
      </c>
      <c r="R480" s="18">
        <v>44533</v>
      </c>
      <c r="S480">
        <v>2455.5500000000002</v>
      </c>
      <c r="T480">
        <v>659150</v>
      </c>
      <c r="U480" s="18">
        <v>44533</v>
      </c>
    </row>
    <row r="481" spans="15:21" x14ac:dyDescent="0.35">
      <c r="O481" s="18">
        <v>40176</v>
      </c>
      <c r="P481">
        <v>62.93</v>
      </c>
      <c r="R481" s="18">
        <v>44536</v>
      </c>
      <c r="S481">
        <v>2444.1</v>
      </c>
      <c r="T481">
        <v>537940</v>
      </c>
      <c r="U481" s="18">
        <v>44536</v>
      </c>
    </row>
    <row r="482" spans="15:21" x14ac:dyDescent="0.35">
      <c r="O482" s="18">
        <v>40177</v>
      </c>
      <c r="P482">
        <v>64.5</v>
      </c>
      <c r="R482" s="18">
        <v>44537</v>
      </c>
      <c r="S482">
        <v>2471.8000000000002</v>
      </c>
      <c r="T482">
        <v>262330</v>
      </c>
      <c r="U482" s="18">
        <v>44537</v>
      </c>
    </row>
    <row r="483" spans="15:21" x14ac:dyDescent="0.35">
      <c r="O483" s="18">
        <v>40178</v>
      </c>
      <c r="P483">
        <v>65.52</v>
      </c>
      <c r="R483" s="18">
        <v>44538</v>
      </c>
      <c r="S483">
        <v>2505.5500000000002</v>
      </c>
      <c r="T483">
        <v>404130</v>
      </c>
      <c r="U483" s="18">
        <v>44538</v>
      </c>
    </row>
    <row r="484" spans="15:21" x14ac:dyDescent="0.35">
      <c r="O484" s="18">
        <v>40182</v>
      </c>
      <c r="P484">
        <v>67.56</v>
      </c>
      <c r="R484" s="18">
        <v>44539</v>
      </c>
      <c r="S484">
        <v>2542.9499999999998</v>
      </c>
      <c r="T484">
        <v>831120</v>
      </c>
      <c r="U484" s="18">
        <v>44539</v>
      </c>
    </row>
    <row r="485" spans="15:21" x14ac:dyDescent="0.35">
      <c r="O485" s="18">
        <v>40183</v>
      </c>
      <c r="P485">
        <v>65.31</v>
      </c>
      <c r="R485" s="18">
        <v>44540</v>
      </c>
      <c r="S485">
        <v>2527.65</v>
      </c>
      <c r="T485">
        <v>325670</v>
      </c>
      <c r="U485" s="18">
        <v>44540</v>
      </c>
    </row>
    <row r="486" spans="15:21" x14ac:dyDescent="0.35">
      <c r="O486" s="18">
        <v>40184</v>
      </c>
      <c r="P486">
        <v>64.77</v>
      </c>
      <c r="R486" s="18">
        <v>44543</v>
      </c>
      <c r="S486">
        <v>2496.6999999999998</v>
      </c>
      <c r="T486">
        <v>403780</v>
      </c>
      <c r="U486" s="18">
        <v>44543</v>
      </c>
    </row>
    <row r="487" spans="15:21" x14ac:dyDescent="0.35">
      <c r="O487" s="18">
        <v>40185</v>
      </c>
      <c r="P487">
        <v>63.86</v>
      </c>
      <c r="R487" s="18">
        <v>44544</v>
      </c>
      <c r="S487">
        <v>2487.4499999999998</v>
      </c>
      <c r="T487">
        <v>395360</v>
      </c>
      <c r="U487" s="18">
        <v>44544</v>
      </c>
    </row>
    <row r="488" spans="15:21" x14ac:dyDescent="0.35">
      <c r="O488" s="18">
        <v>40186</v>
      </c>
      <c r="P488">
        <v>64.72</v>
      </c>
      <c r="R488" s="18">
        <v>44545</v>
      </c>
      <c r="S488">
        <v>2493.35</v>
      </c>
      <c r="T488">
        <v>314820</v>
      </c>
      <c r="U488" s="18">
        <v>44545</v>
      </c>
    </row>
    <row r="489" spans="15:21" x14ac:dyDescent="0.35">
      <c r="O489" s="18">
        <v>40189</v>
      </c>
      <c r="P489">
        <v>64.31</v>
      </c>
      <c r="R489" s="18">
        <v>44546</v>
      </c>
      <c r="S489">
        <v>2471.15</v>
      </c>
      <c r="T489">
        <v>680390</v>
      </c>
      <c r="U489" s="18">
        <v>44546</v>
      </c>
    </row>
    <row r="490" spans="15:21" x14ac:dyDescent="0.35">
      <c r="O490" s="18">
        <v>40190</v>
      </c>
      <c r="P490">
        <v>61.53</v>
      </c>
      <c r="R490" s="18">
        <v>44547</v>
      </c>
      <c r="S490">
        <v>2459</v>
      </c>
      <c r="T490">
        <v>670900</v>
      </c>
      <c r="U490" s="18">
        <v>44547</v>
      </c>
    </row>
    <row r="491" spans="15:21" x14ac:dyDescent="0.35">
      <c r="O491" s="18">
        <v>40191</v>
      </c>
      <c r="P491">
        <v>60.77</v>
      </c>
      <c r="R491" s="18">
        <v>44550</v>
      </c>
      <c r="S491">
        <v>2406.4499999999998</v>
      </c>
      <c r="T491">
        <v>475320</v>
      </c>
      <c r="U491" s="18">
        <v>44550</v>
      </c>
    </row>
    <row r="492" spans="15:21" x14ac:dyDescent="0.35">
      <c r="O492" s="18">
        <v>40192</v>
      </c>
      <c r="P492">
        <v>60.8</v>
      </c>
      <c r="R492" s="18">
        <v>44551</v>
      </c>
      <c r="S492">
        <v>2416.65</v>
      </c>
      <c r="T492">
        <v>333860</v>
      </c>
      <c r="U492" s="18">
        <v>44551</v>
      </c>
    </row>
    <row r="493" spans="15:21" x14ac:dyDescent="0.35">
      <c r="O493" s="18">
        <v>40193</v>
      </c>
      <c r="P493">
        <v>62.84</v>
      </c>
      <c r="R493" s="18">
        <v>44552</v>
      </c>
      <c r="S493">
        <v>2486.85</v>
      </c>
      <c r="T493">
        <v>625660</v>
      </c>
      <c r="U493" s="18">
        <v>44552</v>
      </c>
    </row>
    <row r="494" spans="15:21" x14ac:dyDescent="0.35">
      <c r="O494" s="18">
        <v>40196</v>
      </c>
      <c r="P494">
        <v>64.14</v>
      </c>
      <c r="R494" s="18">
        <v>44553</v>
      </c>
      <c r="S494">
        <v>2480.25</v>
      </c>
      <c r="T494">
        <v>326500</v>
      </c>
      <c r="U494" s="18">
        <v>44553</v>
      </c>
    </row>
    <row r="495" spans="15:21" x14ac:dyDescent="0.35">
      <c r="O495" s="18">
        <v>40197</v>
      </c>
      <c r="P495">
        <v>63.21</v>
      </c>
      <c r="R495" s="18">
        <v>44554</v>
      </c>
      <c r="S495">
        <v>2437.9</v>
      </c>
      <c r="T495">
        <v>265890</v>
      </c>
      <c r="U495" s="18">
        <v>44554</v>
      </c>
    </row>
    <row r="496" spans="15:21" x14ac:dyDescent="0.35">
      <c r="O496" s="18">
        <v>40198</v>
      </c>
      <c r="P496">
        <v>61.86</v>
      </c>
      <c r="R496" s="18">
        <v>44557</v>
      </c>
      <c r="S496">
        <v>2438.9499999999998</v>
      </c>
      <c r="T496">
        <v>345110</v>
      </c>
      <c r="U496" s="18">
        <v>44557</v>
      </c>
    </row>
    <row r="497" spans="15:21" x14ac:dyDescent="0.35">
      <c r="O497" s="18">
        <v>40199</v>
      </c>
      <c r="P497">
        <v>60.98</v>
      </c>
      <c r="R497" s="18">
        <v>44558</v>
      </c>
      <c r="S497">
        <v>2480.4</v>
      </c>
      <c r="T497">
        <v>632950</v>
      </c>
      <c r="U497" s="18">
        <v>44558</v>
      </c>
    </row>
    <row r="498" spans="15:21" x14ac:dyDescent="0.35">
      <c r="O498" s="18">
        <v>40200</v>
      </c>
      <c r="P498">
        <v>60.3</v>
      </c>
      <c r="R498" s="18">
        <v>44559</v>
      </c>
      <c r="S498">
        <v>2562.25</v>
      </c>
      <c r="T498">
        <v>693260</v>
      </c>
      <c r="U498" s="18">
        <v>44559</v>
      </c>
    </row>
    <row r="499" spans="15:21" x14ac:dyDescent="0.35">
      <c r="O499" s="18">
        <v>40203</v>
      </c>
      <c r="P499">
        <v>59.55</v>
      </c>
      <c r="R499" s="18">
        <v>44560</v>
      </c>
      <c r="S499">
        <v>2557</v>
      </c>
      <c r="T499">
        <v>797280</v>
      </c>
      <c r="U499" s="18">
        <v>44560</v>
      </c>
    </row>
    <row r="500" spans="15:21" x14ac:dyDescent="0.35">
      <c r="O500" s="18">
        <v>40205</v>
      </c>
      <c r="P500">
        <v>56.86</v>
      </c>
      <c r="R500" s="18">
        <v>44561</v>
      </c>
      <c r="S500">
        <v>2591.9</v>
      </c>
      <c r="T500">
        <v>406760</v>
      </c>
      <c r="U500" s="18">
        <v>44561</v>
      </c>
    </row>
    <row r="501" spans="15:21" x14ac:dyDescent="0.35">
      <c r="O501" s="18">
        <v>40206</v>
      </c>
      <c r="P501">
        <v>57.6</v>
      </c>
      <c r="R501" s="18">
        <v>44564</v>
      </c>
      <c r="S501">
        <v>2718.8</v>
      </c>
      <c r="T501">
        <v>2460000</v>
      </c>
      <c r="U501" s="18">
        <v>44564</v>
      </c>
    </row>
    <row r="502" spans="15:21" x14ac:dyDescent="0.35">
      <c r="O502" s="18">
        <v>40207</v>
      </c>
      <c r="P502">
        <v>56.78</v>
      </c>
      <c r="R502" s="18">
        <v>44565</v>
      </c>
      <c r="S502">
        <v>2705</v>
      </c>
      <c r="T502">
        <v>736620</v>
      </c>
      <c r="U502" s="18">
        <v>44565</v>
      </c>
    </row>
    <row r="503" spans="15:21" x14ac:dyDescent="0.35">
      <c r="O503" s="18">
        <v>40210</v>
      </c>
      <c r="P503">
        <v>58.88</v>
      </c>
      <c r="R503" s="18">
        <v>44566</v>
      </c>
      <c r="S503">
        <v>2778.6</v>
      </c>
      <c r="T503">
        <v>1040000</v>
      </c>
      <c r="U503" s="18">
        <v>44566</v>
      </c>
    </row>
    <row r="504" spans="15:21" x14ac:dyDescent="0.35">
      <c r="O504" s="18">
        <v>40211</v>
      </c>
      <c r="P504">
        <v>57.19</v>
      </c>
      <c r="R504" s="18">
        <v>44567</v>
      </c>
      <c r="S504">
        <v>2817.15</v>
      </c>
      <c r="T504">
        <v>1060000</v>
      </c>
      <c r="U504" s="18">
        <v>44567</v>
      </c>
    </row>
    <row r="505" spans="15:21" x14ac:dyDescent="0.35">
      <c r="O505" s="18">
        <v>40212</v>
      </c>
      <c r="P505">
        <v>57.58</v>
      </c>
      <c r="R505" s="18">
        <v>44568</v>
      </c>
      <c r="S505">
        <v>2824.4</v>
      </c>
      <c r="T505">
        <v>572040</v>
      </c>
      <c r="U505" s="18">
        <v>44568</v>
      </c>
    </row>
    <row r="506" spans="15:21" x14ac:dyDescent="0.35">
      <c r="O506" s="18">
        <v>40213</v>
      </c>
      <c r="P506">
        <v>55.37</v>
      </c>
      <c r="R506" s="18">
        <v>44571</v>
      </c>
      <c r="S506">
        <v>2815.5</v>
      </c>
      <c r="T506">
        <v>493240</v>
      </c>
      <c r="U506" s="18">
        <v>44571</v>
      </c>
    </row>
    <row r="507" spans="15:21" x14ac:dyDescent="0.35">
      <c r="O507" s="18">
        <v>40214</v>
      </c>
      <c r="P507">
        <v>52.62</v>
      </c>
      <c r="R507" s="18">
        <v>44572</v>
      </c>
      <c r="S507">
        <v>2794.35</v>
      </c>
      <c r="T507">
        <v>334700</v>
      </c>
      <c r="U507" s="18">
        <v>44572</v>
      </c>
    </row>
    <row r="508" spans="15:21" x14ac:dyDescent="0.35">
      <c r="O508" s="18">
        <v>40215</v>
      </c>
      <c r="P508">
        <v>56.15</v>
      </c>
      <c r="R508" s="18">
        <v>44573</v>
      </c>
      <c r="S508">
        <v>2815.9</v>
      </c>
      <c r="T508">
        <v>441000</v>
      </c>
      <c r="U508" s="18">
        <v>44573</v>
      </c>
    </row>
    <row r="509" spans="15:21" x14ac:dyDescent="0.35">
      <c r="O509" s="18">
        <v>40217</v>
      </c>
      <c r="P509">
        <v>54.48</v>
      </c>
      <c r="R509" s="18">
        <v>44574</v>
      </c>
      <c r="S509">
        <v>2832.7</v>
      </c>
      <c r="T509">
        <v>266120</v>
      </c>
      <c r="U509" s="18">
        <v>44574</v>
      </c>
    </row>
    <row r="510" spans="15:21" x14ac:dyDescent="0.35">
      <c r="O510" s="18">
        <v>40218</v>
      </c>
      <c r="P510">
        <v>54.82</v>
      </c>
      <c r="R510" s="18">
        <v>44575</v>
      </c>
      <c r="S510">
        <v>2819.7</v>
      </c>
      <c r="T510">
        <v>324010</v>
      </c>
      <c r="U510" s="18">
        <v>44575</v>
      </c>
    </row>
    <row r="511" spans="15:21" x14ac:dyDescent="0.35">
      <c r="O511" s="18">
        <v>40219</v>
      </c>
      <c r="P511">
        <v>54.12</v>
      </c>
      <c r="R511" s="18">
        <v>44578</v>
      </c>
      <c r="S511">
        <v>2844.3</v>
      </c>
      <c r="T511">
        <v>680220</v>
      </c>
      <c r="U511" s="18">
        <v>44578</v>
      </c>
    </row>
    <row r="512" spans="15:21" x14ac:dyDescent="0.35">
      <c r="O512" s="18">
        <v>40220</v>
      </c>
      <c r="P512">
        <v>53.88</v>
      </c>
      <c r="R512" s="18">
        <v>44579</v>
      </c>
      <c r="S512">
        <v>2736.25</v>
      </c>
      <c r="T512">
        <v>1220000</v>
      </c>
      <c r="U512" s="18">
        <v>44579</v>
      </c>
    </row>
    <row r="513" spans="15:21" x14ac:dyDescent="0.35">
      <c r="O513" s="18">
        <v>40224</v>
      </c>
      <c r="P513">
        <v>51.85</v>
      </c>
      <c r="R513" s="18">
        <v>44580</v>
      </c>
      <c r="S513">
        <v>2718.7</v>
      </c>
      <c r="T513">
        <v>769880</v>
      </c>
      <c r="U513" s="18">
        <v>44580</v>
      </c>
    </row>
    <row r="514" spans="15:21" x14ac:dyDescent="0.35">
      <c r="O514" s="18">
        <v>40225</v>
      </c>
      <c r="P514">
        <v>52.75</v>
      </c>
      <c r="R514" s="18">
        <v>44581</v>
      </c>
      <c r="S514">
        <v>2733.8</v>
      </c>
      <c r="T514">
        <v>521730</v>
      </c>
      <c r="U514" s="18">
        <v>44581</v>
      </c>
    </row>
    <row r="515" spans="15:21" x14ac:dyDescent="0.35">
      <c r="O515" s="18">
        <v>40226</v>
      </c>
      <c r="P515">
        <v>59.12</v>
      </c>
      <c r="R515" s="18">
        <v>44582</v>
      </c>
      <c r="S515">
        <v>2711.1</v>
      </c>
      <c r="T515">
        <v>459190</v>
      </c>
      <c r="U515" s="18">
        <v>44582</v>
      </c>
    </row>
    <row r="516" spans="15:21" x14ac:dyDescent="0.35">
      <c r="O516" s="18">
        <v>40227</v>
      </c>
      <c r="P516">
        <v>57.86</v>
      </c>
      <c r="R516" s="18">
        <v>44585</v>
      </c>
      <c r="S516">
        <v>2656.4</v>
      </c>
      <c r="T516">
        <v>465910</v>
      </c>
      <c r="U516" s="18">
        <v>44585</v>
      </c>
    </row>
    <row r="517" spans="15:21" x14ac:dyDescent="0.35">
      <c r="O517" s="18">
        <v>40228</v>
      </c>
      <c r="P517">
        <v>57.03</v>
      </c>
      <c r="R517" s="18">
        <v>44586</v>
      </c>
      <c r="S517">
        <v>2692</v>
      </c>
      <c r="T517">
        <v>687090</v>
      </c>
      <c r="U517" s="18">
        <v>44586</v>
      </c>
    </row>
    <row r="518" spans="15:21" x14ac:dyDescent="0.35">
      <c r="O518" s="18">
        <v>40231</v>
      </c>
      <c r="P518">
        <v>58.2</v>
      </c>
      <c r="R518" s="18">
        <v>44588</v>
      </c>
      <c r="S518">
        <v>2643.85</v>
      </c>
      <c r="T518">
        <v>985830</v>
      </c>
      <c r="U518" s="18">
        <v>44588</v>
      </c>
    </row>
    <row r="519" spans="15:21" x14ac:dyDescent="0.35">
      <c r="O519" s="18">
        <v>40232</v>
      </c>
      <c r="P519">
        <v>57.85</v>
      </c>
      <c r="R519" s="18">
        <v>44589</v>
      </c>
      <c r="S519">
        <v>2610.9499999999998</v>
      </c>
      <c r="T519">
        <v>871640</v>
      </c>
      <c r="U519" s="18">
        <v>44589</v>
      </c>
    </row>
    <row r="520" spans="15:21" x14ac:dyDescent="0.35">
      <c r="O520" s="18">
        <v>40233</v>
      </c>
      <c r="P520">
        <v>57.59</v>
      </c>
      <c r="R520" s="18">
        <v>44592</v>
      </c>
      <c r="S520">
        <v>2645.5</v>
      </c>
      <c r="T520">
        <v>416450</v>
      </c>
      <c r="U520" s="18">
        <v>44592</v>
      </c>
    </row>
    <row r="521" spans="15:21" x14ac:dyDescent="0.35">
      <c r="O521" s="18">
        <v>40234</v>
      </c>
      <c r="P521">
        <v>57.11</v>
      </c>
      <c r="R521" s="18">
        <v>44593</v>
      </c>
      <c r="S521">
        <v>2622.2</v>
      </c>
      <c r="T521">
        <v>671850</v>
      </c>
      <c r="U521" s="18">
        <v>44593</v>
      </c>
    </row>
    <row r="522" spans="15:21" x14ac:dyDescent="0.35">
      <c r="O522" s="18">
        <v>40235</v>
      </c>
      <c r="P522">
        <v>58.4</v>
      </c>
      <c r="R522" s="18">
        <v>44594</v>
      </c>
      <c r="S522">
        <v>2669.75</v>
      </c>
      <c r="T522">
        <v>1040000</v>
      </c>
      <c r="U522" s="18">
        <v>44594</v>
      </c>
    </row>
    <row r="523" spans="15:21" x14ac:dyDescent="0.35">
      <c r="O523" s="18">
        <v>40239</v>
      </c>
      <c r="P523">
        <v>62.99</v>
      </c>
      <c r="R523" s="18">
        <v>44595</v>
      </c>
      <c r="S523">
        <v>2670.85</v>
      </c>
      <c r="T523">
        <v>664630</v>
      </c>
      <c r="U523" s="18">
        <v>44595</v>
      </c>
    </row>
    <row r="524" spans="15:21" x14ac:dyDescent="0.35">
      <c r="O524" s="18">
        <v>40240</v>
      </c>
      <c r="P524">
        <v>66.97</v>
      </c>
      <c r="R524" s="18">
        <v>44596</v>
      </c>
      <c r="S524">
        <v>2631.4</v>
      </c>
      <c r="T524">
        <v>380540</v>
      </c>
      <c r="U524" s="18">
        <v>44596</v>
      </c>
    </row>
    <row r="525" spans="15:21" x14ac:dyDescent="0.35">
      <c r="O525" s="18">
        <v>40241</v>
      </c>
      <c r="P525">
        <v>65.5</v>
      </c>
      <c r="R525" s="18">
        <v>44599</v>
      </c>
      <c r="S525">
        <v>2601.35</v>
      </c>
      <c r="T525">
        <v>448640</v>
      </c>
      <c r="U525" s="18">
        <v>44599</v>
      </c>
    </row>
    <row r="526" spans="15:21" x14ac:dyDescent="0.35">
      <c r="O526" s="18">
        <v>40242</v>
      </c>
      <c r="P526">
        <v>63.6</v>
      </c>
      <c r="R526" s="18">
        <v>44600</v>
      </c>
      <c r="S526">
        <v>2589.15</v>
      </c>
      <c r="T526">
        <v>386390</v>
      </c>
      <c r="U526" s="18">
        <v>44600</v>
      </c>
    </row>
    <row r="527" spans="15:21" x14ac:dyDescent="0.35">
      <c r="O527" s="18">
        <v>40245</v>
      </c>
      <c r="P527">
        <v>63.15</v>
      </c>
      <c r="R527" s="18">
        <v>44601</v>
      </c>
      <c r="S527">
        <v>2625.65</v>
      </c>
      <c r="T527">
        <v>677550</v>
      </c>
      <c r="U527" s="18">
        <v>44601</v>
      </c>
    </row>
    <row r="528" spans="15:21" x14ac:dyDescent="0.35">
      <c r="O528" s="18">
        <v>40246</v>
      </c>
      <c r="P528">
        <v>62.66</v>
      </c>
      <c r="R528" s="18">
        <v>44602</v>
      </c>
      <c r="S528">
        <v>2640.35</v>
      </c>
      <c r="T528">
        <v>558180</v>
      </c>
      <c r="U528" s="18">
        <v>44602</v>
      </c>
    </row>
    <row r="529" spans="15:21" x14ac:dyDescent="0.35">
      <c r="O529" s="18">
        <v>40247</v>
      </c>
      <c r="P529">
        <v>62.45</v>
      </c>
      <c r="R529" s="18">
        <v>44603</v>
      </c>
      <c r="S529">
        <v>2598.15</v>
      </c>
      <c r="T529">
        <v>731370</v>
      </c>
      <c r="U529" s="18">
        <v>44603</v>
      </c>
    </row>
    <row r="530" spans="15:21" x14ac:dyDescent="0.35">
      <c r="O530" s="18">
        <v>40248</v>
      </c>
      <c r="P530">
        <v>62.7</v>
      </c>
      <c r="R530" s="18">
        <v>44606</v>
      </c>
      <c r="S530">
        <v>2570.8000000000002</v>
      </c>
      <c r="T530">
        <v>675130</v>
      </c>
      <c r="U530" s="18">
        <v>44606</v>
      </c>
    </row>
    <row r="531" spans="15:21" x14ac:dyDescent="0.35">
      <c r="O531" s="18">
        <v>40249</v>
      </c>
      <c r="P531">
        <v>62.73</v>
      </c>
      <c r="R531" s="18">
        <v>44607</v>
      </c>
      <c r="S531">
        <v>2724</v>
      </c>
      <c r="T531">
        <v>2220000</v>
      </c>
      <c r="U531" s="18">
        <v>44607</v>
      </c>
    </row>
    <row r="532" spans="15:21" x14ac:dyDescent="0.35">
      <c r="O532" s="18">
        <v>40252</v>
      </c>
      <c r="P532">
        <v>62.2</v>
      </c>
      <c r="R532" s="18">
        <v>44608</v>
      </c>
      <c r="S532">
        <v>2706.45</v>
      </c>
      <c r="T532">
        <v>804880</v>
      </c>
      <c r="U532" s="18">
        <v>44608</v>
      </c>
    </row>
    <row r="533" spans="15:21" x14ac:dyDescent="0.35">
      <c r="O533" s="18">
        <v>40253</v>
      </c>
      <c r="P533">
        <v>62.87</v>
      </c>
      <c r="R533" s="18">
        <v>44609</v>
      </c>
      <c r="S533">
        <v>2722.75</v>
      </c>
      <c r="T533">
        <v>572430</v>
      </c>
      <c r="U533" s="18">
        <v>44609</v>
      </c>
    </row>
    <row r="534" spans="15:21" x14ac:dyDescent="0.35">
      <c r="O534" s="18">
        <v>40254</v>
      </c>
      <c r="P534">
        <v>62.54</v>
      </c>
      <c r="R534" s="18">
        <v>44610</v>
      </c>
      <c r="S534">
        <v>2699.25</v>
      </c>
      <c r="T534">
        <v>311300</v>
      </c>
      <c r="U534" s="18">
        <v>44610</v>
      </c>
    </row>
    <row r="535" spans="15:21" x14ac:dyDescent="0.35">
      <c r="O535" s="18">
        <v>40255</v>
      </c>
      <c r="P535">
        <v>62.6</v>
      </c>
      <c r="R535" s="18">
        <v>44613</v>
      </c>
      <c r="S535">
        <v>2699</v>
      </c>
      <c r="T535">
        <v>273280</v>
      </c>
      <c r="U535" s="18">
        <v>44613</v>
      </c>
    </row>
    <row r="536" spans="15:21" x14ac:dyDescent="0.35">
      <c r="O536" s="18">
        <v>40256</v>
      </c>
      <c r="P536">
        <v>62.46</v>
      </c>
      <c r="R536" s="18">
        <v>44614</v>
      </c>
      <c r="S536">
        <v>2725.5</v>
      </c>
      <c r="T536">
        <v>575200</v>
      </c>
      <c r="U536" s="18">
        <v>44614</v>
      </c>
    </row>
    <row r="537" spans="15:21" x14ac:dyDescent="0.35">
      <c r="O537" s="18">
        <v>40259</v>
      </c>
      <c r="P537">
        <v>61.51</v>
      </c>
      <c r="R537" s="18">
        <v>44615</v>
      </c>
      <c r="S537">
        <v>2706.65</v>
      </c>
      <c r="T537">
        <v>479280</v>
      </c>
      <c r="U537" s="18">
        <v>44615</v>
      </c>
    </row>
    <row r="538" spans="15:21" x14ac:dyDescent="0.35">
      <c r="O538" s="18">
        <v>40260</v>
      </c>
      <c r="P538">
        <v>62.04</v>
      </c>
      <c r="R538" s="18">
        <v>44616</v>
      </c>
      <c r="S538">
        <v>2617.15</v>
      </c>
      <c r="T538">
        <v>775970</v>
      </c>
      <c r="U538" s="18">
        <v>44616</v>
      </c>
    </row>
    <row r="539" spans="15:21" x14ac:dyDescent="0.35">
      <c r="O539" s="18">
        <v>40262</v>
      </c>
      <c r="P539">
        <v>61.77</v>
      </c>
      <c r="R539" s="18">
        <v>44617</v>
      </c>
      <c r="S539">
        <v>2628.4</v>
      </c>
      <c r="T539">
        <v>515030</v>
      </c>
      <c r="U539" s="18">
        <v>44617</v>
      </c>
    </row>
    <row r="540" spans="15:21" x14ac:dyDescent="0.35">
      <c r="O540" s="18">
        <v>40263</v>
      </c>
      <c r="P540">
        <v>62</v>
      </c>
      <c r="R540" s="18">
        <v>44620</v>
      </c>
      <c r="S540">
        <v>2589.8000000000002</v>
      </c>
      <c r="T540">
        <v>815190</v>
      </c>
      <c r="U540" s="18">
        <v>44620</v>
      </c>
    </row>
    <row r="541" spans="15:21" x14ac:dyDescent="0.35">
      <c r="O541" s="18">
        <v>40266</v>
      </c>
      <c r="P541">
        <v>62.21</v>
      </c>
      <c r="R541" s="18">
        <v>44622</v>
      </c>
      <c r="S541">
        <v>2508.1</v>
      </c>
      <c r="T541">
        <v>630240</v>
      </c>
      <c r="U541" s="18">
        <v>44622</v>
      </c>
    </row>
    <row r="542" spans="15:21" x14ac:dyDescent="0.35">
      <c r="O542" s="18">
        <v>40267</v>
      </c>
      <c r="P542">
        <v>64.510000000000005</v>
      </c>
      <c r="R542" s="18">
        <v>44623</v>
      </c>
      <c r="S542">
        <v>2409.5</v>
      </c>
      <c r="T542">
        <v>558690</v>
      </c>
      <c r="U542" s="18">
        <v>44623</v>
      </c>
    </row>
    <row r="543" spans="15:21" x14ac:dyDescent="0.35">
      <c r="O543" s="18">
        <v>40268</v>
      </c>
      <c r="P543">
        <v>65.14</v>
      </c>
      <c r="R543" s="18">
        <v>44624</v>
      </c>
      <c r="S543">
        <v>2339.25</v>
      </c>
      <c r="T543">
        <v>862530</v>
      </c>
      <c r="U543" s="18">
        <v>44624</v>
      </c>
    </row>
    <row r="544" spans="15:21" x14ac:dyDescent="0.35">
      <c r="O544" s="18">
        <v>40269</v>
      </c>
      <c r="P544">
        <v>66.069999999999993</v>
      </c>
      <c r="R544" s="18">
        <v>44627</v>
      </c>
      <c r="S544">
        <v>2259.65</v>
      </c>
      <c r="T544">
        <v>1510000</v>
      </c>
      <c r="U544" s="18">
        <v>44627</v>
      </c>
    </row>
    <row r="545" spans="15:21" x14ac:dyDescent="0.35">
      <c r="O545" s="18">
        <v>40273</v>
      </c>
      <c r="P545">
        <v>68.069999999999993</v>
      </c>
      <c r="R545" s="18">
        <v>44628</v>
      </c>
      <c r="S545">
        <v>2256.0500000000002</v>
      </c>
      <c r="T545">
        <v>1530000</v>
      </c>
      <c r="U545" s="18">
        <v>44628</v>
      </c>
    </row>
    <row r="546" spans="15:21" x14ac:dyDescent="0.35">
      <c r="O546" s="18">
        <v>40274</v>
      </c>
      <c r="P546">
        <v>68.05</v>
      </c>
      <c r="R546" s="18">
        <v>44629</v>
      </c>
      <c r="S546">
        <v>2293.0500000000002</v>
      </c>
      <c r="T546">
        <v>1580000</v>
      </c>
      <c r="U546" s="18">
        <v>44629</v>
      </c>
    </row>
    <row r="547" spans="15:21" x14ac:dyDescent="0.35">
      <c r="O547" s="18">
        <v>40275</v>
      </c>
      <c r="P547">
        <v>68.06</v>
      </c>
      <c r="R547" s="18">
        <v>44630</v>
      </c>
      <c r="S547">
        <v>2303</v>
      </c>
      <c r="T547">
        <v>1020000</v>
      </c>
      <c r="U547" s="18">
        <v>44630</v>
      </c>
    </row>
    <row r="548" spans="15:21" x14ac:dyDescent="0.35">
      <c r="O548" s="18">
        <v>40276</v>
      </c>
      <c r="P548">
        <v>68.31</v>
      </c>
      <c r="R548" s="18">
        <v>44631</v>
      </c>
      <c r="S548">
        <v>2290.75</v>
      </c>
      <c r="T548">
        <v>621070</v>
      </c>
      <c r="U548" s="18">
        <v>44631</v>
      </c>
    </row>
    <row r="549" spans="15:21" x14ac:dyDescent="0.35">
      <c r="O549" s="18">
        <v>40277</v>
      </c>
      <c r="P549">
        <v>67.66</v>
      </c>
      <c r="R549" s="18">
        <v>44634</v>
      </c>
      <c r="S549">
        <v>2313.5500000000002</v>
      </c>
      <c r="T549">
        <v>681810</v>
      </c>
      <c r="U549" s="18">
        <v>44634</v>
      </c>
    </row>
    <row r="550" spans="15:21" x14ac:dyDescent="0.35">
      <c r="O550" s="18">
        <v>40280</v>
      </c>
      <c r="P550">
        <v>67.650000000000006</v>
      </c>
      <c r="R550" s="18">
        <v>44635</v>
      </c>
      <c r="S550">
        <v>2305.25</v>
      </c>
      <c r="T550">
        <v>611030</v>
      </c>
      <c r="U550" s="18">
        <v>44635</v>
      </c>
    </row>
    <row r="551" spans="15:21" x14ac:dyDescent="0.35">
      <c r="O551" s="18">
        <v>40281</v>
      </c>
      <c r="P551">
        <v>66.87</v>
      </c>
      <c r="R551" s="18">
        <v>44636</v>
      </c>
      <c r="S551">
        <v>2357.9</v>
      </c>
      <c r="T551">
        <v>758340</v>
      </c>
      <c r="U551" s="18">
        <v>44636</v>
      </c>
    </row>
    <row r="552" spans="15:21" x14ac:dyDescent="0.35">
      <c r="O552" s="18">
        <v>40283</v>
      </c>
      <c r="P552">
        <v>68.44</v>
      </c>
      <c r="R552" s="18">
        <v>44637</v>
      </c>
      <c r="S552">
        <v>2436.9499999999998</v>
      </c>
      <c r="T552">
        <v>1230000</v>
      </c>
      <c r="U552" s="18">
        <v>44637</v>
      </c>
    </row>
    <row r="553" spans="15:21" x14ac:dyDescent="0.35">
      <c r="O553" s="18">
        <v>40284</v>
      </c>
      <c r="P553">
        <v>68.150000000000006</v>
      </c>
      <c r="R553" s="18">
        <v>44641</v>
      </c>
      <c r="S553">
        <v>2378.75</v>
      </c>
      <c r="T553">
        <v>480120</v>
      </c>
      <c r="U553" s="18">
        <v>44641</v>
      </c>
    </row>
    <row r="554" spans="15:21" x14ac:dyDescent="0.35">
      <c r="O554" s="18">
        <v>40287</v>
      </c>
      <c r="P554">
        <v>68.5</v>
      </c>
      <c r="R554" s="18">
        <v>44642</v>
      </c>
      <c r="S554">
        <v>2380.4</v>
      </c>
      <c r="T554">
        <v>661120</v>
      </c>
      <c r="U554" s="18">
        <v>44642</v>
      </c>
    </row>
    <row r="555" spans="15:21" x14ac:dyDescent="0.35">
      <c r="O555" s="18">
        <v>40288</v>
      </c>
      <c r="P555">
        <v>68.069999999999993</v>
      </c>
      <c r="R555" s="18">
        <v>44643</v>
      </c>
      <c r="S555">
        <v>2394.1</v>
      </c>
      <c r="T555">
        <v>439290</v>
      </c>
      <c r="U555" s="18">
        <v>44643</v>
      </c>
    </row>
    <row r="556" spans="15:21" x14ac:dyDescent="0.35">
      <c r="O556" s="18">
        <v>40289</v>
      </c>
      <c r="P556">
        <v>68.22</v>
      </c>
      <c r="R556" s="18">
        <v>44644</v>
      </c>
      <c r="S556">
        <v>2369.65</v>
      </c>
      <c r="T556">
        <v>568610</v>
      </c>
      <c r="U556" s="18">
        <v>44644</v>
      </c>
    </row>
    <row r="557" spans="15:21" x14ac:dyDescent="0.35">
      <c r="O557" s="18">
        <v>40290</v>
      </c>
      <c r="P557">
        <v>69.22</v>
      </c>
      <c r="R557" s="18">
        <v>44645</v>
      </c>
      <c r="S557">
        <v>2336.85</v>
      </c>
      <c r="T557">
        <v>446420</v>
      </c>
      <c r="U557" s="18">
        <v>44645</v>
      </c>
    </row>
    <row r="558" spans="15:21" x14ac:dyDescent="0.35">
      <c r="O558" s="18">
        <v>40291</v>
      </c>
      <c r="P558">
        <v>68.95</v>
      </c>
      <c r="R558" s="18">
        <v>44648</v>
      </c>
      <c r="S558">
        <v>2380</v>
      </c>
      <c r="T558">
        <v>690960</v>
      </c>
      <c r="U558" s="18">
        <v>44648</v>
      </c>
    </row>
    <row r="559" spans="15:21" x14ac:dyDescent="0.35">
      <c r="O559" s="18">
        <v>40294</v>
      </c>
      <c r="P559">
        <v>69.8</v>
      </c>
      <c r="R559" s="18">
        <v>44649</v>
      </c>
      <c r="S559">
        <v>2480.5</v>
      </c>
      <c r="T559">
        <v>1320000</v>
      </c>
      <c r="U559" s="18">
        <v>44649</v>
      </c>
    </row>
    <row r="560" spans="15:21" x14ac:dyDescent="0.35">
      <c r="O560" s="18">
        <v>40295</v>
      </c>
      <c r="P560">
        <v>69.75</v>
      </c>
      <c r="R560" s="18">
        <v>44650</v>
      </c>
      <c r="S560">
        <v>2486.5500000000002</v>
      </c>
      <c r="T560">
        <v>1200000</v>
      </c>
      <c r="U560" s="18">
        <v>44650</v>
      </c>
    </row>
    <row r="561" spans="15:21" x14ac:dyDescent="0.35">
      <c r="O561" s="18">
        <v>40296</v>
      </c>
      <c r="P561">
        <v>68.66</v>
      </c>
      <c r="R561" s="18">
        <v>44651</v>
      </c>
      <c r="S561">
        <v>2457.15</v>
      </c>
      <c r="T561">
        <v>840570</v>
      </c>
      <c r="U561" s="18">
        <v>44651</v>
      </c>
    </row>
    <row r="562" spans="15:21" x14ac:dyDescent="0.35">
      <c r="O562" s="18">
        <v>40297</v>
      </c>
      <c r="P562">
        <v>80.28</v>
      </c>
      <c r="R562" s="18">
        <v>44652</v>
      </c>
      <c r="S562">
        <v>2481.1999999999998</v>
      </c>
      <c r="T562">
        <v>745770</v>
      </c>
      <c r="U562" s="18">
        <v>44652</v>
      </c>
    </row>
    <row r="563" spans="15:21" x14ac:dyDescent="0.35">
      <c r="O563" s="18">
        <v>40298</v>
      </c>
      <c r="P563">
        <v>80.09</v>
      </c>
      <c r="R563" s="18">
        <v>44655</v>
      </c>
      <c r="S563">
        <v>2508.9499999999998</v>
      </c>
      <c r="T563">
        <v>660190</v>
      </c>
      <c r="U563" s="18">
        <v>44655</v>
      </c>
    </row>
    <row r="564" spans="15:21" x14ac:dyDescent="0.35">
      <c r="O564" s="18">
        <v>40301</v>
      </c>
      <c r="P564">
        <v>80.03</v>
      </c>
      <c r="R564" s="18">
        <v>44656</v>
      </c>
      <c r="S564">
        <v>2543.4499999999998</v>
      </c>
      <c r="T564">
        <v>1240000</v>
      </c>
      <c r="U564" s="18">
        <v>44656</v>
      </c>
    </row>
    <row r="565" spans="15:21" x14ac:dyDescent="0.35">
      <c r="O565" s="18">
        <v>40302</v>
      </c>
      <c r="P565">
        <v>79.650000000000006</v>
      </c>
      <c r="R565" s="18">
        <v>44657</v>
      </c>
      <c r="S565">
        <v>2530.6999999999998</v>
      </c>
      <c r="T565">
        <v>469840</v>
      </c>
      <c r="U565" s="18">
        <v>44657</v>
      </c>
    </row>
    <row r="566" spans="15:21" x14ac:dyDescent="0.35">
      <c r="O566" s="18">
        <v>40303</v>
      </c>
      <c r="P566">
        <v>81.58</v>
      </c>
      <c r="R566" s="18">
        <v>44658</v>
      </c>
      <c r="S566">
        <v>2538.4</v>
      </c>
      <c r="T566">
        <v>451070</v>
      </c>
      <c r="U566" s="18">
        <v>44658</v>
      </c>
    </row>
    <row r="567" spans="15:21" x14ac:dyDescent="0.35">
      <c r="O567" s="18">
        <v>40304</v>
      </c>
      <c r="P567">
        <v>84.65</v>
      </c>
      <c r="R567" s="18">
        <v>44659</v>
      </c>
      <c r="S567">
        <v>2555.1999999999998</v>
      </c>
      <c r="T567">
        <v>800710</v>
      </c>
      <c r="U567" s="18">
        <v>44659</v>
      </c>
    </row>
    <row r="568" spans="15:21" x14ac:dyDescent="0.35">
      <c r="O568" s="18">
        <v>40305</v>
      </c>
      <c r="P568">
        <v>84.75</v>
      </c>
      <c r="R568" s="18">
        <v>44662</v>
      </c>
      <c r="S568">
        <v>2545.6</v>
      </c>
      <c r="T568">
        <v>332110</v>
      </c>
      <c r="U568" s="18">
        <v>44662</v>
      </c>
    </row>
    <row r="569" spans="15:21" x14ac:dyDescent="0.35">
      <c r="O569" s="18">
        <v>40308</v>
      </c>
      <c r="P569">
        <v>84.95</v>
      </c>
      <c r="R569" s="18">
        <v>44663</v>
      </c>
      <c r="S569">
        <v>2521.8000000000002</v>
      </c>
      <c r="T569">
        <v>359810</v>
      </c>
      <c r="U569" s="18">
        <v>44663</v>
      </c>
    </row>
    <row r="570" spans="15:21" x14ac:dyDescent="0.35">
      <c r="O570" s="18">
        <v>40309</v>
      </c>
      <c r="P570">
        <v>82.71</v>
      </c>
      <c r="R570" s="18">
        <v>44664</v>
      </c>
      <c r="S570">
        <v>2491.4499999999998</v>
      </c>
      <c r="T570">
        <v>383940</v>
      </c>
      <c r="U570" s="18">
        <v>44664</v>
      </c>
    </row>
    <row r="571" spans="15:21" x14ac:dyDescent="0.35">
      <c r="O571" s="18">
        <v>40310</v>
      </c>
      <c r="P571">
        <v>82.53</v>
      </c>
      <c r="R571" s="18">
        <v>44669</v>
      </c>
      <c r="S571">
        <v>2511</v>
      </c>
      <c r="T571">
        <v>322930</v>
      </c>
      <c r="U571" s="18">
        <v>44669</v>
      </c>
    </row>
    <row r="572" spans="15:21" x14ac:dyDescent="0.35">
      <c r="O572" s="18">
        <v>40311</v>
      </c>
      <c r="P572">
        <v>83.06</v>
      </c>
      <c r="R572" s="18">
        <v>44670</v>
      </c>
      <c r="S572">
        <v>2454.85</v>
      </c>
      <c r="T572">
        <v>636520</v>
      </c>
      <c r="U572" s="18">
        <v>44670</v>
      </c>
    </row>
    <row r="573" spans="15:21" x14ac:dyDescent="0.35">
      <c r="O573" s="18">
        <v>40312</v>
      </c>
      <c r="P573">
        <v>81</v>
      </c>
      <c r="R573" s="18">
        <v>44671</v>
      </c>
      <c r="S573">
        <v>2536.8000000000002</v>
      </c>
      <c r="T573">
        <v>1190000</v>
      </c>
      <c r="U573" s="18">
        <v>44671</v>
      </c>
    </row>
    <row r="574" spans="15:21" x14ac:dyDescent="0.35">
      <c r="O574" s="18">
        <v>40315</v>
      </c>
      <c r="P574">
        <v>82.57</v>
      </c>
      <c r="R574" s="18">
        <v>44672</v>
      </c>
      <c r="S574">
        <v>2651.5</v>
      </c>
      <c r="T574">
        <v>1090000</v>
      </c>
      <c r="U574" s="18">
        <v>44672</v>
      </c>
    </row>
    <row r="575" spans="15:21" x14ac:dyDescent="0.35">
      <c r="O575" s="18">
        <v>40316</v>
      </c>
      <c r="P575">
        <v>81.39</v>
      </c>
      <c r="R575" s="18">
        <v>44673</v>
      </c>
      <c r="S575">
        <v>2631.5</v>
      </c>
      <c r="T575">
        <v>829580</v>
      </c>
      <c r="U575" s="18">
        <v>44673</v>
      </c>
    </row>
    <row r="576" spans="15:21" x14ac:dyDescent="0.35">
      <c r="O576" s="18">
        <v>40317</v>
      </c>
      <c r="P576">
        <v>82.64</v>
      </c>
      <c r="R576" s="18">
        <v>44676</v>
      </c>
      <c r="S576">
        <v>2594.15</v>
      </c>
      <c r="T576">
        <v>630800</v>
      </c>
      <c r="U576" s="18">
        <v>44676</v>
      </c>
    </row>
    <row r="577" spans="15:21" x14ac:dyDescent="0.35">
      <c r="O577" s="18">
        <v>40318</v>
      </c>
      <c r="P577">
        <v>82.52</v>
      </c>
      <c r="R577" s="18">
        <v>44677</v>
      </c>
      <c r="S577">
        <v>2649.3</v>
      </c>
      <c r="T577">
        <v>616250</v>
      </c>
      <c r="U577" s="18">
        <v>44677</v>
      </c>
    </row>
    <row r="578" spans="15:21" x14ac:dyDescent="0.35">
      <c r="O578" s="18">
        <v>40319</v>
      </c>
      <c r="P578">
        <v>81.5</v>
      </c>
      <c r="R578" s="18">
        <v>44678</v>
      </c>
      <c r="S578">
        <v>2655.45</v>
      </c>
      <c r="T578">
        <v>499340</v>
      </c>
      <c r="U578" s="18">
        <v>44678</v>
      </c>
    </row>
    <row r="579" spans="15:21" x14ac:dyDescent="0.35">
      <c r="O579" s="18">
        <v>40322</v>
      </c>
      <c r="P579">
        <v>80.89</v>
      </c>
      <c r="R579" s="18">
        <v>44679</v>
      </c>
      <c r="S579">
        <v>2679.95</v>
      </c>
      <c r="T579">
        <v>739030</v>
      </c>
      <c r="U579" s="18">
        <v>44679</v>
      </c>
    </row>
    <row r="580" spans="15:21" x14ac:dyDescent="0.35">
      <c r="O580" s="18">
        <v>40323</v>
      </c>
      <c r="P580">
        <v>80.37</v>
      </c>
      <c r="R580" s="18">
        <v>44680</v>
      </c>
      <c r="S580">
        <v>2630.35</v>
      </c>
      <c r="T580">
        <v>479790</v>
      </c>
      <c r="U580" s="18">
        <v>44680</v>
      </c>
    </row>
    <row r="581" spans="15:21" x14ac:dyDescent="0.35">
      <c r="O581" s="18">
        <v>40324</v>
      </c>
      <c r="P581">
        <v>80.94</v>
      </c>
      <c r="R581" s="18">
        <v>44683</v>
      </c>
      <c r="S581">
        <v>2552.5</v>
      </c>
      <c r="T581">
        <v>497150</v>
      </c>
      <c r="U581" s="18">
        <v>44683</v>
      </c>
    </row>
    <row r="582" spans="15:21" x14ac:dyDescent="0.35">
      <c r="O582" s="18">
        <v>40325</v>
      </c>
      <c r="P582">
        <v>82.02</v>
      </c>
      <c r="R582" s="18">
        <v>44685</v>
      </c>
      <c r="S582">
        <v>2483.1999999999998</v>
      </c>
      <c r="T582">
        <v>515080.00000000012</v>
      </c>
      <c r="U582" s="18">
        <v>44685</v>
      </c>
    </row>
    <row r="583" spans="15:21" x14ac:dyDescent="0.35">
      <c r="O583" s="18">
        <v>40326</v>
      </c>
      <c r="P583">
        <v>82.64</v>
      </c>
      <c r="R583" s="18">
        <v>44686</v>
      </c>
      <c r="S583">
        <v>2433.5500000000002</v>
      </c>
      <c r="T583">
        <v>477760</v>
      </c>
      <c r="U583" s="18">
        <v>44686</v>
      </c>
    </row>
    <row r="584" spans="15:21" x14ac:dyDescent="0.35">
      <c r="O584" s="18">
        <v>40329</v>
      </c>
      <c r="P584">
        <v>84.86</v>
      </c>
      <c r="R584" s="18">
        <v>44687</v>
      </c>
      <c r="S584">
        <v>2362.4499999999998</v>
      </c>
      <c r="T584">
        <v>407390</v>
      </c>
      <c r="U584" s="18">
        <v>44687</v>
      </c>
    </row>
    <row r="585" spans="15:21" x14ac:dyDescent="0.35">
      <c r="O585" s="18">
        <v>40330</v>
      </c>
      <c r="P585">
        <v>85.5</v>
      </c>
      <c r="R585" s="18">
        <v>44690</v>
      </c>
      <c r="S585">
        <v>2344.3000000000002</v>
      </c>
      <c r="T585">
        <v>403220</v>
      </c>
      <c r="U585" s="18">
        <v>44690</v>
      </c>
    </row>
    <row r="586" spans="15:21" x14ac:dyDescent="0.35">
      <c r="O586" s="18">
        <v>40331</v>
      </c>
      <c r="P586">
        <v>84.89</v>
      </c>
      <c r="R586" s="18">
        <v>44691</v>
      </c>
      <c r="S586">
        <v>2415.5500000000002</v>
      </c>
      <c r="T586">
        <v>841470</v>
      </c>
      <c r="U586" s="18">
        <v>44691</v>
      </c>
    </row>
    <row r="587" spans="15:21" x14ac:dyDescent="0.35">
      <c r="O587" s="18">
        <v>40332</v>
      </c>
      <c r="P587">
        <v>84.59</v>
      </c>
      <c r="R587" s="18">
        <v>44692</v>
      </c>
      <c r="S587">
        <v>2389.15</v>
      </c>
      <c r="T587">
        <v>459260</v>
      </c>
      <c r="U587" s="18">
        <v>44692</v>
      </c>
    </row>
    <row r="588" spans="15:21" x14ac:dyDescent="0.35">
      <c r="O588" s="18">
        <v>40333</v>
      </c>
      <c r="P588">
        <v>83.48</v>
      </c>
      <c r="R588" s="18">
        <v>44693</v>
      </c>
      <c r="S588">
        <v>2384.65</v>
      </c>
      <c r="T588">
        <v>419480</v>
      </c>
      <c r="U588" s="18">
        <v>44693</v>
      </c>
    </row>
    <row r="589" spans="15:21" x14ac:dyDescent="0.35">
      <c r="O589" s="18">
        <v>40336</v>
      </c>
      <c r="P589">
        <v>82.3</v>
      </c>
      <c r="R589" s="18">
        <v>44694</v>
      </c>
      <c r="S589">
        <v>2432.65</v>
      </c>
      <c r="T589">
        <v>650620</v>
      </c>
      <c r="U589" s="18">
        <v>44694</v>
      </c>
    </row>
    <row r="590" spans="15:21" x14ac:dyDescent="0.35">
      <c r="O590" s="18">
        <v>40337</v>
      </c>
      <c r="P590">
        <v>79.67</v>
      </c>
      <c r="R590" s="18">
        <v>44697</v>
      </c>
      <c r="S590">
        <v>2617.9499999999998</v>
      </c>
      <c r="T590">
        <v>2800000</v>
      </c>
      <c r="U590" s="18">
        <v>44697</v>
      </c>
    </row>
    <row r="591" spans="15:21" x14ac:dyDescent="0.35">
      <c r="O591" s="18">
        <v>40338</v>
      </c>
      <c r="P591">
        <v>79.44</v>
      </c>
      <c r="R591" s="18">
        <v>44698</v>
      </c>
      <c r="S591">
        <v>2706.7</v>
      </c>
      <c r="T591">
        <v>1460000</v>
      </c>
      <c r="U591" s="18">
        <v>44698</v>
      </c>
    </row>
    <row r="592" spans="15:21" x14ac:dyDescent="0.35">
      <c r="O592" s="18">
        <v>40339</v>
      </c>
      <c r="P592">
        <v>80.09</v>
      </c>
      <c r="R592" s="18">
        <v>44699</v>
      </c>
      <c r="S592">
        <v>2696</v>
      </c>
      <c r="T592">
        <v>1170000</v>
      </c>
      <c r="U592" s="18">
        <v>44699</v>
      </c>
    </row>
    <row r="593" spans="15:21" x14ac:dyDescent="0.35">
      <c r="O593" s="18">
        <v>40340</v>
      </c>
      <c r="P593">
        <v>92.28</v>
      </c>
      <c r="R593" s="18">
        <v>44700</v>
      </c>
      <c r="S593">
        <v>2650.5</v>
      </c>
      <c r="T593">
        <v>1590000</v>
      </c>
      <c r="U593" s="18">
        <v>44700</v>
      </c>
    </row>
    <row r="594" spans="15:21" x14ac:dyDescent="0.35">
      <c r="O594" s="18">
        <v>40343</v>
      </c>
      <c r="P594">
        <v>90.44</v>
      </c>
      <c r="R594" s="18">
        <v>44701</v>
      </c>
      <c r="S594">
        <v>2707.8</v>
      </c>
      <c r="T594">
        <v>687010</v>
      </c>
      <c r="U594" s="18">
        <v>44701</v>
      </c>
    </row>
    <row r="595" spans="15:21" x14ac:dyDescent="0.35">
      <c r="O595" s="18">
        <v>40344</v>
      </c>
      <c r="P595">
        <v>93.94</v>
      </c>
      <c r="R595" s="18">
        <v>44704</v>
      </c>
      <c r="S595">
        <v>2741.3</v>
      </c>
      <c r="T595">
        <v>892540</v>
      </c>
      <c r="U595" s="18">
        <v>44704</v>
      </c>
    </row>
    <row r="596" spans="15:21" x14ac:dyDescent="0.35">
      <c r="O596" s="18">
        <v>40345</v>
      </c>
      <c r="P596">
        <v>94.07</v>
      </c>
      <c r="R596" s="18">
        <v>44705</v>
      </c>
      <c r="S596">
        <v>2719.3</v>
      </c>
      <c r="T596">
        <v>481730</v>
      </c>
      <c r="U596" s="18">
        <v>44705</v>
      </c>
    </row>
    <row r="597" spans="15:21" x14ac:dyDescent="0.35">
      <c r="O597" s="18">
        <v>40346</v>
      </c>
      <c r="P597">
        <v>93.77</v>
      </c>
      <c r="R597" s="18">
        <v>44706</v>
      </c>
      <c r="S597">
        <v>2686.15</v>
      </c>
      <c r="T597">
        <v>556610</v>
      </c>
      <c r="U597" s="18">
        <v>44706</v>
      </c>
    </row>
    <row r="598" spans="15:21" x14ac:dyDescent="0.35">
      <c r="O598" s="18">
        <v>40347</v>
      </c>
      <c r="P598">
        <v>92.22</v>
      </c>
      <c r="R598" s="18">
        <v>44707</v>
      </c>
      <c r="S598">
        <v>2725.1</v>
      </c>
      <c r="T598">
        <v>854410</v>
      </c>
      <c r="U598" s="18">
        <v>44707</v>
      </c>
    </row>
    <row r="599" spans="15:21" x14ac:dyDescent="0.35">
      <c r="O599" s="18">
        <v>40350</v>
      </c>
      <c r="P599">
        <v>92.31</v>
      </c>
      <c r="R599" s="18">
        <v>44708</v>
      </c>
      <c r="S599">
        <v>2742.1</v>
      </c>
      <c r="T599">
        <v>404880</v>
      </c>
      <c r="U599" s="18">
        <v>44708</v>
      </c>
    </row>
    <row r="600" spans="15:21" x14ac:dyDescent="0.35">
      <c r="O600" s="18">
        <v>40351</v>
      </c>
      <c r="P600">
        <v>92.16</v>
      </c>
      <c r="R600" s="18">
        <v>44711</v>
      </c>
      <c r="S600">
        <v>2758.45</v>
      </c>
      <c r="T600">
        <v>589420</v>
      </c>
      <c r="U600" s="18">
        <v>44711</v>
      </c>
    </row>
    <row r="601" spans="15:21" x14ac:dyDescent="0.35">
      <c r="O601" s="18">
        <v>40352</v>
      </c>
      <c r="P601">
        <v>90.98</v>
      </c>
      <c r="R601" s="18">
        <v>44712</v>
      </c>
      <c r="S601">
        <v>2780.75</v>
      </c>
      <c r="T601">
        <v>1770000</v>
      </c>
      <c r="U601" s="18">
        <v>44712</v>
      </c>
    </row>
    <row r="602" spans="15:21" x14ac:dyDescent="0.35">
      <c r="O602" s="18">
        <v>40353</v>
      </c>
      <c r="P602">
        <v>90.89</v>
      </c>
      <c r="R602" s="18">
        <v>44713</v>
      </c>
      <c r="S602">
        <v>2771.7</v>
      </c>
      <c r="T602">
        <v>358920</v>
      </c>
      <c r="U602" s="18">
        <v>44713</v>
      </c>
    </row>
    <row r="603" spans="15:21" x14ac:dyDescent="0.35">
      <c r="O603" s="18">
        <v>40354</v>
      </c>
      <c r="P603">
        <v>89.67</v>
      </c>
      <c r="R603" s="18">
        <v>44714</v>
      </c>
      <c r="S603">
        <v>2723.55</v>
      </c>
      <c r="T603">
        <v>558030</v>
      </c>
      <c r="U603" s="18">
        <v>44714</v>
      </c>
    </row>
    <row r="604" spans="15:21" x14ac:dyDescent="0.35">
      <c r="O604" s="18">
        <v>40357</v>
      </c>
      <c r="P604">
        <v>90.05</v>
      </c>
      <c r="R604" s="18">
        <v>44715</v>
      </c>
      <c r="S604">
        <v>2685.25</v>
      </c>
      <c r="T604">
        <v>808870</v>
      </c>
      <c r="U604" s="18">
        <v>44715</v>
      </c>
    </row>
    <row r="605" spans="15:21" x14ac:dyDescent="0.35">
      <c r="O605" s="18">
        <v>40358</v>
      </c>
      <c r="P605">
        <v>91.48</v>
      </c>
      <c r="R605" s="18">
        <v>44718</v>
      </c>
      <c r="S605">
        <v>2653.1</v>
      </c>
      <c r="T605">
        <v>906880</v>
      </c>
      <c r="U605" s="18">
        <v>44718</v>
      </c>
    </row>
    <row r="606" spans="15:21" x14ac:dyDescent="0.35">
      <c r="O606" s="18">
        <v>40359</v>
      </c>
      <c r="P606">
        <v>91.7</v>
      </c>
      <c r="R606" s="18">
        <v>44719</v>
      </c>
      <c r="S606">
        <v>2647.9</v>
      </c>
      <c r="T606">
        <v>453940</v>
      </c>
      <c r="U606" s="18">
        <v>44719</v>
      </c>
    </row>
    <row r="607" spans="15:21" x14ac:dyDescent="0.35">
      <c r="O607" s="18">
        <v>40360</v>
      </c>
      <c r="P607">
        <v>91.09</v>
      </c>
      <c r="R607" s="18">
        <v>44720</v>
      </c>
      <c r="S607">
        <v>2649.15</v>
      </c>
      <c r="T607">
        <v>260629.99999999997</v>
      </c>
      <c r="U607" s="18">
        <v>44720</v>
      </c>
    </row>
    <row r="608" spans="15:21" x14ac:dyDescent="0.35">
      <c r="O608" s="18">
        <v>40361</v>
      </c>
      <c r="P608">
        <v>90.19</v>
      </c>
      <c r="R608" s="18">
        <v>44721</v>
      </c>
      <c r="S608">
        <v>2716</v>
      </c>
      <c r="T608">
        <v>531560</v>
      </c>
      <c r="U608" s="18">
        <v>44721</v>
      </c>
    </row>
    <row r="609" spans="15:21" x14ac:dyDescent="0.35">
      <c r="O609" s="18">
        <v>40364</v>
      </c>
      <c r="P609">
        <v>93.33</v>
      </c>
      <c r="R609" s="18">
        <v>44722</v>
      </c>
      <c r="S609">
        <v>2712.85</v>
      </c>
      <c r="T609">
        <v>666110</v>
      </c>
      <c r="U609" s="18">
        <v>44722</v>
      </c>
    </row>
    <row r="610" spans="15:21" x14ac:dyDescent="0.35">
      <c r="O610" s="18">
        <v>40365</v>
      </c>
      <c r="P610">
        <v>93.46</v>
      </c>
      <c r="R610" s="18">
        <v>44725</v>
      </c>
      <c r="S610">
        <v>2700.8</v>
      </c>
      <c r="T610">
        <v>556910</v>
      </c>
      <c r="U610" s="18">
        <v>44725</v>
      </c>
    </row>
    <row r="611" spans="15:21" x14ac:dyDescent="0.35">
      <c r="O611" s="18">
        <v>40366</v>
      </c>
      <c r="P611">
        <v>93.98</v>
      </c>
      <c r="R611" s="18">
        <v>44726</v>
      </c>
      <c r="S611">
        <v>2722.75</v>
      </c>
      <c r="T611">
        <v>739830</v>
      </c>
      <c r="U611" s="18">
        <v>44726</v>
      </c>
    </row>
    <row r="612" spans="15:21" x14ac:dyDescent="0.35">
      <c r="O612" s="18">
        <v>40367</v>
      </c>
      <c r="P612">
        <v>95.53</v>
      </c>
      <c r="R612" s="18">
        <v>44727</v>
      </c>
      <c r="S612">
        <v>2720.1</v>
      </c>
      <c r="T612">
        <v>339710</v>
      </c>
      <c r="U612" s="18">
        <v>44727</v>
      </c>
    </row>
    <row r="613" spans="15:21" x14ac:dyDescent="0.35">
      <c r="O613" s="18">
        <v>40368</v>
      </c>
      <c r="P613">
        <v>93.78</v>
      </c>
      <c r="R613" s="18">
        <v>44728</v>
      </c>
      <c r="S613">
        <v>2652.5</v>
      </c>
      <c r="T613">
        <v>542480</v>
      </c>
      <c r="U613" s="18">
        <v>44728</v>
      </c>
    </row>
    <row r="614" spans="15:21" x14ac:dyDescent="0.35">
      <c r="O614" s="18">
        <v>40371</v>
      </c>
      <c r="P614">
        <v>93.88</v>
      </c>
      <c r="R614" s="18">
        <v>44729</v>
      </c>
      <c r="S614">
        <v>2604.8000000000002</v>
      </c>
      <c r="T614">
        <v>836170</v>
      </c>
      <c r="U614" s="18">
        <v>44729</v>
      </c>
    </row>
    <row r="615" spans="15:21" x14ac:dyDescent="0.35">
      <c r="O615" s="18">
        <v>40372</v>
      </c>
      <c r="P615">
        <v>93.8</v>
      </c>
      <c r="R615" s="18">
        <v>44732</v>
      </c>
      <c r="S615">
        <v>2623.25</v>
      </c>
      <c r="T615">
        <v>717660</v>
      </c>
      <c r="U615" s="18">
        <v>44732</v>
      </c>
    </row>
    <row r="616" spans="15:21" x14ac:dyDescent="0.35">
      <c r="O616" s="18">
        <v>40373</v>
      </c>
      <c r="P616">
        <v>94.53</v>
      </c>
      <c r="R616" s="18">
        <v>44733</v>
      </c>
      <c r="S616">
        <v>2702.8</v>
      </c>
      <c r="T616">
        <v>1180000</v>
      </c>
      <c r="U616" s="18">
        <v>44733</v>
      </c>
    </row>
    <row r="617" spans="15:21" x14ac:dyDescent="0.35">
      <c r="O617" s="18">
        <v>40374</v>
      </c>
      <c r="P617">
        <v>94.49</v>
      </c>
      <c r="R617" s="18">
        <v>44734</v>
      </c>
      <c r="S617">
        <v>2662.75</v>
      </c>
      <c r="T617">
        <v>273510</v>
      </c>
      <c r="U617" s="18">
        <v>44734</v>
      </c>
    </row>
    <row r="618" spans="15:21" x14ac:dyDescent="0.35">
      <c r="O618" s="18">
        <v>40375</v>
      </c>
      <c r="P618">
        <v>94.52</v>
      </c>
      <c r="R618" s="18">
        <v>44735</v>
      </c>
      <c r="S618">
        <v>2819.05</v>
      </c>
      <c r="T618">
        <v>1340000</v>
      </c>
      <c r="U618" s="18">
        <v>44735</v>
      </c>
    </row>
    <row r="619" spans="15:21" x14ac:dyDescent="0.35">
      <c r="O619" s="18">
        <v>40378</v>
      </c>
      <c r="P619">
        <v>96.31</v>
      </c>
      <c r="R619" s="18">
        <v>44736</v>
      </c>
      <c r="S619">
        <v>2877.9</v>
      </c>
      <c r="T619">
        <v>1080000</v>
      </c>
      <c r="U619" s="18">
        <v>44736</v>
      </c>
    </row>
    <row r="620" spans="15:21" x14ac:dyDescent="0.35">
      <c r="O620" s="18">
        <v>40379</v>
      </c>
      <c r="P620">
        <v>96.55</v>
      </c>
      <c r="R620" s="18">
        <v>44739</v>
      </c>
      <c r="S620">
        <v>2848.3</v>
      </c>
      <c r="T620">
        <v>532400</v>
      </c>
      <c r="U620" s="18">
        <v>44739</v>
      </c>
    </row>
    <row r="621" spans="15:21" x14ac:dyDescent="0.35">
      <c r="O621" s="18">
        <v>40380</v>
      </c>
      <c r="P621">
        <v>95.89</v>
      </c>
      <c r="R621" s="18">
        <v>44740</v>
      </c>
      <c r="S621">
        <v>2863.8</v>
      </c>
      <c r="T621">
        <v>770780</v>
      </c>
      <c r="U621" s="18">
        <v>44740</v>
      </c>
    </row>
    <row r="622" spans="15:21" x14ac:dyDescent="0.35">
      <c r="O622" s="18">
        <v>40381</v>
      </c>
      <c r="P622">
        <v>98.44</v>
      </c>
      <c r="R622" s="18">
        <v>44741</v>
      </c>
      <c r="S622">
        <v>2886.6</v>
      </c>
      <c r="T622">
        <v>856260</v>
      </c>
      <c r="U622" s="18">
        <v>44741</v>
      </c>
    </row>
    <row r="623" spans="15:21" x14ac:dyDescent="0.35">
      <c r="O623" s="18">
        <v>40382</v>
      </c>
      <c r="P623">
        <v>96.87</v>
      </c>
      <c r="R623" s="18">
        <v>44742</v>
      </c>
      <c r="S623">
        <v>2794.35</v>
      </c>
      <c r="T623">
        <v>928850</v>
      </c>
      <c r="U623" s="18">
        <v>44742</v>
      </c>
    </row>
    <row r="624" spans="15:21" x14ac:dyDescent="0.35">
      <c r="O624" s="18">
        <v>40385</v>
      </c>
      <c r="P624">
        <v>98.81</v>
      </c>
      <c r="R624" s="18">
        <v>44743</v>
      </c>
      <c r="S624">
        <v>2782.8</v>
      </c>
      <c r="T624">
        <v>367510</v>
      </c>
      <c r="U624" s="18">
        <v>44743</v>
      </c>
    </row>
    <row r="625" spans="15:21" x14ac:dyDescent="0.35">
      <c r="O625" s="18">
        <v>40386</v>
      </c>
      <c r="P625">
        <v>96.97</v>
      </c>
      <c r="R625" s="18">
        <v>44746</v>
      </c>
      <c r="S625">
        <v>2796.4</v>
      </c>
      <c r="T625">
        <v>443840</v>
      </c>
      <c r="U625" s="18">
        <v>44746</v>
      </c>
    </row>
    <row r="626" spans="15:21" x14ac:dyDescent="0.35">
      <c r="O626" s="18">
        <v>40387</v>
      </c>
      <c r="P626">
        <v>98.75</v>
      </c>
      <c r="R626" s="18">
        <v>44747</v>
      </c>
      <c r="S626">
        <v>2805.6</v>
      </c>
      <c r="T626">
        <v>616330</v>
      </c>
      <c r="U626" s="18">
        <v>44747</v>
      </c>
    </row>
    <row r="627" spans="15:21" x14ac:dyDescent="0.35">
      <c r="O627" s="18">
        <v>40388</v>
      </c>
      <c r="P627">
        <v>99.37</v>
      </c>
      <c r="R627" s="18">
        <v>44748</v>
      </c>
      <c r="S627">
        <v>2907.95</v>
      </c>
      <c r="T627">
        <v>1060000</v>
      </c>
      <c r="U627" s="18">
        <v>44748</v>
      </c>
    </row>
    <row r="628" spans="15:21" x14ac:dyDescent="0.35">
      <c r="O628" s="18">
        <v>40389</v>
      </c>
      <c r="P628">
        <v>98.41</v>
      </c>
      <c r="R628" s="18">
        <v>44749</v>
      </c>
      <c r="S628">
        <v>2944.2</v>
      </c>
      <c r="T628">
        <v>650310</v>
      </c>
      <c r="U628" s="18">
        <v>44749</v>
      </c>
    </row>
    <row r="629" spans="15:21" x14ac:dyDescent="0.35">
      <c r="O629" s="18">
        <v>40392</v>
      </c>
      <c r="P629">
        <v>99.16</v>
      </c>
      <c r="R629" s="18">
        <v>44750</v>
      </c>
      <c r="S629">
        <v>2931.6</v>
      </c>
      <c r="T629">
        <v>617740</v>
      </c>
      <c r="U629" s="18">
        <v>44750</v>
      </c>
    </row>
    <row r="630" spans="15:21" x14ac:dyDescent="0.35">
      <c r="O630" s="18">
        <v>40393</v>
      </c>
      <c r="P630">
        <v>102.95</v>
      </c>
      <c r="R630" s="18">
        <v>44753</v>
      </c>
      <c r="S630">
        <v>3046.85</v>
      </c>
      <c r="T630">
        <v>1350000</v>
      </c>
      <c r="U630" s="18">
        <v>44753</v>
      </c>
    </row>
    <row r="631" spans="15:21" x14ac:dyDescent="0.35">
      <c r="O631" s="18">
        <v>40394</v>
      </c>
      <c r="P631">
        <v>103.83</v>
      </c>
      <c r="R631" s="18">
        <v>44754</v>
      </c>
      <c r="S631">
        <v>2954.05</v>
      </c>
      <c r="T631">
        <v>1070000</v>
      </c>
      <c r="U631" s="18">
        <v>44754</v>
      </c>
    </row>
    <row r="632" spans="15:21" x14ac:dyDescent="0.35">
      <c r="O632" s="18">
        <v>40395</v>
      </c>
      <c r="P632">
        <v>100.87</v>
      </c>
      <c r="R632" s="18">
        <v>44755</v>
      </c>
      <c r="S632">
        <v>2967.4</v>
      </c>
      <c r="T632">
        <v>768270</v>
      </c>
      <c r="U632" s="18">
        <v>44755</v>
      </c>
    </row>
    <row r="633" spans="15:21" x14ac:dyDescent="0.35">
      <c r="O633" s="18">
        <v>40396</v>
      </c>
      <c r="P633">
        <v>99.67</v>
      </c>
      <c r="R633" s="18">
        <v>44756</v>
      </c>
      <c r="S633">
        <v>2955.1</v>
      </c>
      <c r="T633">
        <v>901980</v>
      </c>
      <c r="U633" s="18">
        <v>44756</v>
      </c>
    </row>
    <row r="634" spans="15:21" x14ac:dyDescent="0.35">
      <c r="O634" s="18">
        <v>40399</v>
      </c>
      <c r="P634">
        <v>101.49</v>
      </c>
      <c r="R634" s="18">
        <v>44757</v>
      </c>
      <c r="S634">
        <v>3034</v>
      </c>
      <c r="T634">
        <v>536540</v>
      </c>
      <c r="U634" s="18">
        <v>44757</v>
      </c>
    </row>
    <row r="635" spans="15:21" x14ac:dyDescent="0.35">
      <c r="O635" s="18">
        <v>40400</v>
      </c>
      <c r="P635">
        <v>101.16</v>
      </c>
      <c r="R635" s="18">
        <v>44760</v>
      </c>
      <c r="S635">
        <v>3036.5</v>
      </c>
      <c r="T635">
        <v>568160</v>
      </c>
      <c r="U635" s="18">
        <v>44760</v>
      </c>
    </row>
    <row r="636" spans="15:21" x14ac:dyDescent="0.35">
      <c r="O636" s="18">
        <v>40401</v>
      </c>
      <c r="P636">
        <v>100.91</v>
      </c>
      <c r="R636" s="18">
        <v>44761</v>
      </c>
      <c r="S636">
        <v>3077.7</v>
      </c>
      <c r="T636">
        <v>728000</v>
      </c>
      <c r="U636" s="18">
        <v>44761</v>
      </c>
    </row>
    <row r="637" spans="15:21" x14ac:dyDescent="0.35">
      <c r="O637" s="18">
        <v>40402</v>
      </c>
      <c r="P637">
        <v>109.83</v>
      </c>
      <c r="R637" s="18">
        <v>44762</v>
      </c>
      <c r="S637">
        <v>3045</v>
      </c>
      <c r="T637">
        <v>432910</v>
      </c>
      <c r="U637" s="18">
        <v>44762</v>
      </c>
    </row>
    <row r="638" spans="15:21" x14ac:dyDescent="0.35">
      <c r="O638" s="18">
        <v>40403</v>
      </c>
      <c r="P638">
        <v>109.22</v>
      </c>
      <c r="R638" s="18">
        <v>44763</v>
      </c>
      <c r="S638">
        <v>3081.2</v>
      </c>
      <c r="T638">
        <v>469150</v>
      </c>
      <c r="U638" s="18">
        <v>44763</v>
      </c>
    </row>
    <row r="639" spans="15:21" x14ac:dyDescent="0.35">
      <c r="O639" s="18">
        <v>40406</v>
      </c>
      <c r="P639">
        <v>108.56</v>
      </c>
      <c r="R639" s="18">
        <v>44764</v>
      </c>
      <c r="S639">
        <v>3147.6</v>
      </c>
      <c r="T639">
        <v>1460000</v>
      </c>
      <c r="U639" s="18">
        <v>44764</v>
      </c>
    </row>
    <row r="640" spans="15:21" x14ac:dyDescent="0.35">
      <c r="O640" s="18">
        <v>40407</v>
      </c>
      <c r="P640">
        <v>110.5</v>
      </c>
      <c r="R640" s="18">
        <v>44767</v>
      </c>
      <c r="S640">
        <v>3086.7</v>
      </c>
      <c r="T640">
        <v>623590</v>
      </c>
      <c r="U640" s="18">
        <v>44767</v>
      </c>
    </row>
    <row r="641" spans="15:21" x14ac:dyDescent="0.35">
      <c r="O641" s="18">
        <v>40408</v>
      </c>
      <c r="P641">
        <v>109.88</v>
      </c>
      <c r="R641" s="18">
        <v>44768</v>
      </c>
      <c r="S641">
        <v>3023.3</v>
      </c>
      <c r="T641">
        <v>676810</v>
      </c>
      <c r="U641" s="18">
        <v>44768</v>
      </c>
    </row>
    <row r="642" spans="15:21" x14ac:dyDescent="0.35">
      <c r="O642" s="18">
        <v>40409</v>
      </c>
      <c r="P642">
        <v>109.85</v>
      </c>
      <c r="R642" s="18">
        <v>44769</v>
      </c>
      <c r="S642">
        <v>3057.4</v>
      </c>
      <c r="T642">
        <v>527220</v>
      </c>
      <c r="U642" s="18">
        <v>44769</v>
      </c>
    </row>
    <row r="643" spans="15:21" x14ac:dyDescent="0.35">
      <c r="O643" s="18">
        <v>40410</v>
      </c>
      <c r="P643">
        <v>109.27</v>
      </c>
      <c r="R643" s="18">
        <v>44770</v>
      </c>
      <c r="S643">
        <v>3054</v>
      </c>
      <c r="T643">
        <v>486390</v>
      </c>
      <c r="U643" s="18">
        <v>44770</v>
      </c>
    </row>
    <row r="644" spans="15:21" x14ac:dyDescent="0.35">
      <c r="O644" s="18">
        <v>40413</v>
      </c>
      <c r="P644">
        <v>107.17</v>
      </c>
      <c r="R644" s="18">
        <v>44771</v>
      </c>
      <c r="S644">
        <v>3093.45</v>
      </c>
      <c r="T644">
        <v>570560</v>
      </c>
      <c r="U644" s="18">
        <v>44771</v>
      </c>
    </row>
    <row r="645" spans="15:21" x14ac:dyDescent="0.35">
      <c r="O645" s="18">
        <v>40414</v>
      </c>
      <c r="P645">
        <v>108.13</v>
      </c>
      <c r="R645" s="18">
        <v>44774</v>
      </c>
      <c r="S645">
        <v>3088.4</v>
      </c>
      <c r="T645">
        <v>891880</v>
      </c>
      <c r="U645" s="18">
        <v>44774</v>
      </c>
    </row>
    <row r="646" spans="15:21" x14ac:dyDescent="0.35">
      <c r="O646" s="18">
        <v>40415</v>
      </c>
      <c r="P646">
        <v>105.94</v>
      </c>
      <c r="R646" s="18">
        <v>44775</v>
      </c>
      <c r="S646">
        <v>3120.95</v>
      </c>
      <c r="T646">
        <v>1840000</v>
      </c>
      <c r="U646" s="18">
        <v>44775</v>
      </c>
    </row>
    <row r="647" spans="15:21" x14ac:dyDescent="0.35">
      <c r="O647" s="18">
        <v>40416</v>
      </c>
      <c r="P647">
        <v>119.93</v>
      </c>
      <c r="R647" s="18">
        <v>44776</v>
      </c>
      <c r="S647">
        <v>3138.2</v>
      </c>
      <c r="T647">
        <v>1220000</v>
      </c>
      <c r="U647" s="18">
        <v>44776</v>
      </c>
    </row>
    <row r="648" spans="15:21" x14ac:dyDescent="0.35">
      <c r="O648" s="18">
        <v>40417</v>
      </c>
      <c r="P648">
        <v>124.77</v>
      </c>
      <c r="R648" s="18">
        <v>44777</v>
      </c>
      <c r="S648">
        <v>3145.8</v>
      </c>
      <c r="T648">
        <v>928110</v>
      </c>
      <c r="U648" s="18">
        <v>44777</v>
      </c>
    </row>
    <row r="649" spans="15:21" x14ac:dyDescent="0.35">
      <c r="O649" s="18">
        <v>40420</v>
      </c>
      <c r="P649">
        <v>122.95</v>
      </c>
      <c r="R649" s="18">
        <v>44778</v>
      </c>
      <c r="S649">
        <v>3089.6</v>
      </c>
      <c r="T649">
        <v>518289.99999999994</v>
      </c>
      <c r="U649" s="18">
        <v>44778</v>
      </c>
    </row>
    <row r="650" spans="15:21" x14ac:dyDescent="0.35">
      <c r="O650" s="18">
        <v>40421</v>
      </c>
      <c r="P650">
        <v>125.57</v>
      </c>
      <c r="R650" s="18">
        <v>44781</v>
      </c>
      <c r="S650">
        <v>3116.75</v>
      </c>
      <c r="T650">
        <v>595710</v>
      </c>
      <c r="U650" s="18">
        <v>44781</v>
      </c>
    </row>
    <row r="651" spans="15:21" x14ac:dyDescent="0.35">
      <c r="O651" s="18">
        <v>40422</v>
      </c>
      <c r="P651">
        <v>126.52</v>
      </c>
      <c r="R651" s="18">
        <v>44783</v>
      </c>
      <c r="S651">
        <v>3154.55</v>
      </c>
      <c r="T651">
        <v>814820</v>
      </c>
      <c r="U651" s="18">
        <v>44783</v>
      </c>
    </row>
    <row r="652" spans="15:21" x14ac:dyDescent="0.35">
      <c r="O652" s="18">
        <v>40423</v>
      </c>
      <c r="P652">
        <v>127.64</v>
      </c>
      <c r="R652" s="18">
        <v>44784</v>
      </c>
      <c r="S652">
        <v>3176.45</v>
      </c>
      <c r="T652">
        <v>2190000</v>
      </c>
      <c r="U652" s="18">
        <v>44784</v>
      </c>
    </row>
    <row r="653" spans="15:21" x14ac:dyDescent="0.35">
      <c r="O653" s="18">
        <v>40424</v>
      </c>
      <c r="P653">
        <v>127.01</v>
      </c>
      <c r="R653" s="18">
        <v>44785</v>
      </c>
      <c r="S653">
        <v>3210.15</v>
      </c>
      <c r="T653">
        <v>1330000</v>
      </c>
      <c r="U653" s="18">
        <v>44785</v>
      </c>
    </row>
    <row r="654" spans="15:21" x14ac:dyDescent="0.35">
      <c r="O654" s="18">
        <v>40427</v>
      </c>
      <c r="P654">
        <v>127.33</v>
      </c>
      <c r="R654" s="18">
        <v>44789</v>
      </c>
      <c r="S654">
        <v>3338.05</v>
      </c>
      <c r="T654">
        <v>1700000</v>
      </c>
      <c r="U654" s="18">
        <v>44789</v>
      </c>
    </row>
    <row r="655" spans="15:21" x14ac:dyDescent="0.35">
      <c r="O655" s="18">
        <v>40428</v>
      </c>
      <c r="P655">
        <v>126.8</v>
      </c>
      <c r="R655" s="18">
        <v>44790</v>
      </c>
      <c r="S655">
        <v>3397.6</v>
      </c>
      <c r="T655">
        <v>1650000</v>
      </c>
      <c r="U655" s="18">
        <v>44790</v>
      </c>
    </row>
    <row r="656" spans="15:21" x14ac:dyDescent="0.35">
      <c r="O656" s="18">
        <v>40429</v>
      </c>
      <c r="P656">
        <v>126.58</v>
      </c>
      <c r="R656" s="18">
        <v>44791</v>
      </c>
      <c r="S656">
        <v>3411.4</v>
      </c>
      <c r="T656">
        <v>591900</v>
      </c>
      <c r="U656" s="18">
        <v>44791</v>
      </c>
    </row>
    <row r="657" spans="15:21" x14ac:dyDescent="0.35">
      <c r="O657" s="18">
        <v>40430</v>
      </c>
      <c r="P657">
        <v>126.11</v>
      </c>
      <c r="R657" s="18">
        <v>44792</v>
      </c>
      <c r="S657">
        <v>3424.1</v>
      </c>
      <c r="T657">
        <v>1150000</v>
      </c>
      <c r="U657" s="18">
        <v>44792</v>
      </c>
    </row>
    <row r="658" spans="15:21" x14ac:dyDescent="0.35">
      <c r="O658" s="18">
        <v>40434</v>
      </c>
      <c r="P658">
        <v>123.17</v>
      </c>
      <c r="R658" s="18">
        <v>44795</v>
      </c>
      <c r="S658">
        <v>3363.25</v>
      </c>
      <c r="T658">
        <v>928070</v>
      </c>
      <c r="U658" s="18">
        <v>44795</v>
      </c>
    </row>
    <row r="659" spans="15:21" x14ac:dyDescent="0.35">
      <c r="O659" s="18">
        <v>40435</v>
      </c>
      <c r="P659">
        <v>123.89</v>
      </c>
      <c r="R659" s="18">
        <v>44796</v>
      </c>
      <c r="S659">
        <v>3464.75</v>
      </c>
      <c r="T659">
        <v>1600000</v>
      </c>
      <c r="U659" s="18">
        <v>44796</v>
      </c>
    </row>
    <row r="660" spans="15:21" x14ac:dyDescent="0.35">
      <c r="O660" s="18">
        <v>40436</v>
      </c>
      <c r="P660">
        <v>121.08</v>
      </c>
      <c r="R660" s="18">
        <v>44797</v>
      </c>
      <c r="S660">
        <v>3450.7</v>
      </c>
      <c r="T660">
        <v>856680</v>
      </c>
      <c r="U660" s="18">
        <v>44797</v>
      </c>
    </row>
    <row r="661" spans="15:21" x14ac:dyDescent="0.35">
      <c r="O661" s="18">
        <v>40437</v>
      </c>
      <c r="P661">
        <v>123.44</v>
      </c>
      <c r="R661" s="18">
        <v>44798</v>
      </c>
      <c r="S661">
        <v>3481.45</v>
      </c>
      <c r="T661">
        <v>1240000</v>
      </c>
      <c r="U661" s="18">
        <v>44798</v>
      </c>
    </row>
    <row r="662" spans="15:21" x14ac:dyDescent="0.35">
      <c r="O662" s="18">
        <v>40438</v>
      </c>
      <c r="P662">
        <v>122.19</v>
      </c>
      <c r="R662" s="18">
        <v>44799</v>
      </c>
      <c r="S662">
        <v>3355.1</v>
      </c>
      <c r="T662">
        <v>1740000</v>
      </c>
      <c r="U662" s="18">
        <v>44799</v>
      </c>
    </row>
    <row r="663" spans="15:21" x14ac:dyDescent="0.35">
      <c r="O663" s="18">
        <v>40441</v>
      </c>
      <c r="P663">
        <v>121.94</v>
      </c>
      <c r="R663" s="18">
        <v>44802</v>
      </c>
      <c r="S663">
        <v>3291.6</v>
      </c>
      <c r="T663">
        <v>1440000</v>
      </c>
      <c r="U663" s="18">
        <v>44802</v>
      </c>
    </row>
    <row r="664" spans="15:21" x14ac:dyDescent="0.35">
      <c r="O664" s="18">
        <v>40442</v>
      </c>
      <c r="P664">
        <v>120.4</v>
      </c>
      <c r="R664" s="18">
        <v>44803</v>
      </c>
      <c r="S664">
        <v>3358.75</v>
      </c>
      <c r="T664">
        <v>1240000</v>
      </c>
      <c r="U664" s="18">
        <v>44803</v>
      </c>
    </row>
    <row r="665" spans="15:21" x14ac:dyDescent="0.35">
      <c r="O665" s="18">
        <v>40443</v>
      </c>
      <c r="P665">
        <v>117.33</v>
      </c>
      <c r="R665" s="18">
        <v>44805</v>
      </c>
      <c r="S665">
        <v>3411.6</v>
      </c>
      <c r="T665">
        <v>1590000</v>
      </c>
      <c r="U665" s="18">
        <v>44805</v>
      </c>
    </row>
    <row r="666" spans="15:21" x14ac:dyDescent="0.35">
      <c r="O666" s="18">
        <v>40444</v>
      </c>
      <c r="P666">
        <v>116.75</v>
      </c>
      <c r="R666" s="18">
        <v>44806</v>
      </c>
      <c r="S666">
        <v>3422.1</v>
      </c>
      <c r="T666">
        <v>1040000</v>
      </c>
      <c r="U666" s="18">
        <v>44806</v>
      </c>
    </row>
    <row r="667" spans="15:21" x14ac:dyDescent="0.35">
      <c r="O667" s="18">
        <v>40445</v>
      </c>
      <c r="P667">
        <v>117.66</v>
      </c>
      <c r="R667" s="18">
        <v>44809</v>
      </c>
      <c r="S667">
        <v>3400.5</v>
      </c>
      <c r="T667">
        <v>561310</v>
      </c>
      <c r="U667" s="18">
        <v>44809</v>
      </c>
    </row>
    <row r="668" spans="15:21" x14ac:dyDescent="0.35">
      <c r="O668" s="18">
        <v>40448</v>
      </c>
      <c r="P668">
        <v>121.19</v>
      </c>
      <c r="R668" s="18">
        <v>44810</v>
      </c>
      <c r="S668">
        <v>3410.35</v>
      </c>
      <c r="T668">
        <v>355150</v>
      </c>
      <c r="U668" s="18">
        <v>44810</v>
      </c>
    </row>
    <row r="669" spans="15:21" x14ac:dyDescent="0.35">
      <c r="O669" s="18">
        <v>40449</v>
      </c>
      <c r="P669">
        <v>120.8</v>
      </c>
      <c r="R669" s="18">
        <v>44811</v>
      </c>
      <c r="S669">
        <v>3383.65</v>
      </c>
      <c r="T669">
        <v>662830</v>
      </c>
      <c r="U669" s="18">
        <v>44811</v>
      </c>
    </row>
    <row r="670" spans="15:21" x14ac:dyDescent="0.35">
      <c r="O670" s="18">
        <v>40450</v>
      </c>
      <c r="P670">
        <v>124.8</v>
      </c>
      <c r="R670" s="18">
        <v>44812</v>
      </c>
      <c r="S670">
        <v>3425.75</v>
      </c>
      <c r="T670">
        <v>640520</v>
      </c>
      <c r="U670" s="18">
        <v>44812</v>
      </c>
    </row>
    <row r="671" spans="15:21" x14ac:dyDescent="0.35">
      <c r="O671" s="18">
        <v>40451</v>
      </c>
      <c r="P671">
        <v>122.27</v>
      </c>
      <c r="R671" s="18">
        <v>44813</v>
      </c>
      <c r="S671">
        <v>3473.15</v>
      </c>
      <c r="T671">
        <v>567370</v>
      </c>
      <c r="U671" s="18">
        <v>44813</v>
      </c>
    </row>
    <row r="672" spans="15:21" x14ac:dyDescent="0.35">
      <c r="O672" s="18">
        <v>40452</v>
      </c>
      <c r="P672">
        <v>129.19</v>
      </c>
      <c r="R672" s="18">
        <v>44816</v>
      </c>
      <c r="S672">
        <v>3538.95</v>
      </c>
      <c r="T672">
        <v>761570</v>
      </c>
      <c r="U672" s="18">
        <v>44816</v>
      </c>
    </row>
    <row r="673" spans="15:21" x14ac:dyDescent="0.35">
      <c r="O673" s="18">
        <v>40455</v>
      </c>
      <c r="P673">
        <v>137.35</v>
      </c>
      <c r="R673" s="18">
        <v>44817</v>
      </c>
      <c r="S673">
        <v>3522</v>
      </c>
      <c r="T673">
        <v>528700</v>
      </c>
      <c r="U673" s="18">
        <v>44817</v>
      </c>
    </row>
    <row r="674" spans="15:21" x14ac:dyDescent="0.35">
      <c r="O674" s="18">
        <v>40456</v>
      </c>
      <c r="P674">
        <v>134.62</v>
      </c>
      <c r="R674" s="18">
        <v>44818</v>
      </c>
      <c r="S674">
        <v>3541.8</v>
      </c>
      <c r="T674">
        <v>508970.00000000006</v>
      </c>
      <c r="U674" s="18">
        <v>44818</v>
      </c>
    </row>
    <row r="675" spans="15:21" x14ac:dyDescent="0.35">
      <c r="O675" s="18">
        <v>40457</v>
      </c>
      <c r="P675">
        <v>133.71</v>
      </c>
      <c r="R675" s="18">
        <v>44819</v>
      </c>
      <c r="S675">
        <v>3622.25</v>
      </c>
      <c r="T675">
        <v>1630000</v>
      </c>
      <c r="U675" s="18">
        <v>44819</v>
      </c>
    </row>
    <row r="676" spans="15:21" x14ac:dyDescent="0.35">
      <c r="O676" s="18">
        <v>40458</v>
      </c>
      <c r="P676">
        <v>127.7</v>
      </c>
      <c r="R676" s="18">
        <v>44820</v>
      </c>
      <c r="S676">
        <v>3549</v>
      </c>
      <c r="T676">
        <v>957390</v>
      </c>
      <c r="U676" s="18">
        <v>44820</v>
      </c>
    </row>
    <row r="677" spans="15:21" x14ac:dyDescent="0.35">
      <c r="O677" s="18">
        <v>40459</v>
      </c>
      <c r="P677">
        <v>126.67</v>
      </c>
      <c r="R677" s="18">
        <v>44823</v>
      </c>
      <c r="S677">
        <v>3590.25</v>
      </c>
      <c r="T677">
        <v>517409.99999999994</v>
      </c>
      <c r="U677" s="18">
        <v>44823</v>
      </c>
    </row>
    <row r="678" spans="15:21" x14ac:dyDescent="0.35">
      <c r="O678" s="18">
        <v>40462</v>
      </c>
      <c r="P678">
        <v>128.96</v>
      </c>
      <c r="R678" s="18">
        <v>44824</v>
      </c>
      <c r="S678">
        <v>3711.55</v>
      </c>
      <c r="T678">
        <v>854400</v>
      </c>
      <c r="U678" s="18">
        <v>44824</v>
      </c>
    </row>
    <row r="679" spans="15:21" x14ac:dyDescent="0.35">
      <c r="O679" s="18">
        <v>40463</v>
      </c>
      <c r="P679">
        <v>128.27000000000001</v>
      </c>
      <c r="R679" s="18">
        <v>44825</v>
      </c>
      <c r="S679">
        <v>3682.05</v>
      </c>
      <c r="T679">
        <v>883100</v>
      </c>
      <c r="U679" s="18">
        <v>44825</v>
      </c>
    </row>
    <row r="680" spans="15:21" x14ac:dyDescent="0.35">
      <c r="O680" s="18">
        <v>40464</v>
      </c>
      <c r="P680">
        <v>128.19</v>
      </c>
      <c r="R680" s="18">
        <v>44826</v>
      </c>
      <c r="S680">
        <v>3748.75</v>
      </c>
      <c r="T680">
        <v>659830</v>
      </c>
      <c r="U680" s="18">
        <v>44826</v>
      </c>
    </row>
    <row r="681" spans="15:21" x14ac:dyDescent="0.35">
      <c r="O681" s="18">
        <v>40465</v>
      </c>
      <c r="P681">
        <v>126.22</v>
      </c>
      <c r="R681" s="18">
        <v>44827</v>
      </c>
      <c r="S681">
        <v>3688.45</v>
      </c>
      <c r="T681">
        <v>436540</v>
      </c>
      <c r="U681" s="18">
        <v>44827</v>
      </c>
    </row>
    <row r="682" spans="15:21" x14ac:dyDescent="0.35">
      <c r="O682" s="18">
        <v>40466</v>
      </c>
      <c r="P682">
        <v>128.6</v>
      </c>
      <c r="R682" s="18">
        <v>44830</v>
      </c>
      <c r="S682">
        <v>3515.55</v>
      </c>
      <c r="T682">
        <v>979890</v>
      </c>
      <c r="U682" s="18">
        <v>44830</v>
      </c>
    </row>
    <row r="683" spans="15:21" x14ac:dyDescent="0.35">
      <c r="O683" s="18">
        <v>40469</v>
      </c>
      <c r="P683">
        <v>127.19</v>
      </c>
      <c r="R683" s="18">
        <v>44831</v>
      </c>
      <c r="S683">
        <v>3570.55</v>
      </c>
      <c r="T683">
        <v>651920</v>
      </c>
      <c r="U683" s="18">
        <v>44831</v>
      </c>
    </row>
    <row r="684" spans="15:21" x14ac:dyDescent="0.35">
      <c r="O684" s="18">
        <v>40470</v>
      </c>
      <c r="P684">
        <v>127.2</v>
      </c>
      <c r="R684" s="18">
        <v>44832</v>
      </c>
      <c r="S684">
        <v>3628.3</v>
      </c>
      <c r="T684">
        <v>670810</v>
      </c>
      <c r="U684" s="18">
        <v>44832</v>
      </c>
    </row>
    <row r="685" spans="15:21" x14ac:dyDescent="0.35">
      <c r="O685" s="18">
        <v>40471</v>
      </c>
      <c r="P685">
        <v>124.34</v>
      </c>
      <c r="R685" s="18">
        <v>44833</v>
      </c>
      <c r="S685">
        <v>3624.1</v>
      </c>
      <c r="T685">
        <v>578780</v>
      </c>
      <c r="U685" s="18">
        <v>44833</v>
      </c>
    </row>
    <row r="686" spans="15:21" x14ac:dyDescent="0.35">
      <c r="O686" s="18">
        <v>40472</v>
      </c>
      <c r="P686">
        <v>124.94</v>
      </c>
      <c r="R686" s="18">
        <v>44834</v>
      </c>
      <c r="S686">
        <v>3671.6</v>
      </c>
      <c r="T686">
        <v>517860</v>
      </c>
      <c r="U686" s="18">
        <v>44834</v>
      </c>
    </row>
    <row r="687" spans="15:21" x14ac:dyDescent="0.35">
      <c r="O687" s="18">
        <v>40473</v>
      </c>
      <c r="P687">
        <v>124.33</v>
      </c>
      <c r="R687" s="18">
        <v>44837</v>
      </c>
      <c r="S687">
        <v>3463.35</v>
      </c>
      <c r="T687">
        <v>2180000</v>
      </c>
      <c r="U687" s="18">
        <v>44837</v>
      </c>
    </row>
    <row r="688" spans="15:21" x14ac:dyDescent="0.35">
      <c r="O688" s="18">
        <v>40476</v>
      </c>
      <c r="P688">
        <v>125.31</v>
      </c>
      <c r="R688" s="18">
        <v>44838</v>
      </c>
      <c r="S688">
        <v>3555</v>
      </c>
      <c r="T688">
        <v>961130</v>
      </c>
      <c r="U688" s="18">
        <v>44838</v>
      </c>
    </row>
    <row r="689" spans="15:21" x14ac:dyDescent="0.35">
      <c r="O689" s="18">
        <v>40477</v>
      </c>
      <c r="P689">
        <v>129.31</v>
      </c>
      <c r="R689" s="18">
        <v>44840</v>
      </c>
      <c r="S689">
        <v>3531.35</v>
      </c>
      <c r="T689">
        <v>530680</v>
      </c>
      <c r="U689" s="18">
        <v>44840</v>
      </c>
    </row>
    <row r="690" spans="15:21" x14ac:dyDescent="0.35">
      <c r="O690" s="18">
        <v>40478</v>
      </c>
      <c r="P690">
        <v>128.43</v>
      </c>
      <c r="R690" s="18">
        <v>44841</v>
      </c>
      <c r="S690">
        <v>3498.55</v>
      </c>
      <c r="T690">
        <v>458830</v>
      </c>
      <c r="U690" s="18">
        <v>44841</v>
      </c>
    </row>
    <row r="691" spans="15:21" x14ac:dyDescent="0.35">
      <c r="O691" s="18">
        <v>40479</v>
      </c>
      <c r="P691">
        <v>127.45</v>
      </c>
      <c r="R691" s="18">
        <v>44844</v>
      </c>
      <c r="S691">
        <v>3531.6</v>
      </c>
      <c r="T691">
        <v>412740</v>
      </c>
      <c r="U691" s="18">
        <v>44844</v>
      </c>
    </row>
    <row r="692" spans="15:21" x14ac:dyDescent="0.35">
      <c r="O692" s="18">
        <v>40480</v>
      </c>
      <c r="P692">
        <v>128.09</v>
      </c>
      <c r="R692" s="18">
        <v>44845</v>
      </c>
      <c r="S692">
        <v>3408</v>
      </c>
      <c r="T692">
        <v>661790</v>
      </c>
      <c r="U692" s="18">
        <v>44845</v>
      </c>
    </row>
    <row r="693" spans="15:21" x14ac:dyDescent="0.35">
      <c r="O693" s="18">
        <v>40483</v>
      </c>
      <c r="P693">
        <v>129.85</v>
      </c>
      <c r="R693" s="18">
        <v>44846</v>
      </c>
      <c r="S693">
        <v>3458.2</v>
      </c>
      <c r="T693">
        <v>660960</v>
      </c>
      <c r="U693" s="18">
        <v>44846</v>
      </c>
    </row>
    <row r="694" spans="15:21" x14ac:dyDescent="0.35">
      <c r="O694" s="18">
        <v>40484</v>
      </c>
      <c r="P694">
        <v>132.62</v>
      </c>
      <c r="R694" s="18">
        <v>44847</v>
      </c>
      <c r="S694">
        <v>3471.2</v>
      </c>
      <c r="T694">
        <v>753970</v>
      </c>
      <c r="U694" s="18">
        <v>44847</v>
      </c>
    </row>
    <row r="695" spans="15:21" x14ac:dyDescent="0.35">
      <c r="O695" s="18">
        <v>40485</v>
      </c>
      <c r="P695">
        <v>139.29</v>
      </c>
      <c r="R695" s="18">
        <v>44848</v>
      </c>
      <c r="S695">
        <v>3477.2</v>
      </c>
      <c r="T695">
        <v>387250</v>
      </c>
      <c r="U695" s="18">
        <v>44848</v>
      </c>
    </row>
    <row r="696" spans="15:21" x14ac:dyDescent="0.35">
      <c r="O696" s="18">
        <v>40486</v>
      </c>
      <c r="P696">
        <v>140.07</v>
      </c>
      <c r="R696" s="18">
        <v>44851</v>
      </c>
      <c r="S696">
        <v>3514.7</v>
      </c>
      <c r="T696">
        <v>492110</v>
      </c>
      <c r="U696" s="18">
        <v>44851</v>
      </c>
    </row>
    <row r="697" spans="15:21" x14ac:dyDescent="0.35">
      <c r="O697" s="18">
        <v>40487</v>
      </c>
      <c r="P697">
        <v>141.07</v>
      </c>
      <c r="R697" s="18">
        <v>44852</v>
      </c>
      <c r="S697">
        <v>3612.5</v>
      </c>
      <c r="T697">
        <v>522360.00000000006</v>
      </c>
      <c r="U697" s="18">
        <v>44852</v>
      </c>
    </row>
    <row r="698" spans="15:21" x14ac:dyDescent="0.35">
      <c r="O698" s="18">
        <v>40490</v>
      </c>
      <c r="P698">
        <v>142.44</v>
      </c>
      <c r="R698" s="18">
        <v>44853</v>
      </c>
      <c r="S698">
        <v>3612.3</v>
      </c>
      <c r="T698">
        <v>645490</v>
      </c>
      <c r="U698" s="18">
        <v>44853</v>
      </c>
    </row>
    <row r="699" spans="15:21" x14ac:dyDescent="0.35">
      <c r="O699" s="18">
        <v>40491</v>
      </c>
      <c r="P699">
        <v>138.47</v>
      </c>
      <c r="R699" s="18">
        <v>44854</v>
      </c>
      <c r="S699">
        <v>3651.15</v>
      </c>
      <c r="T699">
        <v>515240.00000000006</v>
      </c>
      <c r="U699" s="18">
        <v>44854</v>
      </c>
    </row>
    <row r="700" spans="15:21" x14ac:dyDescent="0.35">
      <c r="O700" s="18">
        <v>40492</v>
      </c>
      <c r="P700">
        <v>134.78</v>
      </c>
      <c r="R700" s="18">
        <v>44855</v>
      </c>
      <c r="S700">
        <v>3629.5</v>
      </c>
      <c r="T700">
        <v>532330</v>
      </c>
      <c r="U700" s="18">
        <v>44855</v>
      </c>
    </row>
    <row r="701" spans="15:21" x14ac:dyDescent="0.35">
      <c r="O701" s="18">
        <v>40493</v>
      </c>
      <c r="P701">
        <v>131.69999999999999</v>
      </c>
      <c r="R701" s="18">
        <v>44858</v>
      </c>
      <c r="S701">
        <v>3641.2</v>
      </c>
      <c r="T701">
        <v>63729.999999999993</v>
      </c>
      <c r="U701" s="18">
        <v>44858</v>
      </c>
    </row>
    <row r="702" spans="15:21" x14ac:dyDescent="0.35">
      <c r="O702" s="18">
        <v>40494</v>
      </c>
      <c r="P702">
        <v>127.61</v>
      </c>
      <c r="R702" s="18">
        <v>44859</v>
      </c>
      <c r="S702">
        <v>3710.65</v>
      </c>
      <c r="T702">
        <v>571190</v>
      </c>
      <c r="U702" s="18">
        <v>44859</v>
      </c>
    </row>
    <row r="703" spans="15:21" x14ac:dyDescent="0.35">
      <c r="O703" s="18">
        <v>40497</v>
      </c>
      <c r="P703">
        <v>123.52</v>
      </c>
      <c r="R703" s="18">
        <v>44861</v>
      </c>
      <c r="S703">
        <v>3710.65</v>
      </c>
      <c r="T703">
        <v>583290</v>
      </c>
      <c r="U703" s="18">
        <v>44861</v>
      </c>
    </row>
    <row r="704" spans="15:21" x14ac:dyDescent="0.35">
      <c r="O704" s="18">
        <v>40498</v>
      </c>
      <c r="P704">
        <v>127.94</v>
      </c>
      <c r="R704" s="18">
        <v>44862</v>
      </c>
      <c r="S704">
        <v>3745.75</v>
      </c>
      <c r="T704">
        <v>478510</v>
      </c>
      <c r="U704" s="18">
        <v>44862</v>
      </c>
    </row>
    <row r="705" spans="15:21" x14ac:dyDescent="0.35">
      <c r="O705" s="18">
        <v>40500</v>
      </c>
      <c r="P705">
        <v>127.59</v>
      </c>
      <c r="R705" s="18">
        <v>44865</v>
      </c>
      <c r="S705">
        <v>3850.45</v>
      </c>
      <c r="T705">
        <v>678150</v>
      </c>
      <c r="U705" s="18">
        <v>44865</v>
      </c>
    </row>
    <row r="706" spans="15:21" x14ac:dyDescent="0.35">
      <c r="O706" s="18">
        <v>40501</v>
      </c>
      <c r="P706">
        <v>121.27</v>
      </c>
      <c r="R706" s="18">
        <v>44866</v>
      </c>
      <c r="S706">
        <v>3798.4</v>
      </c>
      <c r="T706">
        <v>746050</v>
      </c>
      <c r="U706" s="18">
        <v>44866</v>
      </c>
    </row>
    <row r="707" spans="15:21" x14ac:dyDescent="0.35">
      <c r="O707" s="18">
        <v>40504</v>
      </c>
      <c r="P707">
        <v>120.46</v>
      </c>
      <c r="R707" s="18">
        <v>44867</v>
      </c>
      <c r="S707">
        <v>3729.2</v>
      </c>
      <c r="T707">
        <v>1180000</v>
      </c>
      <c r="U707" s="18">
        <v>44867</v>
      </c>
    </row>
    <row r="708" spans="15:21" x14ac:dyDescent="0.35">
      <c r="O708" s="18">
        <v>40505</v>
      </c>
      <c r="P708">
        <v>118.24</v>
      </c>
      <c r="R708" s="18">
        <v>44868</v>
      </c>
      <c r="S708">
        <v>3675.25</v>
      </c>
      <c r="T708">
        <v>738120</v>
      </c>
      <c r="U708" s="18">
        <v>44868</v>
      </c>
    </row>
    <row r="709" spans="15:21" x14ac:dyDescent="0.35">
      <c r="O709" s="18">
        <v>40506</v>
      </c>
      <c r="P709">
        <v>115.33</v>
      </c>
      <c r="R709" s="18">
        <v>44869</v>
      </c>
      <c r="S709">
        <v>3666.9</v>
      </c>
      <c r="T709">
        <v>631940</v>
      </c>
      <c r="U709" s="18">
        <v>44869</v>
      </c>
    </row>
    <row r="710" spans="15:21" x14ac:dyDescent="0.35">
      <c r="O710" s="18">
        <v>40507</v>
      </c>
      <c r="P710">
        <v>115.72</v>
      </c>
      <c r="R710" s="18">
        <v>44872</v>
      </c>
      <c r="S710">
        <v>3755.15</v>
      </c>
      <c r="T710">
        <v>505939.99999999994</v>
      </c>
      <c r="U710" s="18">
        <v>44872</v>
      </c>
    </row>
    <row r="711" spans="15:21" x14ac:dyDescent="0.35">
      <c r="O711" s="18">
        <v>40508</v>
      </c>
      <c r="P711">
        <v>110.14</v>
      </c>
      <c r="R711" s="18">
        <v>44874</v>
      </c>
      <c r="S711">
        <v>3732.95</v>
      </c>
      <c r="T711">
        <v>490410</v>
      </c>
      <c r="U711" s="18">
        <v>44874</v>
      </c>
    </row>
    <row r="712" spans="15:21" x14ac:dyDescent="0.35">
      <c r="O712" s="18">
        <v>40511</v>
      </c>
      <c r="P712">
        <v>114.77</v>
      </c>
      <c r="R712" s="18">
        <v>44875</v>
      </c>
      <c r="S712">
        <v>3700.85</v>
      </c>
      <c r="T712">
        <v>442140</v>
      </c>
      <c r="U712" s="18">
        <v>44875</v>
      </c>
    </row>
    <row r="713" spans="15:21" x14ac:dyDescent="0.35">
      <c r="O713" s="18">
        <v>40512</v>
      </c>
      <c r="P713">
        <v>118.67</v>
      </c>
      <c r="R713" s="18">
        <v>44876</v>
      </c>
      <c r="S713">
        <v>3519.65</v>
      </c>
      <c r="T713">
        <v>2460000</v>
      </c>
      <c r="U713" s="18">
        <v>44876</v>
      </c>
    </row>
    <row r="714" spans="15:21" x14ac:dyDescent="0.35">
      <c r="O714" s="18">
        <v>40513</v>
      </c>
      <c r="P714">
        <v>119.04</v>
      </c>
      <c r="R714" s="18">
        <v>44879</v>
      </c>
      <c r="S714">
        <v>3516.6</v>
      </c>
      <c r="T714">
        <v>659140</v>
      </c>
      <c r="U714" s="18">
        <v>44879</v>
      </c>
    </row>
    <row r="715" spans="15:21" x14ac:dyDescent="0.35">
      <c r="O715" s="18">
        <v>40514</v>
      </c>
      <c r="P715">
        <v>122.3</v>
      </c>
      <c r="R715" s="18">
        <v>44880</v>
      </c>
      <c r="S715">
        <v>3507.95</v>
      </c>
      <c r="T715">
        <v>552510</v>
      </c>
      <c r="U715" s="18">
        <v>44880</v>
      </c>
    </row>
    <row r="716" spans="15:21" x14ac:dyDescent="0.35">
      <c r="O716" s="18">
        <v>40515</v>
      </c>
      <c r="P716">
        <v>123.05</v>
      </c>
      <c r="R716" s="18">
        <v>44881</v>
      </c>
      <c r="S716">
        <v>3503.05</v>
      </c>
      <c r="T716">
        <v>1050000</v>
      </c>
      <c r="U716" s="18">
        <v>44881</v>
      </c>
    </row>
    <row r="717" spans="15:21" x14ac:dyDescent="0.35">
      <c r="O717" s="18">
        <v>40518</v>
      </c>
      <c r="P717">
        <v>123.01</v>
      </c>
      <c r="R717" s="18">
        <v>44882</v>
      </c>
      <c r="S717">
        <v>3441.85</v>
      </c>
      <c r="T717">
        <v>889810</v>
      </c>
      <c r="U717" s="18">
        <v>44882</v>
      </c>
    </row>
    <row r="718" spans="15:21" x14ac:dyDescent="0.35">
      <c r="O718" s="18">
        <v>40519</v>
      </c>
      <c r="P718">
        <v>122.06</v>
      </c>
      <c r="R718" s="18">
        <v>44883</v>
      </c>
      <c r="S718">
        <v>3390.25</v>
      </c>
      <c r="T718">
        <v>868750</v>
      </c>
      <c r="U718" s="18">
        <v>44883</v>
      </c>
    </row>
    <row r="719" spans="15:21" x14ac:dyDescent="0.35">
      <c r="O719" s="18">
        <v>40520</v>
      </c>
      <c r="P719">
        <v>122.26</v>
      </c>
      <c r="R719" s="18">
        <v>44886</v>
      </c>
      <c r="S719">
        <v>3378.6</v>
      </c>
      <c r="T719">
        <v>631290</v>
      </c>
      <c r="U719" s="18">
        <v>44886</v>
      </c>
    </row>
    <row r="720" spans="15:21" x14ac:dyDescent="0.35">
      <c r="O720" s="18">
        <v>40521</v>
      </c>
      <c r="P720">
        <v>121</v>
      </c>
      <c r="R720" s="18">
        <v>44887</v>
      </c>
      <c r="S720">
        <v>3375.05</v>
      </c>
      <c r="T720">
        <v>461530</v>
      </c>
      <c r="U720" s="18">
        <v>44887</v>
      </c>
    </row>
    <row r="721" spans="15:21" x14ac:dyDescent="0.35">
      <c r="O721" s="18">
        <v>40522</v>
      </c>
      <c r="P721">
        <v>119.44</v>
      </c>
      <c r="R721" s="18">
        <v>44888</v>
      </c>
      <c r="S721">
        <v>3380.9</v>
      </c>
      <c r="T721">
        <v>738560</v>
      </c>
      <c r="U721" s="18">
        <v>44888</v>
      </c>
    </row>
    <row r="722" spans="15:21" x14ac:dyDescent="0.35">
      <c r="O722" s="18">
        <v>40525</v>
      </c>
      <c r="P722">
        <v>117.17</v>
      </c>
      <c r="R722" s="18">
        <v>44889</v>
      </c>
      <c r="S722">
        <v>3377.35</v>
      </c>
      <c r="T722">
        <v>407600</v>
      </c>
      <c r="U722" s="18">
        <v>44889</v>
      </c>
    </row>
    <row r="723" spans="15:21" x14ac:dyDescent="0.35">
      <c r="O723" s="18">
        <v>40526</v>
      </c>
      <c r="P723">
        <v>119.21</v>
      </c>
      <c r="R723" s="18">
        <v>44890</v>
      </c>
      <c r="S723">
        <v>3414.1</v>
      </c>
      <c r="T723">
        <v>512690.00000000012</v>
      </c>
      <c r="U723" s="18">
        <v>44890</v>
      </c>
    </row>
    <row r="724" spans="15:21" x14ac:dyDescent="0.35">
      <c r="O724" s="18">
        <v>40527</v>
      </c>
      <c r="P724">
        <v>117.55</v>
      </c>
      <c r="R724" s="18">
        <v>44893</v>
      </c>
      <c r="S724">
        <v>3441.4</v>
      </c>
      <c r="T724">
        <v>435880</v>
      </c>
      <c r="U724" s="18">
        <v>44893</v>
      </c>
    </row>
    <row r="725" spans="15:21" x14ac:dyDescent="0.35">
      <c r="O725" s="18">
        <v>40528</v>
      </c>
      <c r="P725">
        <v>118</v>
      </c>
      <c r="R725" s="18">
        <v>44894</v>
      </c>
      <c r="S725">
        <v>3416.1</v>
      </c>
      <c r="T725">
        <v>456870</v>
      </c>
      <c r="U725" s="18">
        <v>44894</v>
      </c>
    </row>
    <row r="726" spans="15:21" x14ac:dyDescent="0.35">
      <c r="O726" s="18">
        <v>40532</v>
      </c>
      <c r="P726">
        <v>117.87</v>
      </c>
      <c r="R726" s="18">
        <v>44895</v>
      </c>
      <c r="S726">
        <v>3484.5</v>
      </c>
      <c r="T726">
        <v>1150000</v>
      </c>
      <c r="U726" s="18">
        <v>44895</v>
      </c>
    </row>
    <row r="727" spans="15:21" x14ac:dyDescent="0.35">
      <c r="O727" s="18">
        <v>40533</v>
      </c>
      <c r="P727">
        <v>117.08</v>
      </c>
      <c r="R727" s="18">
        <v>44896</v>
      </c>
      <c r="S727">
        <v>3437.45</v>
      </c>
      <c r="T727">
        <v>518870.00000000006</v>
      </c>
      <c r="U727" s="18">
        <v>44896</v>
      </c>
    </row>
    <row r="728" spans="15:21" x14ac:dyDescent="0.35">
      <c r="O728" s="18">
        <v>40534</v>
      </c>
      <c r="P728">
        <v>116.69</v>
      </c>
      <c r="R728" s="18">
        <v>44897</v>
      </c>
      <c r="S728">
        <v>3331.85</v>
      </c>
      <c r="T728">
        <v>1450000</v>
      </c>
      <c r="U728" s="18">
        <v>44897</v>
      </c>
    </row>
    <row r="729" spans="15:21" x14ac:dyDescent="0.35">
      <c r="O729" s="18">
        <v>40535</v>
      </c>
      <c r="P729">
        <v>118.14</v>
      </c>
      <c r="R729" s="18">
        <v>44900</v>
      </c>
      <c r="S729">
        <v>3344.4</v>
      </c>
      <c r="T729">
        <v>518260.00000000006</v>
      </c>
      <c r="U729" s="18">
        <v>44900</v>
      </c>
    </row>
    <row r="730" spans="15:21" x14ac:dyDescent="0.35">
      <c r="O730" s="18">
        <v>40536</v>
      </c>
      <c r="P730">
        <v>118.39</v>
      </c>
      <c r="R730" s="18">
        <v>44901</v>
      </c>
      <c r="S730">
        <v>3299.7</v>
      </c>
      <c r="T730">
        <v>944560</v>
      </c>
      <c r="U730" s="18">
        <v>44901</v>
      </c>
    </row>
    <row r="731" spans="15:21" x14ac:dyDescent="0.35">
      <c r="O731" s="18">
        <v>40539</v>
      </c>
      <c r="P731">
        <v>119.75</v>
      </c>
      <c r="R731" s="18">
        <v>44902</v>
      </c>
      <c r="S731">
        <v>3259.85</v>
      </c>
      <c r="T731">
        <v>943410</v>
      </c>
      <c r="U731" s="18">
        <v>44902</v>
      </c>
    </row>
    <row r="732" spans="15:21" x14ac:dyDescent="0.35">
      <c r="O732" s="18">
        <v>40540</v>
      </c>
      <c r="P732">
        <v>119.37</v>
      </c>
      <c r="R732" s="18">
        <v>44903</v>
      </c>
      <c r="S732">
        <v>3322.3</v>
      </c>
      <c r="T732">
        <v>862490</v>
      </c>
      <c r="U732" s="18">
        <v>44903</v>
      </c>
    </row>
    <row r="733" spans="15:21" x14ac:dyDescent="0.35">
      <c r="O733" s="18">
        <v>40541</v>
      </c>
      <c r="P733">
        <v>119.69</v>
      </c>
      <c r="R733" s="18">
        <v>44904</v>
      </c>
      <c r="S733">
        <v>3358.2</v>
      </c>
      <c r="T733">
        <v>660250</v>
      </c>
      <c r="U733" s="18">
        <v>44904</v>
      </c>
    </row>
    <row r="734" spans="15:21" x14ac:dyDescent="0.35">
      <c r="O734" s="18">
        <v>40542</v>
      </c>
      <c r="P734">
        <v>121.88</v>
      </c>
      <c r="R734" s="18">
        <v>44907</v>
      </c>
      <c r="S734">
        <v>3320.45</v>
      </c>
      <c r="T734">
        <v>541990</v>
      </c>
      <c r="U734" s="18">
        <v>44907</v>
      </c>
    </row>
    <row r="735" spans="15:21" x14ac:dyDescent="0.35">
      <c r="O735" s="18">
        <v>40543</v>
      </c>
      <c r="P735">
        <v>123.53</v>
      </c>
      <c r="R735" s="18">
        <v>44908</v>
      </c>
      <c r="S735">
        <v>3313</v>
      </c>
      <c r="T735">
        <v>584450</v>
      </c>
      <c r="U735" s="18">
        <v>44908</v>
      </c>
    </row>
    <row r="736" spans="15:21" x14ac:dyDescent="0.35">
      <c r="O736" s="18">
        <v>40546</v>
      </c>
      <c r="P736">
        <v>125.06</v>
      </c>
      <c r="R736" s="18">
        <v>44909</v>
      </c>
      <c r="S736">
        <v>3369.4</v>
      </c>
      <c r="T736">
        <v>677000</v>
      </c>
      <c r="U736" s="18">
        <v>44909</v>
      </c>
    </row>
    <row r="737" spans="15:21" x14ac:dyDescent="0.35">
      <c r="O737" s="18">
        <v>40547</v>
      </c>
      <c r="P737">
        <v>123.8</v>
      </c>
      <c r="R737" s="18">
        <v>44910</v>
      </c>
      <c r="S737">
        <v>3303.5</v>
      </c>
      <c r="T737">
        <v>338210</v>
      </c>
      <c r="U737" s="18">
        <v>44910</v>
      </c>
    </row>
    <row r="738" spans="15:21" x14ac:dyDescent="0.35">
      <c r="O738" s="18">
        <v>40548</v>
      </c>
      <c r="P738">
        <v>123.79</v>
      </c>
      <c r="R738" s="18">
        <v>44911</v>
      </c>
      <c r="S738">
        <v>3291.45</v>
      </c>
      <c r="T738">
        <v>771550</v>
      </c>
      <c r="U738" s="18">
        <v>44911</v>
      </c>
    </row>
    <row r="739" spans="15:21" x14ac:dyDescent="0.35">
      <c r="O739" s="18">
        <v>40549</v>
      </c>
      <c r="P739">
        <v>120.94</v>
      </c>
      <c r="R739" s="18">
        <v>44914</v>
      </c>
      <c r="S739">
        <v>3388.9</v>
      </c>
      <c r="T739">
        <v>890120</v>
      </c>
      <c r="U739" s="18">
        <v>44914</v>
      </c>
    </row>
    <row r="740" spans="15:21" x14ac:dyDescent="0.35">
      <c r="O740" s="18">
        <v>40550</v>
      </c>
      <c r="P740">
        <v>118.91</v>
      </c>
      <c r="R740" s="18">
        <v>44915</v>
      </c>
      <c r="S740">
        <v>3313.45</v>
      </c>
      <c r="T740">
        <v>711010</v>
      </c>
      <c r="U740" s="18">
        <v>44915</v>
      </c>
    </row>
    <row r="741" spans="15:21" x14ac:dyDescent="0.35">
      <c r="O741" s="18">
        <v>40553</v>
      </c>
      <c r="P741">
        <v>110.63</v>
      </c>
      <c r="R741" s="18">
        <v>44916</v>
      </c>
      <c r="S741">
        <v>3273.25</v>
      </c>
      <c r="T741">
        <v>485200</v>
      </c>
      <c r="U741" s="18">
        <v>44916</v>
      </c>
    </row>
    <row r="742" spans="15:21" x14ac:dyDescent="0.35">
      <c r="O742" s="18">
        <v>40554</v>
      </c>
      <c r="P742">
        <v>110.02</v>
      </c>
      <c r="R742" s="18">
        <v>44917</v>
      </c>
      <c r="S742">
        <v>3206.05</v>
      </c>
      <c r="T742">
        <v>613150</v>
      </c>
      <c r="U742" s="18">
        <v>44917</v>
      </c>
    </row>
    <row r="743" spans="15:21" x14ac:dyDescent="0.35">
      <c r="O743" s="18">
        <v>40555</v>
      </c>
      <c r="P743">
        <v>115.16</v>
      </c>
      <c r="R743" s="18">
        <v>44918</v>
      </c>
      <c r="S743">
        <v>3113.65</v>
      </c>
      <c r="T743">
        <v>581960</v>
      </c>
      <c r="U743" s="18">
        <v>44918</v>
      </c>
    </row>
    <row r="744" spans="15:21" x14ac:dyDescent="0.35">
      <c r="O744" s="18">
        <v>40556</v>
      </c>
      <c r="P744">
        <v>116.91</v>
      </c>
      <c r="R744" s="18">
        <v>44921</v>
      </c>
      <c r="S744">
        <v>3161.25</v>
      </c>
      <c r="T744">
        <v>530290</v>
      </c>
      <c r="U744" s="18">
        <v>44921</v>
      </c>
    </row>
    <row r="745" spans="15:21" x14ac:dyDescent="0.35">
      <c r="O745" s="18">
        <v>40557</v>
      </c>
      <c r="P745">
        <v>116.1</v>
      </c>
      <c r="R745" s="18">
        <v>44922</v>
      </c>
      <c r="S745">
        <v>3201.8</v>
      </c>
      <c r="T745">
        <v>422130</v>
      </c>
      <c r="U745" s="18">
        <v>44922</v>
      </c>
    </row>
    <row r="746" spans="15:21" x14ac:dyDescent="0.35">
      <c r="O746" s="18">
        <v>40560</v>
      </c>
      <c r="P746">
        <v>114.88</v>
      </c>
      <c r="R746" s="18">
        <v>44923</v>
      </c>
      <c r="S746">
        <v>3211.55</v>
      </c>
      <c r="T746">
        <v>318720</v>
      </c>
      <c r="U746" s="18">
        <v>44923</v>
      </c>
    </row>
    <row r="747" spans="15:21" x14ac:dyDescent="0.35">
      <c r="O747" s="18">
        <v>40561</v>
      </c>
      <c r="P747">
        <v>113.11</v>
      </c>
      <c r="R747" s="18">
        <v>44924</v>
      </c>
      <c r="S747">
        <v>3281.2</v>
      </c>
      <c r="T747">
        <v>881070</v>
      </c>
      <c r="U747" s="18">
        <v>44924</v>
      </c>
    </row>
    <row r="748" spans="15:21" x14ac:dyDescent="0.35">
      <c r="O748" s="18">
        <v>40562</v>
      </c>
      <c r="P748">
        <v>111.83</v>
      </c>
      <c r="R748" s="18">
        <v>44925</v>
      </c>
      <c r="S748">
        <v>3227.75</v>
      </c>
      <c r="T748">
        <v>663450</v>
      </c>
      <c r="U748" s="18">
        <v>44925</v>
      </c>
    </row>
    <row r="749" spans="15:21" x14ac:dyDescent="0.35">
      <c r="O749" s="18">
        <v>40563</v>
      </c>
      <c r="P749">
        <v>109.77</v>
      </c>
      <c r="R749" s="18">
        <v>44928</v>
      </c>
      <c r="S749">
        <v>3228.85</v>
      </c>
      <c r="T749">
        <v>381580</v>
      </c>
      <c r="U749" s="18">
        <v>44928</v>
      </c>
    </row>
    <row r="750" spans="15:21" x14ac:dyDescent="0.35">
      <c r="O750" s="18">
        <v>40564</v>
      </c>
      <c r="P750">
        <v>108.52</v>
      </c>
      <c r="R750" s="18">
        <v>44929</v>
      </c>
      <c r="S750">
        <v>3213.45</v>
      </c>
      <c r="T750">
        <v>323240</v>
      </c>
      <c r="U750" s="18">
        <v>44929</v>
      </c>
    </row>
    <row r="751" spans="15:21" x14ac:dyDescent="0.35">
      <c r="O751" s="18">
        <v>40567</v>
      </c>
      <c r="P751">
        <v>110.83</v>
      </c>
      <c r="R751" s="18">
        <v>44930</v>
      </c>
      <c r="S751">
        <v>3215.25</v>
      </c>
      <c r="T751">
        <v>372620</v>
      </c>
      <c r="U751" s="18">
        <v>44930</v>
      </c>
    </row>
    <row r="752" spans="15:21" x14ac:dyDescent="0.35">
      <c r="O752" s="18">
        <v>40568</v>
      </c>
      <c r="P752">
        <v>113.07</v>
      </c>
      <c r="R752" s="18">
        <v>44931</v>
      </c>
      <c r="S752">
        <v>3257.7</v>
      </c>
      <c r="T752">
        <v>383750</v>
      </c>
      <c r="U752" s="18">
        <v>44931</v>
      </c>
    </row>
    <row r="753" spans="15:21" x14ac:dyDescent="0.35">
      <c r="O753" s="18">
        <v>40570</v>
      </c>
      <c r="P753">
        <v>107.5</v>
      </c>
      <c r="R753" s="18">
        <v>44932</v>
      </c>
      <c r="S753">
        <v>3250.6</v>
      </c>
      <c r="T753">
        <v>242110</v>
      </c>
      <c r="U753" s="18">
        <v>44932</v>
      </c>
    </row>
    <row r="754" spans="15:21" x14ac:dyDescent="0.35">
      <c r="O754" s="18">
        <v>40571</v>
      </c>
      <c r="P754">
        <v>104.96</v>
      </c>
      <c r="R754" s="18">
        <v>44935</v>
      </c>
      <c r="S754">
        <v>3262.55</v>
      </c>
      <c r="T754">
        <v>391800</v>
      </c>
      <c r="U754" s="18">
        <v>44935</v>
      </c>
    </row>
    <row r="755" spans="15:21" x14ac:dyDescent="0.35">
      <c r="O755" s="18">
        <v>40574</v>
      </c>
      <c r="P755">
        <v>102.29</v>
      </c>
      <c r="R755" s="18">
        <v>44936</v>
      </c>
      <c r="S755">
        <v>3167.55</v>
      </c>
      <c r="T755">
        <v>607830</v>
      </c>
      <c r="U755" s="18">
        <v>44936</v>
      </c>
    </row>
    <row r="756" spans="15:21" x14ac:dyDescent="0.35">
      <c r="O756" s="18">
        <v>40575</v>
      </c>
      <c r="P756">
        <v>100.42</v>
      </c>
      <c r="R756" s="18">
        <v>44937</v>
      </c>
      <c r="S756">
        <v>3137.25</v>
      </c>
      <c r="T756">
        <v>856150</v>
      </c>
      <c r="U756" s="18">
        <v>44937</v>
      </c>
    </row>
    <row r="757" spans="15:21" x14ac:dyDescent="0.35">
      <c r="O757" s="18">
        <v>40576</v>
      </c>
      <c r="P757">
        <v>107.48</v>
      </c>
      <c r="R757" s="18">
        <v>44938</v>
      </c>
      <c r="S757">
        <v>3103.25</v>
      </c>
      <c r="T757">
        <v>690120</v>
      </c>
      <c r="U757" s="18">
        <v>44938</v>
      </c>
    </row>
    <row r="758" spans="15:21" x14ac:dyDescent="0.35">
      <c r="O758" s="18">
        <v>40577</v>
      </c>
      <c r="P758">
        <v>108.17</v>
      </c>
      <c r="R758" s="18">
        <v>44939</v>
      </c>
      <c r="S758">
        <v>3162.05</v>
      </c>
      <c r="T758">
        <v>964660</v>
      </c>
      <c r="U758" s="18">
        <v>44939</v>
      </c>
    </row>
    <row r="759" spans="15:21" x14ac:dyDescent="0.35">
      <c r="O759" s="18">
        <v>40578</v>
      </c>
      <c r="P759">
        <v>106.91</v>
      </c>
      <c r="R759" s="18">
        <v>44942</v>
      </c>
      <c r="S759">
        <v>3139.05</v>
      </c>
      <c r="T759">
        <v>653370</v>
      </c>
      <c r="U759" s="18">
        <v>44942</v>
      </c>
    </row>
    <row r="760" spans="15:21" x14ac:dyDescent="0.35">
      <c r="O760" s="18">
        <v>40581</v>
      </c>
      <c r="P760">
        <v>107.96</v>
      </c>
      <c r="R760" s="18">
        <v>44943</v>
      </c>
      <c r="S760">
        <v>3179.95</v>
      </c>
      <c r="T760">
        <v>495810</v>
      </c>
      <c r="U760" s="18">
        <v>44943</v>
      </c>
    </row>
    <row r="761" spans="15:21" x14ac:dyDescent="0.35">
      <c r="O761" s="18">
        <v>40582</v>
      </c>
      <c r="P761">
        <v>107.69</v>
      </c>
      <c r="R761" s="18">
        <v>44944</v>
      </c>
      <c r="S761">
        <v>3177.6</v>
      </c>
      <c r="T761">
        <v>330810</v>
      </c>
      <c r="U761" s="18">
        <v>44944</v>
      </c>
    </row>
    <row r="762" spans="15:21" x14ac:dyDescent="0.35">
      <c r="O762" s="18">
        <v>40583</v>
      </c>
      <c r="P762">
        <v>106.08</v>
      </c>
      <c r="R762" s="18">
        <v>44945</v>
      </c>
      <c r="S762">
        <v>3166.7</v>
      </c>
      <c r="T762">
        <v>320900</v>
      </c>
      <c r="U762" s="18">
        <v>44945</v>
      </c>
    </row>
    <row r="763" spans="15:21" x14ac:dyDescent="0.35">
      <c r="O763" s="18">
        <v>40584</v>
      </c>
      <c r="P763">
        <v>106.59</v>
      </c>
      <c r="R763" s="18">
        <v>44946</v>
      </c>
      <c r="S763">
        <v>3150.5</v>
      </c>
      <c r="T763">
        <v>389880</v>
      </c>
      <c r="U763" s="18">
        <v>44946</v>
      </c>
    </row>
    <row r="764" spans="15:21" x14ac:dyDescent="0.35">
      <c r="O764" s="18">
        <v>40585</v>
      </c>
      <c r="P764">
        <v>106.89</v>
      </c>
      <c r="R764" s="18">
        <v>44949</v>
      </c>
      <c r="S764">
        <v>3203.35</v>
      </c>
      <c r="T764">
        <v>424690</v>
      </c>
      <c r="U764" s="18">
        <v>44949</v>
      </c>
    </row>
    <row r="765" spans="15:21" x14ac:dyDescent="0.35">
      <c r="O765" s="18">
        <v>40588</v>
      </c>
      <c r="P765">
        <v>108.72</v>
      </c>
      <c r="R765" s="18">
        <v>44950</v>
      </c>
      <c r="S765">
        <v>3226.55</v>
      </c>
      <c r="T765">
        <v>367440</v>
      </c>
      <c r="U765" s="18">
        <v>44950</v>
      </c>
    </row>
    <row r="766" spans="15:21" x14ac:dyDescent="0.35">
      <c r="O766" s="18">
        <v>40589</v>
      </c>
      <c r="P766">
        <v>109.5</v>
      </c>
      <c r="R766" s="18">
        <v>44951</v>
      </c>
      <c r="S766">
        <v>3213.85</v>
      </c>
      <c r="T766">
        <v>353060</v>
      </c>
      <c r="U766" s="18">
        <v>44951</v>
      </c>
    </row>
    <row r="767" spans="15:21" x14ac:dyDescent="0.35">
      <c r="O767" s="18">
        <v>40590</v>
      </c>
      <c r="P767">
        <v>109.05</v>
      </c>
      <c r="R767" s="18">
        <v>44953</v>
      </c>
      <c r="S767">
        <v>3169.75</v>
      </c>
      <c r="T767">
        <v>627910</v>
      </c>
      <c r="U767" s="18">
        <v>44953</v>
      </c>
    </row>
    <row r="768" spans="15:21" x14ac:dyDescent="0.35">
      <c r="O768" s="18">
        <v>40591</v>
      </c>
      <c r="P768">
        <v>106.26</v>
      </c>
      <c r="R768" s="18">
        <v>44956</v>
      </c>
      <c r="S768">
        <v>3191.45</v>
      </c>
      <c r="T768">
        <v>656400</v>
      </c>
      <c r="U768" s="18">
        <v>44956</v>
      </c>
    </row>
    <row r="769" spans="15:21" x14ac:dyDescent="0.35">
      <c r="O769" s="18">
        <v>40592</v>
      </c>
      <c r="P769">
        <v>104.86</v>
      </c>
      <c r="R769" s="18">
        <v>44957</v>
      </c>
      <c r="S769">
        <v>3263.35</v>
      </c>
      <c r="T769">
        <v>612160</v>
      </c>
      <c r="U769" s="18">
        <v>44957</v>
      </c>
    </row>
    <row r="770" spans="15:21" x14ac:dyDescent="0.35">
      <c r="O770" s="18">
        <v>40595</v>
      </c>
      <c r="P770">
        <v>104.79</v>
      </c>
      <c r="R770" s="18">
        <v>44958</v>
      </c>
      <c r="S770">
        <v>3303.1</v>
      </c>
      <c r="T770">
        <v>885330</v>
      </c>
      <c r="U770" s="18">
        <v>44958</v>
      </c>
    </row>
    <row r="771" spans="15:21" x14ac:dyDescent="0.35">
      <c r="O771" s="18">
        <v>40596</v>
      </c>
      <c r="P771">
        <v>105.11</v>
      </c>
      <c r="R771" s="18">
        <v>44959</v>
      </c>
      <c r="S771">
        <v>3217.3</v>
      </c>
      <c r="T771">
        <v>613270</v>
      </c>
      <c r="U771" s="18">
        <v>44959</v>
      </c>
    </row>
    <row r="772" spans="15:21" x14ac:dyDescent="0.35">
      <c r="O772" s="18">
        <v>40597</v>
      </c>
      <c r="P772">
        <v>106.07</v>
      </c>
      <c r="R772" s="18">
        <v>44960</v>
      </c>
      <c r="S772">
        <v>3316.7</v>
      </c>
      <c r="T772">
        <v>500040.00000000006</v>
      </c>
      <c r="U772" s="18">
        <v>44960</v>
      </c>
    </row>
    <row r="773" spans="15:21" x14ac:dyDescent="0.35">
      <c r="O773" s="18">
        <v>40598</v>
      </c>
      <c r="P773">
        <v>102.91</v>
      </c>
      <c r="R773" s="18">
        <v>44963</v>
      </c>
      <c r="S773">
        <v>3260.7</v>
      </c>
      <c r="T773">
        <v>346030</v>
      </c>
      <c r="U773" s="18">
        <v>44963</v>
      </c>
    </row>
    <row r="774" spans="15:21" x14ac:dyDescent="0.35">
      <c r="O774" s="18">
        <v>40599</v>
      </c>
      <c r="P774">
        <v>103.78</v>
      </c>
      <c r="R774" s="18">
        <v>44964</v>
      </c>
      <c r="S774">
        <v>3274.7</v>
      </c>
      <c r="T774">
        <v>447240</v>
      </c>
      <c r="U774" s="18">
        <v>44964</v>
      </c>
    </row>
    <row r="775" spans="15:21" x14ac:dyDescent="0.35">
      <c r="O775" s="18">
        <v>40602</v>
      </c>
      <c r="P775">
        <v>105.92</v>
      </c>
      <c r="R775" s="18">
        <v>44965</v>
      </c>
      <c r="S775">
        <v>3228</v>
      </c>
      <c r="T775">
        <v>378310</v>
      </c>
      <c r="U775" s="18">
        <v>44965</v>
      </c>
    </row>
    <row r="776" spans="15:21" x14ac:dyDescent="0.35">
      <c r="O776" s="18">
        <v>40603</v>
      </c>
      <c r="P776">
        <v>109.69</v>
      </c>
      <c r="R776" s="18">
        <v>44966</v>
      </c>
      <c r="S776">
        <v>3237.15</v>
      </c>
      <c r="T776">
        <v>265010</v>
      </c>
      <c r="U776" s="18">
        <v>44966</v>
      </c>
    </row>
    <row r="777" spans="15:21" x14ac:dyDescent="0.35">
      <c r="O777" s="18">
        <v>40605</v>
      </c>
      <c r="P777">
        <v>110.34</v>
      </c>
      <c r="R777" s="18">
        <v>44967</v>
      </c>
      <c r="S777">
        <v>3212.35</v>
      </c>
      <c r="T777">
        <v>328750</v>
      </c>
      <c r="U777" s="18">
        <v>44967</v>
      </c>
    </row>
    <row r="778" spans="15:21" x14ac:dyDescent="0.35">
      <c r="O778" s="18">
        <v>40606</v>
      </c>
      <c r="P778">
        <v>106.81</v>
      </c>
      <c r="R778" s="18">
        <v>44970</v>
      </c>
      <c r="S778">
        <v>3252.65</v>
      </c>
      <c r="T778">
        <v>405140</v>
      </c>
      <c r="U778" s="18">
        <v>44970</v>
      </c>
    </row>
    <row r="779" spans="15:21" x14ac:dyDescent="0.35">
      <c r="O779" s="18">
        <v>40609</v>
      </c>
      <c r="P779">
        <v>105.86</v>
      </c>
      <c r="R779" s="18">
        <v>44971</v>
      </c>
      <c r="S779">
        <v>3175.7</v>
      </c>
      <c r="T779">
        <v>1520000</v>
      </c>
      <c r="U779" s="18">
        <v>44971</v>
      </c>
    </row>
    <row r="780" spans="15:21" x14ac:dyDescent="0.35">
      <c r="O780" s="18">
        <v>40610</v>
      </c>
      <c r="P780">
        <v>104.93</v>
      </c>
      <c r="R780" s="18">
        <v>44972</v>
      </c>
      <c r="S780">
        <v>3311.15</v>
      </c>
      <c r="T780">
        <v>2089999.9999999998</v>
      </c>
      <c r="U780" s="18">
        <v>44972</v>
      </c>
    </row>
    <row r="781" spans="15:21" x14ac:dyDescent="0.35">
      <c r="O781" s="18">
        <v>40611</v>
      </c>
      <c r="P781">
        <v>103.33</v>
      </c>
      <c r="R781" s="18">
        <v>44973</v>
      </c>
      <c r="S781">
        <v>3289.1</v>
      </c>
      <c r="T781">
        <v>679170</v>
      </c>
      <c r="U781" s="18">
        <v>44973</v>
      </c>
    </row>
    <row r="782" spans="15:21" x14ac:dyDescent="0.35">
      <c r="O782" s="18">
        <v>40612</v>
      </c>
      <c r="P782">
        <v>103.44</v>
      </c>
      <c r="R782" s="18">
        <v>44974</v>
      </c>
      <c r="S782">
        <v>3285</v>
      </c>
      <c r="T782">
        <v>491320</v>
      </c>
      <c r="U782" s="18">
        <v>44974</v>
      </c>
    </row>
    <row r="783" spans="15:21" x14ac:dyDescent="0.35">
      <c r="O783" s="18">
        <v>40613</v>
      </c>
      <c r="P783">
        <v>104.34</v>
      </c>
      <c r="R783" s="18">
        <v>44977</v>
      </c>
      <c r="S783">
        <v>3290.5</v>
      </c>
      <c r="T783">
        <v>515900</v>
      </c>
      <c r="U783" s="18">
        <v>44977</v>
      </c>
    </row>
    <row r="784" spans="15:21" x14ac:dyDescent="0.35">
      <c r="O784" s="18">
        <v>40616</v>
      </c>
      <c r="P784">
        <v>107.97</v>
      </c>
      <c r="R784" s="18">
        <v>44978</v>
      </c>
      <c r="S784">
        <v>3274.15</v>
      </c>
      <c r="T784">
        <v>494120</v>
      </c>
      <c r="U784" s="18">
        <v>44978</v>
      </c>
    </row>
    <row r="785" spans="15:21" x14ac:dyDescent="0.35">
      <c r="O785" s="18">
        <v>40617</v>
      </c>
      <c r="P785">
        <v>109.69</v>
      </c>
      <c r="R785" s="18">
        <v>44979</v>
      </c>
      <c r="S785">
        <v>3249.7</v>
      </c>
      <c r="T785">
        <v>570380</v>
      </c>
      <c r="U785" s="18">
        <v>44979</v>
      </c>
    </row>
    <row r="786" spans="15:21" x14ac:dyDescent="0.35">
      <c r="O786" s="18">
        <v>40618</v>
      </c>
      <c r="P786">
        <v>114.03</v>
      </c>
      <c r="R786" s="18">
        <v>44980</v>
      </c>
      <c r="S786">
        <v>3241.95</v>
      </c>
      <c r="T786">
        <v>527730</v>
      </c>
      <c r="U786" s="18">
        <v>44980</v>
      </c>
    </row>
    <row r="787" spans="15:21" x14ac:dyDescent="0.35">
      <c r="O787" s="18">
        <v>40619</v>
      </c>
      <c r="P787">
        <v>114.77</v>
      </c>
      <c r="R787" s="18">
        <v>44981</v>
      </c>
      <c r="S787">
        <v>3205.6</v>
      </c>
      <c r="T787">
        <v>684030</v>
      </c>
      <c r="U787" s="18">
        <v>44981</v>
      </c>
    </row>
    <row r="788" spans="15:21" x14ac:dyDescent="0.35">
      <c r="O788" s="18">
        <v>40620</v>
      </c>
      <c r="P788">
        <v>115.93</v>
      </c>
      <c r="R788" s="18">
        <v>44984</v>
      </c>
      <c r="S788">
        <v>3131.05</v>
      </c>
      <c r="T788">
        <v>482530</v>
      </c>
      <c r="U788" s="18">
        <v>44984</v>
      </c>
    </row>
    <row r="789" spans="15:21" x14ac:dyDescent="0.35">
      <c r="O789" s="18">
        <v>40623</v>
      </c>
      <c r="P789">
        <v>118.01</v>
      </c>
      <c r="R789" s="18">
        <v>44985</v>
      </c>
      <c r="S789">
        <v>3105.9</v>
      </c>
      <c r="T789">
        <v>974100</v>
      </c>
      <c r="U789" s="18">
        <v>44985</v>
      </c>
    </row>
    <row r="790" spans="15:21" x14ac:dyDescent="0.35">
      <c r="O790" s="18">
        <v>40624</v>
      </c>
      <c r="P790">
        <v>121.38</v>
      </c>
      <c r="R790" s="18">
        <v>44986</v>
      </c>
      <c r="S790">
        <v>3138.8</v>
      </c>
      <c r="T790">
        <v>522390</v>
      </c>
      <c r="U790" s="18">
        <v>44986</v>
      </c>
    </row>
    <row r="791" spans="15:21" x14ac:dyDescent="0.35">
      <c r="O791" s="18">
        <v>40625</v>
      </c>
      <c r="P791">
        <v>122.5</v>
      </c>
      <c r="R791" s="18">
        <v>44987</v>
      </c>
      <c r="S791">
        <v>3125.5</v>
      </c>
      <c r="T791">
        <v>970570</v>
      </c>
      <c r="U791" s="18">
        <v>44987</v>
      </c>
    </row>
    <row r="792" spans="15:21" x14ac:dyDescent="0.35">
      <c r="O792" s="18">
        <v>40626</v>
      </c>
      <c r="P792">
        <v>124.19</v>
      </c>
      <c r="R792" s="18">
        <v>44988</v>
      </c>
      <c r="S792">
        <v>3127.3</v>
      </c>
      <c r="T792">
        <v>337280</v>
      </c>
      <c r="U792" s="18">
        <v>44988</v>
      </c>
    </row>
    <row r="793" spans="15:21" x14ac:dyDescent="0.35">
      <c r="O793" s="18">
        <v>40627</v>
      </c>
      <c r="P793">
        <v>125.5</v>
      </c>
      <c r="R793" s="18">
        <v>44991</v>
      </c>
      <c r="S793">
        <v>3166.2</v>
      </c>
      <c r="T793">
        <v>362690</v>
      </c>
      <c r="U793" s="18">
        <v>44991</v>
      </c>
    </row>
    <row r="794" spans="15:21" x14ac:dyDescent="0.35">
      <c r="O794" s="18">
        <v>40630</v>
      </c>
      <c r="P794">
        <v>125.47</v>
      </c>
      <c r="R794" s="18">
        <v>44993</v>
      </c>
      <c r="S794">
        <v>3204.4</v>
      </c>
      <c r="T794">
        <v>657260</v>
      </c>
      <c r="U794" s="18">
        <v>44993</v>
      </c>
    </row>
    <row r="795" spans="15:21" x14ac:dyDescent="0.35">
      <c r="O795" s="18">
        <v>40631</v>
      </c>
      <c r="P795">
        <v>129.59</v>
      </c>
      <c r="R795" s="18">
        <v>44994</v>
      </c>
      <c r="S795">
        <v>3146.7</v>
      </c>
      <c r="T795">
        <v>419730</v>
      </c>
      <c r="U795" s="18">
        <v>44994</v>
      </c>
    </row>
    <row r="796" spans="15:21" x14ac:dyDescent="0.35">
      <c r="O796" s="18">
        <v>40632</v>
      </c>
      <c r="P796">
        <v>134.44</v>
      </c>
      <c r="R796" s="18">
        <v>44995</v>
      </c>
      <c r="S796">
        <v>3116.1</v>
      </c>
      <c r="T796">
        <v>362000</v>
      </c>
      <c r="U796" s="18">
        <v>44995</v>
      </c>
    </row>
    <row r="797" spans="15:21" x14ac:dyDescent="0.35">
      <c r="O797" s="18">
        <v>40633</v>
      </c>
      <c r="P797">
        <v>134.43</v>
      </c>
      <c r="R797" s="18">
        <v>44998</v>
      </c>
      <c r="S797">
        <v>3033.4</v>
      </c>
      <c r="T797">
        <v>351240</v>
      </c>
      <c r="U797" s="18">
        <v>44998</v>
      </c>
    </row>
    <row r="798" spans="15:21" x14ac:dyDescent="0.35">
      <c r="O798" s="18">
        <v>40634</v>
      </c>
      <c r="P798">
        <v>133.65</v>
      </c>
      <c r="R798" s="18">
        <v>44999</v>
      </c>
      <c r="S798">
        <v>3016.9</v>
      </c>
      <c r="T798">
        <v>727500</v>
      </c>
      <c r="U798" s="18">
        <v>44999</v>
      </c>
    </row>
    <row r="799" spans="15:21" x14ac:dyDescent="0.35">
      <c r="O799" s="18">
        <v>40637</v>
      </c>
      <c r="P799">
        <v>132.62</v>
      </c>
      <c r="R799" s="18">
        <v>45000</v>
      </c>
      <c r="S799">
        <v>3006.9</v>
      </c>
      <c r="T799">
        <v>288930</v>
      </c>
      <c r="U799" s="18">
        <v>45000</v>
      </c>
    </row>
    <row r="800" spans="15:21" x14ac:dyDescent="0.35">
      <c r="O800" s="18">
        <v>40638</v>
      </c>
      <c r="P800">
        <v>128.71</v>
      </c>
      <c r="R800" s="18">
        <v>45001</v>
      </c>
      <c r="S800">
        <v>3035.45</v>
      </c>
      <c r="T800">
        <v>439610</v>
      </c>
      <c r="U800" s="18">
        <v>45001</v>
      </c>
    </row>
    <row r="801" spans="15:21" x14ac:dyDescent="0.35">
      <c r="O801" s="18">
        <v>40639</v>
      </c>
      <c r="P801">
        <v>125.67</v>
      </c>
      <c r="R801" s="18">
        <v>45002</v>
      </c>
      <c r="S801">
        <v>2974.6</v>
      </c>
      <c r="T801">
        <v>692630</v>
      </c>
      <c r="U801" s="18">
        <v>45002</v>
      </c>
    </row>
    <row r="802" spans="15:21" x14ac:dyDescent="0.35">
      <c r="O802" s="18">
        <v>40640</v>
      </c>
      <c r="P802">
        <v>126.06</v>
      </c>
      <c r="R802" s="18">
        <v>45005</v>
      </c>
      <c r="S802">
        <v>2952</v>
      </c>
      <c r="T802">
        <v>561180</v>
      </c>
      <c r="U802" s="18">
        <v>45005</v>
      </c>
    </row>
    <row r="803" spans="15:21" x14ac:dyDescent="0.35">
      <c r="O803" s="18">
        <v>40641</v>
      </c>
      <c r="P803">
        <v>126.78</v>
      </c>
      <c r="R803" s="18">
        <v>45006</v>
      </c>
      <c r="S803">
        <v>2934.8</v>
      </c>
      <c r="T803">
        <v>490090</v>
      </c>
      <c r="U803" s="18">
        <v>45006</v>
      </c>
    </row>
    <row r="804" spans="15:21" x14ac:dyDescent="0.35">
      <c r="O804" s="18">
        <v>40644</v>
      </c>
      <c r="P804">
        <v>126.86</v>
      </c>
      <c r="R804" s="18">
        <v>45007</v>
      </c>
      <c r="S804">
        <v>2946.55</v>
      </c>
      <c r="T804">
        <v>222880</v>
      </c>
      <c r="U804" s="18">
        <v>45007</v>
      </c>
    </row>
    <row r="805" spans="15:21" x14ac:dyDescent="0.35">
      <c r="O805" s="18">
        <v>40646</v>
      </c>
      <c r="P805">
        <v>127.47</v>
      </c>
      <c r="R805" s="18">
        <v>45008</v>
      </c>
      <c r="S805">
        <v>2927.7</v>
      </c>
      <c r="T805">
        <v>379190</v>
      </c>
      <c r="U805" s="18">
        <v>45008</v>
      </c>
    </row>
    <row r="806" spans="15:21" x14ac:dyDescent="0.35">
      <c r="O806" s="18">
        <v>40648</v>
      </c>
      <c r="P806">
        <v>126.31</v>
      </c>
      <c r="R806" s="18">
        <v>45009</v>
      </c>
      <c r="S806">
        <v>2909.6</v>
      </c>
      <c r="T806">
        <v>542970</v>
      </c>
      <c r="U806" s="18">
        <v>45009</v>
      </c>
    </row>
    <row r="807" spans="15:21" x14ac:dyDescent="0.35">
      <c r="O807" s="18">
        <v>40651</v>
      </c>
      <c r="P807">
        <v>124.14</v>
      </c>
      <c r="R807" s="18">
        <v>45012</v>
      </c>
      <c r="S807">
        <v>2885.55</v>
      </c>
      <c r="T807">
        <v>375290</v>
      </c>
      <c r="U807" s="18">
        <v>45012</v>
      </c>
    </row>
    <row r="808" spans="15:21" x14ac:dyDescent="0.35">
      <c r="O808" s="18">
        <v>40652</v>
      </c>
      <c r="P808">
        <v>124.19</v>
      </c>
      <c r="R808" s="18">
        <v>45013</v>
      </c>
      <c r="S808">
        <v>2852.4</v>
      </c>
      <c r="T808">
        <v>1080000</v>
      </c>
      <c r="U808" s="18">
        <v>45013</v>
      </c>
    </row>
    <row r="809" spans="15:21" x14ac:dyDescent="0.35">
      <c r="O809" s="18">
        <v>40653</v>
      </c>
      <c r="P809">
        <v>126.86</v>
      </c>
      <c r="R809" s="18">
        <v>45014</v>
      </c>
      <c r="S809">
        <v>2933.7</v>
      </c>
      <c r="T809">
        <v>765290</v>
      </c>
      <c r="U809" s="18">
        <v>45014</v>
      </c>
    </row>
    <row r="810" spans="15:21" x14ac:dyDescent="0.35">
      <c r="O810" s="18">
        <v>40654</v>
      </c>
      <c r="P810">
        <v>125.64</v>
      </c>
      <c r="R810" s="18">
        <v>45016</v>
      </c>
      <c r="S810">
        <v>2948.85</v>
      </c>
      <c r="T810">
        <v>546110</v>
      </c>
      <c r="U810" s="18">
        <v>45016</v>
      </c>
    </row>
    <row r="811" spans="15:21" x14ac:dyDescent="0.35">
      <c r="O811" s="18">
        <v>40658</v>
      </c>
      <c r="P811">
        <v>124.13</v>
      </c>
      <c r="R811" s="18">
        <v>45019</v>
      </c>
      <c r="S811">
        <v>3004.3</v>
      </c>
      <c r="T811">
        <v>1170000</v>
      </c>
      <c r="U811" s="18">
        <v>45019</v>
      </c>
    </row>
    <row r="812" spans="15:21" x14ac:dyDescent="0.35">
      <c r="O812" s="18">
        <v>40659</v>
      </c>
      <c r="P812">
        <v>123.95</v>
      </c>
      <c r="R812" s="18">
        <v>45021</v>
      </c>
      <c r="S812">
        <v>2933.75</v>
      </c>
      <c r="T812">
        <v>1030000</v>
      </c>
      <c r="U812" s="18">
        <v>45021</v>
      </c>
    </row>
    <row r="813" spans="15:21" x14ac:dyDescent="0.35">
      <c r="O813" s="18">
        <v>40660</v>
      </c>
      <c r="P813">
        <v>125.54</v>
      </c>
      <c r="R813" s="18">
        <v>45022</v>
      </c>
      <c r="S813">
        <v>2961.7</v>
      </c>
      <c r="T813">
        <v>586850</v>
      </c>
      <c r="U813" s="18">
        <v>45022</v>
      </c>
    </row>
    <row r="814" spans="15:21" x14ac:dyDescent="0.35">
      <c r="O814" s="18">
        <v>40661</v>
      </c>
      <c r="P814">
        <v>125.39</v>
      </c>
      <c r="R814" s="18">
        <v>45026</v>
      </c>
      <c r="S814">
        <v>2970.45</v>
      </c>
      <c r="T814">
        <v>416880</v>
      </c>
      <c r="U814" s="18">
        <v>45026</v>
      </c>
    </row>
    <row r="815" spans="15:21" x14ac:dyDescent="0.35">
      <c r="O815" s="18">
        <v>40662</v>
      </c>
      <c r="P815">
        <v>124.75</v>
      </c>
      <c r="R815" s="18">
        <v>45027</v>
      </c>
      <c r="S815">
        <v>3054.2</v>
      </c>
      <c r="T815">
        <v>618390</v>
      </c>
      <c r="U815" s="18">
        <v>45027</v>
      </c>
    </row>
    <row r="816" spans="15:21" x14ac:dyDescent="0.35">
      <c r="O816" s="18">
        <v>40665</v>
      </c>
      <c r="P816">
        <v>121.47</v>
      </c>
      <c r="R816" s="18">
        <v>45028</v>
      </c>
      <c r="S816">
        <v>3128.35</v>
      </c>
      <c r="T816">
        <v>746280</v>
      </c>
      <c r="U816" s="18">
        <v>45028</v>
      </c>
    </row>
    <row r="817" spans="15:21" x14ac:dyDescent="0.35">
      <c r="O817" s="18">
        <v>40666</v>
      </c>
      <c r="P817">
        <v>117.91</v>
      </c>
      <c r="R817" s="18">
        <v>45029</v>
      </c>
      <c r="S817">
        <v>3213.05</v>
      </c>
      <c r="T817">
        <v>1340000</v>
      </c>
      <c r="U817" s="18">
        <v>45029</v>
      </c>
    </row>
    <row r="818" spans="15:21" x14ac:dyDescent="0.35">
      <c r="O818" s="18">
        <v>40667</v>
      </c>
      <c r="P818">
        <v>114.81</v>
      </c>
      <c r="R818" s="18">
        <v>45033</v>
      </c>
      <c r="S818">
        <v>3229</v>
      </c>
      <c r="T818">
        <v>539980</v>
      </c>
      <c r="U818" s="18">
        <v>45033</v>
      </c>
    </row>
    <row r="819" spans="15:21" x14ac:dyDescent="0.35">
      <c r="O819" s="18">
        <v>40668</v>
      </c>
      <c r="P819">
        <v>116.16</v>
      </c>
      <c r="R819" s="18">
        <v>45034</v>
      </c>
      <c r="S819">
        <v>3263.55</v>
      </c>
      <c r="T819">
        <v>577510</v>
      </c>
      <c r="U819" s="18">
        <v>45034</v>
      </c>
    </row>
    <row r="820" spans="15:21" x14ac:dyDescent="0.35">
      <c r="O820" s="18">
        <v>40669</v>
      </c>
      <c r="P820">
        <v>115.03</v>
      </c>
      <c r="R820" s="18">
        <v>45035</v>
      </c>
      <c r="S820">
        <v>3289.6</v>
      </c>
      <c r="T820">
        <v>646160</v>
      </c>
      <c r="U820" s="18">
        <v>45035</v>
      </c>
    </row>
    <row r="821" spans="15:21" x14ac:dyDescent="0.35">
      <c r="O821" s="18">
        <v>40672</v>
      </c>
      <c r="P821">
        <v>128.94999999999999</v>
      </c>
      <c r="R821" s="18">
        <v>45036</v>
      </c>
      <c r="S821">
        <v>3246.95</v>
      </c>
      <c r="T821">
        <v>483670</v>
      </c>
      <c r="U821" s="18">
        <v>45036</v>
      </c>
    </row>
    <row r="822" spans="15:21" x14ac:dyDescent="0.35">
      <c r="O822" s="18">
        <v>40673</v>
      </c>
      <c r="P822">
        <v>124.73</v>
      </c>
      <c r="R822" s="18">
        <v>45037</v>
      </c>
      <c r="S822">
        <v>3200.7</v>
      </c>
      <c r="T822">
        <v>443740</v>
      </c>
      <c r="U822" s="18">
        <v>45037</v>
      </c>
    </row>
    <row r="823" spans="15:21" x14ac:dyDescent="0.35">
      <c r="O823" s="18">
        <v>40674</v>
      </c>
      <c r="P823">
        <v>129.04</v>
      </c>
      <c r="R823" s="18">
        <v>45040</v>
      </c>
      <c r="S823">
        <v>3182.8</v>
      </c>
      <c r="T823">
        <v>379320</v>
      </c>
      <c r="U823" s="18">
        <v>45040</v>
      </c>
    </row>
    <row r="824" spans="15:21" x14ac:dyDescent="0.35">
      <c r="O824" s="18">
        <v>40675</v>
      </c>
      <c r="P824">
        <v>128.08000000000001</v>
      </c>
      <c r="R824" s="18">
        <v>45041</v>
      </c>
      <c r="S824">
        <v>3217.95</v>
      </c>
      <c r="T824">
        <v>574540</v>
      </c>
      <c r="U824" s="18">
        <v>45041</v>
      </c>
    </row>
    <row r="825" spans="15:21" x14ac:dyDescent="0.35">
      <c r="O825" s="18">
        <v>40676</v>
      </c>
      <c r="P825">
        <v>128.75</v>
      </c>
      <c r="R825" s="18">
        <v>45042</v>
      </c>
      <c r="S825">
        <v>3248.35</v>
      </c>
      <c r="T825">
        <v>881680</v>
      </c>
      <c r="U825" s="18">
        <v>45042</v>
      </c>
    </row>
    <row r="826" spans="15:21" x14ac:dyDescent="0.35">
      <c r="O826" s="18">
        <v>40679</v>
      </c>
      <c r="P826">
        <v>129.75</v>
      </c>
      <c r="R826" s="18">
        <v>45043</v>
      </c>
      <c r="S826">
        <v>3263.55</v>
      </c>
      <c r="T826">
        <v>464410</v>
      </c>
      <c r="U826" s="18">
        <v>45043</v>
      </c>
    </row>
    <row r="827" spans="15:21" x14ac:dyDescent="0.35">
      <c r="O827" s="18">
        <v>40680</v>
      </c>
      <c r="P827">
        <v>128.34</v>
      </c>
      <c r="R827" s="18">
        <v>45044</v>
      </c>
      <c r="S827">
        <v>3301.1</v>
      </c>
      <c r="T827">
        <v>416240</v>
      </c>
      <c r="U827" s="18">
        <v>45044</v>
      </c>
    </row>
    <row r="828" spans="15:21" x14ac:dyDescent="0.35">
      <c r="O828" s="18">
        <v>40681</v>
      </c>
      <c r="P828">
        <v>128.75</v>
      </c>
      <c r="R828" s="18">
        <v>45048</v>
      </c>
      <c r="S828">
        <v>3356.15</v>
      </c>
      <c r="T828">
        <v>838720</v>
      </c>
      <c r="U828" s="18">
        <v>45048</v>
      </c>
    </row>
    <row r="829" spans="15:21" x14ac:dyDescent="0.35">
      <c r="O829" s="18">
        <v>40682</v>
      </c>
      <c r="P829">
        <v>129.44</v>
      </c>
      <c r="R829" s="18">
        <v>45049</v>
      </c>
      <c r="S829">
        <v>3348.35</v>
      </c>
      <c r="T829">
        <v>577760</v>
      </c>
      <c r="U829" s="18">
        <v>45049</v>
      </c>
    </row>
    <row r="830" spans="15:21" x14ac:dyDescent="0.35">
      <c r="O830" s="18">
        <v>40683</v>
      </c>
      <c r="P830">
        <v>130.91</v>
      </c>
      <c r="R830" s="18">
        <v>45050</v>
      </c>
      <c r="S830">
        <v>3339.3</v>
      </c>
      <c r="T830">
        <v>325540</v>
      </c>
      <c r="U830" s="18">
        <v>45050</v>
      </c>
    </row>
    <row r="831" spans="15:21" x14ac:dyDescent="0.35">
      <c r="O831" s="18">
        <v>40686</v>
      </c>
      <c r="P831">
        <v>132.02000000000001</v>
      </c>
      <c r="R831" s="18">
        <v>45051</v>
      </c>
      <c r="S831">
        <v>3355.1</v>
      </c>
      <c r="T831">
        <v>518150</v>
      </c>
      <c r="U831" s="18">
        <v>45051</v>
      </c>
    </row>
    <row r="832" spans="15:21" x14ac:dyDescent="0.35">
      <c r="O832" s="18">
        <v>40687</v>
      </c>
      <c r="P832">
        <v>133.32</v>
      </c>
      <c r="R832" s="18">
        <v>45054</v>
      </c>
      <c r="S832">
        <v>3392.9</v>
      </c>
      <c r="T832">
        <v>322910</v>
      </c>
      <c r="U832" s="18">
        <v>45054</v>
      </c>
    </row>
    <row r="833" spans="15:21" x14ac:dyDescent="0.35">
      <c r="O833" s="18">
        <v>40688</v>
      </c>
      <c r="P833">
        <v>132.94</v>
      </c>
      <c r="R833" s="18">
        <v>45055</v>
      </c>
      <c r="S833">
        <v>3381.9</v>
      </c>
      <c r="T833">
        <v>347390</v>
      </c>
      <c r="U833" s="18">
        <v>45055</v>
      </c>
    </row>
    <row r="834" spans="15:21" x14ac:dyDescent="0.35">
      <c r="O834" s="18">
        <v>40689</v>
      </c>
      <c r="P834">
        <v>132.72</v>
      </c>
      <c r="R834" s="18">
        <v>45056</v>
      </c>
      <c r="S834">
        <v>3416.75</v>
      </c>
      <c r="T834">
        <v>386750</v>
      </c>
      <c r="U834" s="18">
        <v>45056</v>
      </c>
    </row>
    <row r="835" spans="15:21" x14ac:dyDescent="0.35">
      <c r="O835" s="18">
        <v>40690</v>
      </c>
      <c r="P835">
        <v>135.06</v>
      </c>
      <c r="R835" s="18">
        <v>45057</v>
      </c>
      <c r="S835">
        <v>3405.3</v>
      </c>
      <c r="T835">
        <v>408410</v>
      </c>
      <c r="U835" s="18">
        <v>45057</v>
      </c>
    </row>
    <row r="836" spans="15:21" x14ac:dyDescent="0.35">
      <c r="O836" s="18">
        <v>40693</v>
      </c>
      <c r="P836">
        <v>134.63999999999999</v>
      </c>
      <c r="R836" s="18">
        <v>45058</v>
      </c>
      <c r="S836">
        <v>3626.35</v>
      </c>
      <c r="T836">
        <v>3670000</v>
      </c>
      <c r="U836" s="18">
        <v>45058</v>
      </c>
    </row>
    <row r="837" spans="15:21" x14ac:dyDescent="0.35">
      <c r="O837" s="18">
        <v>40694</v>
      </c>
      <c r="P837">
        <v>133.49</v>
      </c>
      <c r="R837" s="18">
        <v>45061</v>
      </c>
      <c r="S837">
        <v>3658.5</v>
      </c>
      <c r="T837">
        <v>1270000</v>
      </c>
      <c r="U837" s="18">
        <v>45061</v>
      </c>
    </row>
    <row r="838" spans="15:21" x14ac:dyDescent="0.35">
      <c r="O838" s="18">
        <v>40695</v>
      </c>
      <c r="P838">
        <v>135.24</v>
      </c>
      <c r="R838" s="18">
        <v>45062</v>
      </c>
      <c r="S838">
        <v>3633.2</v>
      </c>
      <c r="T838">
        <v>1040000</v>
      </c>
      <c r="U838" s="18">
        <v>45062</v>
      </c>
    </row>
    <row r="839" spans="15:21" x14ac:dyDescent="0.35">
      <c r="O839" s="18">
        <v>40696</v>
      </c>
      <c r="P839">
        <v>135.44</v>
      </c>
      <c r="R839" s="18">
        <v>45063</v>
      </c>
      <c r="S839">
        <v>3628.75</v>
      </c>
      <c r="T839">
        <v>755790</v>
      </c>
      <c r="U839" s="18">
        <v>45063</v>
      </c>
    </row>
    <row r="840" spans="15:21" x14ac:dyDescent="0.35">
      <c r="O840" s="18">
        <v>40697</v>
      </c>
      <c r="P840">
        <v>133.12</v>
      </c>
      <c r="R840" s="18">
        <v>45064</v>
      </c>
      <c r="S840">
        <v>3576.15</v>
      </c>
      <c r="T840">
        <v>1240000</v>
      </c>
      <c r="U840" s="18">
        <v>45064</v>
      </c>
    </row>
    <row r="841" spans="15:21" x14ac:dyDescent="0.35">
      <c r="O841" s="18">
        <v>40700</v>
      </c>
      <c r="P841">
        <v>133.34</v>
      </c>
      <c r="R841" s="18">
        <v>45065</v>
      </c>
      <c r="S841">
        <v>3570.9</v>
      </c>
      <c r="T841">
        <v>762690</v>
      </c>
      <c r="U841" s="18">
        <v>45065</v>
      </c>
    </row>
    <row r="842" spans="15:21" x14ac:dyDescent="0.35">
      <c r="O842" s="18">
        <v>40701</v>
      </c>
      <c r="P842">
        <v>133.51</v>
      </c>
      <c r="R842" s="18">
        <v>45068</v>
      </c>
      <c r="S842">
        <v>3545.45</v>
      </c>
      <c r="T842">
        <v>303120</v>
      </c>
      <c r="U842" s="18">
        <v>45068</v>
      </c>
    </row>
    <row r="843" spans="15:21" x14ac:dyDescent="0.35">
      <c r="O843" s="18">
        <v>40702</v>
      </c>
      <c r="P843">
        <v>130.09</v>
      </c>
      <c r="R843" s="18">
        <v>45069</v>
      </c>
      <c r="S843">
        <v>3601.6</v>
      </c>
      <c r="T843">
        <v>374270</v>
      </c>
      <c r="U843" s="18">
        <v>45069</v>
      </c>
    </row>
    <row r="844" spans="15:21" x14ac:dyDescent="0.35">
      <c r="O844" s="18">
        <v>40703</v>
      </c>
      <c r="P844">
        <v>130.85</v>
      </c>
      <c r="R844" s="18">
        <v>45070</v>
      </c>
      <c r="S844">
        <v>3610.9</v>
      </c>
      <c r="T844">
        <v>374040</v>
      </c>
      <c r="U844" s="18">
        <v>45070</v>
      </c>
    </row>
    <row r="845" spans="15:21" x14ac:dyDescent="0.35">
      <c r="O845" s="18">
        <v>40704</v>
      </c>
      <c r="P845">
        <v>132.04</v>
      </c>
      <c r="R845" s="18">
        <v>45071</v>
      </c>
      <c r="S845">
        <v>3651.5</v>
      </c>
      <c r="T845">
        <v>725890</v>
      </c>
      <c r="U845" s="18">
        <v>45071</v>
      </c>
    </row>
    <row r="846" spans="15:21" x14ac:dyDescent="0.35">
      <c r="O846" s="18">
        <v>40707</v>
      </c>
      <c r="P846">
        <v>131.13999999999999</v>
      </c>
      <c r="R846" s="18">
        <v>45072</v>
      </c>
      <c r="S846">
        <v>3690.35</v>
      </c>
      <c r="T846">
        <v>394990</v>
      </c>
      <c r="U846" s="18">
        <v>45072</v>
      </c>
    </row>
    <row r="847" spans="15:21" x14ac:dyDescent="0.35">
      <c r="O847" s="18">
        <v>40708</v>
      </c>
      <c r="P847">
        <v>131.46</v>
      </c>
      <c r="R847" s="18">
        <v>45075</v>
      </c>
      <c r="S847">
        <v>3711.45</v>
      </c>
      <c r="T847">
        <v>516719.99999999994</v>
      </c>
      <c r="U847" s="18">
        <v>45075</v>
      </c>
    </row>
    <row r="848" spans="15:21" x14ac:dyDescent="0.35">
      <c r="O848" s="18">
        <v>40709</v>
      </c>
      <c r="P848">
        <v>129.19999999999999</v>
      </c>
      <c r="R848" s="18">
        <v>45076</v>
      </c>
      <c r="S848">
        <v>3678.35</v>
      </c>
      <c r="T848">
        <v>598100</v>
      </c>
      <c r="U848" s="18">
        <v>45076</v>
      </c>
    </row>
    <row r="849" spans="15:21" x14ac:dyDescent="0.35">
      <c r="O849" s="18">
        <v>40710</v>
      </c>
      <c r="P849">
        <v>128.38</v>
      </c>
      <c r="R849" s="18">
        <v>45077</v>
      </c>
      <c r="S849">
        <v>3671.95</v>
      </c>
      <c r="T849">
        <v>1190000</v>
      </c>
      <c r="U849" s="18">
        <v>45077</v>
      </c>
    </row>
    <row r="850" spans="15:21" x14ac:dyDescent="0.35">
      <c r="O850" s="18">
        <v>40711</v>
      </c>
      <c r="P850">
        <v>124.41</v>
      </c>
      <c r="R850" s="18">
        <v>45078</v>
      </c>
      <c r="S850">
        <v>3716.05</v>
      </c>
      <c r="T850">
        <v>622440</v>
      </c>
      <c r="U850" s="18">
        <v>45078</v>
      </c>
    </row>
    <row r="851" spans="15:21" x14ac:dyDescent="0.35">
      <c r="O851" s="18">
        <v>40714</v>
      </c>
      <c r="P851">
        <v>120.22</v>
      </c>
      <c r="R851" s="18">
        <v>45079</v>
      </c>
      <c r="S851">
        <v>3699.4</v>
      </c>
      <c r="T851">
        <v>987420</v>
      </c>
      <c r="U851" s="18">
        <v>45079</v>
      </c>
    </row>
    <row r="852" spans="15:21" x14ac:dyDescent="0.35">
      <c r="O852" s="18">
        <v>40715</v>
      </c>
      <c r="P852">
        <v>120.66</v>
      </c>
      <c r="R852" s="18">
        <v>45082</v>
      </c>
      <c r="S852">
        <v>3673.25</v>
      </c>
      <c r="T852">
        <v>340660</v>
      </c>
      <c r="U852" s="18">
        <v>45082</v>
      </c>
    </row>
    <row r="853" spans="15:21" x14ac:dyDescent="0.35">
      <c r="O853" s="18">
        <v>40716</v>
      </c>
      <c r="P853">
        <v>120.84</v>
      </c>
      <c r="R853" s="18">
        <v>45083</v>
      </c>
      <c r="S853">
        <v>3705.1</v>
      </c>
      <c r="T853">
        <v>385910</v>
      </c>
      <c r="U853" s="18">
        <v>45083</v>
      </c>
    </row>
    <row r="854" spans="15:21" x14ac:dyDescent="0.35">
      <c r="O854" s="18">
        <v>40717</v>
      </c>
      <c r="P854">
        <v>122.9</v>
      </c>
      <c r="R854" s="18">
        <v>45084</v>
      </c>
      <c r="S854">
        <v>3727.4</v>
      </c>
      <c r="T854">
        <v>342010</v>
      </c>
      <c r="U854" s="18">
        <v>45084</v>
      </c>
    </row>
    <row r="855" spans="15:21" x14ac:dyDescent="0.35">
      <c r="O855" s="18">
        <v>40718</v>
      </c>
      <c r="P855">
        <v>127.86</v>
      </c>
      <c r="R855" s="18">
        <v>45085</v>
      </c>
      <c r="S855">
        <v>3657.4</v>
      </c>
      <c r="T855">
        <v>511179.99999999994</v>
      </c>
      <c r="U855" s="18">
        <v>45085</v>
      </c>
    </row>
    <row r="856" spans="15:21" x14ac:dyDescent="0.35">
      <c r="O856" s="18">
        <v>40721</v>
      </c>
      <c r="P856">
        <v>130.53</v>
      </c>
      <c r="R856" s="18">
        <v>45086</v>
      </c>
      <c r="S856">
        <v>3581.3</v>
      </c>
      <c r="T856">
        <v>447350</v>
      </c>
      <c r="U856" s="18">
        <v>45086</v>
      </c>
    </row>
    <row r="857" spans="15:21" x14ac:dyDescent="0.35">
      <c r="O857" s="18">
        <v>40722</v>
      </c>
      <c r="P857">
        <v>131.71</v>
      </c>
      <c r="R857" s="18">
        <v>45089</v>
      </c>
      <c r="S857">
        <v>3590.6</v>
      </c>
      <c r="T857">
        <v>358860</v>
      </c>
      <c r="U857" s="18">
        <v>45089</v>
      </c>
    </row>
    <row r="858" spans="15:21" x14ac:dyDescent="0.35">
      <c r="O858" s="18">
        <v>40723</v>
      </c>
      <c r="P858">
        <v>131.47</v>
      </c>
      <c r="R858" s="18">
        <v>45090</v>
      </c>
      <c r="S858">
        <v>3592.65</v>
      </c>
      <c r="T858">
        <v>612120</v>
      </c>
      <c r="U858" s="18">
        <v>45090</v>
      </c>
    </row>
    <row r="859" spans="15:21" x14ac:dyDescent="0.35">
      <c r="O859" s="18">
        <v>40724</v>
      </c>
      <c r="P859">
        <v>130.04</v>
      </c>
      <c r="R859" s="18">
        <v>45091</v>
      </c>
      <c r="S859">
        <v>3572.05</v>
      </c>
      <c r="T859">
        <v>456600</v>
      </c>
      <c r="U859" s="18">
        <v>45091</v>
      </c>
    </row>
    <row r="860" spans="15:21" x14ac:dyDescent="0.35">
      <c r="O860" s="18">
        <v>40725</v>
      </c>
      <c r="P860">
        <v>130.24</v>
      </c>
      <c r="R860" s="18">
        <v>45092</v>
      </c>
      <c r="S860">
        <v>3534.7</v>
      </c>
      <c r="T860">
        <v>428890</v>
      </c>
      <c r="U860" s="18">
        <v>45092</v>
      </c>
    </row>
    <row r="861" spans="15:21" x14ac:dyDescent="0.35">
      <c r="O861" s="18">
        <v>40728</v>
      </c>
      <c r="P861">
        <v>131</v>
      </c>
      <c r="R861" s="18">
        <v>45093</v>
      </c>
      <c r="S861">
        <v>3538.9</v>
      </c>
      <c r="T861">
        <v>610090</v>
      </c>
      <c r="U861" s="18">
        <v>45093</v>
      </c>
    </row>
    <row r="862" spans="15:21" x14ac:dyDescent="0.35">
      <c r="O862" s="18">
        <v>40729</v>
      </c>
      <c r="P862">
        <v>129.82</v>
      </c>
      <c r="R862" s="18">
        <v>45096</v>
      </c>
      <c r="S862">
        <v>3496.65</v>
      </c>
      <c r="T862">
        <v>336010</v>
      </c>
      <c r="U862" s="18">
        <v>45096</v>
      </c>
    </row>
    <row r="863" spans="15:21" x14ac:dyDescent="0.35">
      <c r="O863" s="18">
        <v>40730</v>
      </c>
      <c r="P863">
        <v>130.32</v>
      </c>
      <c r="R863" s="18">
        <v>45097</v>
      </c>
      <c r="S863">
        <v>3562.1</v>
      </c>
      <c r="T863">
        <v>378560</v>
      </c>
      <c r="U863" s="18">
        <v>45097</v>
      </c>
    </row>
    <row r="864" spans="15:21" x14ac:dyDescent="0.35">
      <c r="O864" s="18">
        <v>40731</v>
      </c>
      <c r="P864">
        <v>131.5</v>
      </c>
      <c r="R864" s="18">
        <v>45098</v>
      </c>
      <c r="S864">
        <v>3570.45</v>
      </c>
      <c r="T864">
        <v>538050</v>
      </c>
      <c r="U864" s="18">
        <v>45098</v>
      </c>
    </row>
    <row r="865" spans="15:21" x14ac:dyDescent="0.35">
      <c r="O865" s="18">
        <v>40732</v>
      </c>
      <c r="P865">
        <v>131.63</v>
      </c>
      <c r="R865" s="18">
        <v>45099</v>
      </c>
      <c r="S865">
        <v>3558.6</v>
      </c>
      <c r="T865">
        <v>559680</v>
      </c>
      <c r="U865" s="18">
        <v>45099</v>
      </c>
    </row>
    <row r="866" spans="15:21" x14ac:dyDescent="0.35">
      <c r="O866" s="18">
        <v>40735</v>
      </c>
      <c r="P866">
        <v>130.28</v>
      </c>
      <c r="R866" s="18">
        <v>45100</v>
      </c>
      <c r="S866">
        <v>3539.2</v>
      </c>
      <c r="T866">
        <v>281640</v>
      </c>
      <c r="U866" s="18">
        <v>45100</v>
      </c>
    </row>
    <row r="867" spans="15:21" x14ac:dyDescent="0.35">
      <c r="O867" s="18">
        <v>40736</v>
      </c>
      <c r="P867">
        <v>129.79</v>
      </c>
      <c r="R867" s="18">
        <v>45103</v>
      </c>
      <c r="S867">
        <v>3551.65</v>
      </c>
      <c r="T867">
        <v>346200</v>
      </c>
      <c r="U867" s="18">
        <v>45103</v>
      </c>
    </row>
    <row r="868" spans="15:21" x14ac:dyDescent="0.35">
      <c r="O868" s="18">
        <v>40737</v>
      </c>
      <c r="P868">
        <v>132.63</v>
      </c>
      <c r="R868" s="18">
        <v>45104</v>
      </c>
      <c r="S868">
        <v>3535.75</v>
      </c>
      <c r="T868">
        <v>336520</v>
      </c>
      <c r="U868" s="18">
        <v>45104</v>
      </c>
    </row>
    <row r="869" spans="15:21" x14ac:dyDescent="0.35">
      <c r="O869" s="18">
        <v>40738</v>
      </c>
      <c r="P869">
        <v>131.85</v>
      </c>
      <c r="R869" s="18">
        <v>45105</v>
      </c>
      <c r="S869">
        <v>3544.85</v>
      </c>
      <c r="T869">
        <v>657120</v>
      </c>
      <c r="U869" s="18">
        <v>45105</v>
      </c>
    </row>
    <row r="870" spans="15:21" x14ac:dyDescent="0.35">
      <c r="O870" s="18">
        <v>40739</v>
      </c>
      <c r="P870">
        <v>131.75</v>
      </c>
      <c r="R870" s="18">
        <v>45107</v>
      </c>
      <c r="S870">
        <v>3580.1</v>
      </c>
      <c r="T870">
        <v>712380</v>
      </c>
      <c r="U870" s="18">
        <v>45107</v>
      </c>
    </row>
    <row r="871" spans="15:21" x14ac:dyDescent="0.35">
      <c r="O871" s="18">
        <v>40742</v>
      </c>
      <c r="P871">
        <v>132.88999999999999</v>
      </c>
      <c r="R871" s="18">
        <v>45110</v>
      </c>
      <c r="S871">
        <v>3630.85</v>
      </c>
      <c r="T871">
        <v>734330</v>
      </c>
      <c r="U871" s="18">
        <v>45110</v>
      </c>
    </row>
    <row r="872" spans="15:21" x14ac:dyDescent="0.35">
      <c r="O872" s="18">
        <v>40743</v>
      </c>
      <c r="P872">
        <v>134</v>
      </c>
      <c r="R872" s="18">
        <v>45111</v>
      </c>
      <c r="S872">
        <v>3401.8</v>
      </c>
      <c r="T872">
        <v>4120000</v>
      </c>
      <c r="U872" s="18">
        <v>45111</v>
      </c>
    </row>
    <row r="873" spans="15:21" x14ac:dyDescent="0.35">
      <c r="O873" s="18">
        <v>40744</v>
      </c>
      <c r="P873">
        <v>134.68</v>
      </c>
      <c r="R873" s="18">
        <v>45112</v>
      </c>
      <c r="S873">
        <v>3309.75</v>
      </c>
      <c r="T873">
        <v>2930000</v>
      </c>
      <c r="U873" s="18">
        <v>45112</v>
      </c>
    </row>
    <row r="874" spans="15:21" x14ac:dyDescent="0.35">
      <c r="O874" s="18">
        <v>40745</v>
      </c>
      <c r="P874">
        <v>132.83000000000001</v>
      </c>
      <c r="R874" s="18">
        <v>45113</v>
      </c>
      <c r="S874">
        <v>3222.2</v>
      </c>
      <c r="T874">
        <v>3840000</v>
      </c>
      <c r="U874" s="18">
        <v>45113</v>
      </c>
    </row>
    <row r="875" spans="15:21" x14ac:dyDescent="0.35">
      <c r="O875" s="18">
        <v>40746</v>
      </c>
      <c r="P875">
        <v>132.84</v>
      </c>
      <c r="R875" s="18">
        <v>45114</v>
      </c>
      <c r="S875">
        <v>3184.8</v>
      </c>
      <c r="T875">
        <v>2100000</v>
      </c>
      <c r="U875" s="18">
        <v>45114</v>
      </c>
    </row>
    <row r="876" spans="15:21" x14ac:dyDescent="0.35">
      <c r="O876" s="18">
        <v>40749</v>
      </c>
      <c r="P876">
        <v>134.09</v>
      </c>
      <c r="R876" s="18">
        <v>45117</v>
      </c>
      <c r="S876">
        <v>3173.9</v>
      </c>
      <c r="T876">
        <v>1780000</v>
      </c>
      <c r="U876" s="18">
        <v>45117</v>
      </c>
    </row>
    <row r="877" spans="15:21" x14ac:dyDescent="0.35">
      <c r="O877" s="18">
        <v>40750</v>
      </c>
      <c r="P877">
        <v>133.15</v>
      </c>
      <c r="R877" s="18">
        <v>45118</v>
      </c>
      <c r="S877">
        <v>3253.05</v>
      </c>
      <c r="T877">
        <v>1430000</v>
      </c>
      <c r="U877" s="18">
        <v>45118</v>
      </c>
    </row>
    <row r="878" spans="15:21" x14ac:dyDescent="0.35">
      <c r="O878" s="18">
        <v>40751</v>
      </c>
      <c r="P878">
        <v>131.49</v>
      </c>
      <c r="R878" s="18">
        <v>45119</v>
      </c>
      <c r="S878">
        <v>3291.65</v>
      </c>
      <c r="T878">
        <v>1570000</v>
      </c>
      <c r="U878" s="18">
        <v>45119</v>
      </c>
    </row>
    <row r="879" spans="15:21" x14ac:dyDescent="0.35">
      <c r="O879" s="18">
        <v>40752</v>
      </c>
      <c r="P879">
        <v>131.03</v>
      </c>
      <c r="R879" s="18">
        <v>45120</v>
      </c>
      <c r="S879">
        <v>3257.15</v>
      </c>
      <c r="T879">
        <v>1050000</v>
      </c>
      <c r="U879" s="18">
        <v>45120</v>
      </c>
    </row>
    <row r="880" spans="15:21" x14ac:dyDescent="0.35">
      <c r="O880" s="18">
        <v>40753</v>
      </c>
      <c r="P880">
        <v>132.03</v>
      </c>
      <c r="R880" s="18">
        <v>45121</v>
      </c>
      <c r="S880">
        <v>3347.1</v>
      </c>
      <c r="T880">
        <v>1580000</v>
      </c>
      <c r="U880" s="18">
        <v>45121</v>
      </c>
    </row>
    <row r="881" spans="15:21" x14ac:dyDescent="0.35">
      <c r="O881" s="18">
        <v>40756</v>
      </c>
      <c r="P881">
        <v>135.72</v>
      </c>
      <c r="R881" s="18">
        <v>45124</v>
      </c>
      <c r="S881">
        <v>3349.9</v>
      </c>
      <c r="T881">
        <v>1560000</v>
      </c>
      <c r="U881" s="18">
        <v>45124</v>
      </c>
    </row>
    <row r="882" spans="15:21" x14ac:dyDescent="0.35">
      <c r="O882" s="18">
        <v>40757</v>
      </c>
      <c r="P882">
        <v>132.96</v>
      </c>
      <c r="R882" s="18">
        <v>45125</v>
      </c>
      <c r="S882">
        <v>3349.25</v>
      </c>
      <c r="T882">
        <v>743050</v>
      </c>
      <c r="U882" s="18">
        <v>45125</v>
      </c>
    </row>
    <row r="883" spans="15:21" x14ac:dyDescent="0.35">
      <c r="O883" s="18">
        <v>40758</v>
      </c>
      <c r="P883">
        <v>134.59</v>
      </c>
      <c r="R883" s="18">
        <v>45126</v>
      </c>
      <c r="S883">
        <v>3330.15</v>
      </c>
      <c r="T883">
        <v>658760</v>
      </c>
      <c r="U883" s="18">
        <v>45126</v>
      </c>
    </row>
    <row r="884" spans="15:21" x14ac:dyDescent="0.35">
      <c r="O884" s="18">
        <v>40759</v>
      </c>
      <c r="P884">
        <v>133.52000000000001</v>
      </c>
      <c r="R884" s="18">
        <v>45127</v>
      </c>
      <c r="S884">
        <v>3317.1</v>
      </c>
      <c r="T884">
        <v>684860</v>
      </c>
      <c r="U884" s="18">
        <v>45127</v>
      </c>
    </row>
    <row r="885" spans="15:21" x14ac:dyDescent="0.35">
      <c r="O885" s="18">
        <v>40760</v>
      </c>
      <c r="P885">
        <v>134.99</v>
      </c>
      <c r="R885" s="18">
        <v>45128</v>
      </c>
      <c r="S885">
        <v>3315.5</v>
      </c>
      <c r="T885">
        <v>536480</v>
      </c>
      <c r="U885" s="18">
        <v>45128</v>
      </c>
    </row>
    <row r="886" spans="15:21" x14ac:dyDescent="0.35">
      <c r="O886" s="18">
        <v>40763</v>
      </c>
      <c r="P886">
        <v>132.77000000000001</v>
      </c>
      <c r="R886" s="18">
        <v>45131</v>
      </c>
      <c r="S886">
        <v>3307.85</v>
      </c>
      <c r="T886">
        <v>517009.99999999994</v>
      </c>
      <c r="U886" s="18">
        <v>45131</v>
      </c>
    </row>
    <row r="887" spans="15:21" x14ac:dyDescent="0.35">
      <c r="O887" s="18">
        <v>40764</v>
      </c>
      <c r="P887">
        <v>133.12</v>
      </c>
      <c r="R887" s="18">
        <v>45132</v>
      </c>
      <c r="S887">
        <v>3326.2</v>
      </c>
      <c r="T887">
        <v>865630</v>
      </c>
      <c r="U887" s="18">
        <v>45132</v>
      </c>
    </row>
    <row r="888" spans="15:21" x14ac:dyDescent="0.35">
      <c r="O888" s="18">
        <v>40765</v>
      </c>
      <c r="P888">
        <v>133.62</v>
      </c>
      <c r="R888" s="18">
        <v>45133</v>
      </c>
      <c r="S888">
        <v>3353.65</v>
      </c>
      <c r="T888">
        <v>552960</v>
      </c>
      <c r="U888" s="18">
        <v>45133</v>
      </c>
    </row>
    <row r="889" spans="15:21" x14ac:dyDescent="0.35">
      <c r="O889" s="18">
        <v>40766</v>
      </c>
      <c r="P889">
        <v>133.96</v>
      </c>
      <c r="R889" s="18">
        <v>45134</v>
      </c>
      <c r="S889">
        <v>3327.9</v>
      </c>
      <c r="T889">
        <v>748690</v>
      </c>
      <c r="U889" s="18">
        <v>45134</v>
      </c>
    </row>
    <row r="890" spans="15:21" x14ac:dyDescent="0.35">
      <c r="O890" s="18">
        <v>40767</v>
      </c>
      <c r="P890">
        <v>134.59</v>
      </c>
      <c r="R890" s="18">
        <v>45135</v>
      </c>
      <c r="S890">
        <v>3355.2</v>
      </c>
      <c r="T890">
        <v>338430</v>
      </c>
      <c r="U890" s="18">
        <v>45135</v>
      </c>
    </row>
    <row r="891" spans="15:21" x14ac:dyDescent="0.35">
      <c r="O891" s="18">
        <v>40771</v>
      </c>
      <c r="P891">
        <v>132.97</v>
      </c>
      <c r="R891" s="18">
        <v>45138</v>
      </c>
      <c r="S891">
        <v>3365.5</v>
      </c>
      <c r="T891">
        <v>485770</v>
      </c>
      <c r="U891" s="18">
        <v>45138</v>
      </c>
    </row>
    <row r="892" spans="15:21" x14ac:dyDescent="0.35">
      <c r="O892" s="18">
        <v>40772</v>
      </c>
      <c r="P892">
        <v>135.97</v>
      </c>
      <c r="R892" s="18">
        <v>45139</v>
      </c>
      <c r="S892">
        <v>3415.9</v>
      </c>
      <c r="T892">
        <v>1040000</v>
      </c>
      <c r="U892" s="18">
        <v>45139</v>
      </c>
    </row>
    <row r="893" spans="15:21" x14ac:dyDescent="0.35">
      <c r="O893" s="18">
        <v>40773</v>
      </c>
      <c r="P893">
        <v>135.4</v>
      </c>
      <c r="R893" s="18">
        <v>45140</v>
      </c>
      <c r="S893">
        <v>3332.7</v>
      </c>
      <c r="T893">
        <v>1170000</v>
      </c>
      <c r="U893" s="18">
        <v>45140</v>
      </c>
    </row>
    <row r="894" spans="15:21" x14ac:dyDescent="0.35">
      <c r="O894" s="18">
        <v>40774</v>
      </c>
      <c r="P894">
        <v>134.84</v>
      </c>
      <c r="R894" s="18">
        <v>45141</v>
      </c>
      <c r="S894">
        <v>3379.7</v>
      </c>
      <c r="T894">
        <v>601720</v>
      </c>
      <c r="U894" s="18">
        <v>45141</v>
      </c>
    </row>
    <row r="895" spans="15:21" x14ac:dyDescent="0.35">
      <c r="O895" s="18">
        <v>40777</v>
      </c>
      <c r="P895">
        <v>135.63</v>
      </c>
      <c r="R895" s="18">
        <v>45142</v>
      </c>
      <c r="S895">
        <v>3359.55</v>
      </c>
      <c r="T895">
        <v>1240000</v>
      </c>
      <c r="U895" s="18">
        <v>45142</v>
      </c>
    </row>
    <row r="896" spans="15:21" x14ac:dyDescent="0.35">
      <c r="O896" s="18">
        <v>40778</v>
      </c>
      <c r="P896">
        <v>133.29</v>
      </c>
      <c r="R896" s="18">
        <v>45145</v>
      </c>
      <c r="S896">
        <v>3355.85</v>
      </c>
      <c r="T896">
        <v>438970</v>
      </c>
      <c r="U896" s="18">
        <v>45145</v>
      </c>
    </row>
    <row r="897" spans="15:21" x14ac:dyDescent="0.35">
      <c r="O897" s="18">
        <v>40779</v>
      </c>
      <c r="P897">
        <v>132.25</v>
      </c>
      <c r="R897" s="18">
        <v>45146</v>
      </c>
      <c r="S897">
        <v>3372</v>
      </c>
      <c r="T897">
        <v>881720</v>
      </c>
      <c r="U897" s="18">
        <v>45146</v>
      </c>
    </row>
    <row r="898" spans="15:21" x14ac:dyDescent="0.35">
      <c r="O898" s="18">
        <v>40780</v>
      </c>
      <c r="P898">
        <v>133.84</v>
      </c>
      <c r="R898" s="18">
        <v>45147</v>
      </c>
      <c r="S898">
        <v>3412.6</v>
      </c>
      <c r="T898">
        <v>1100000</v>
      </c>
      <c r="U898" s="18">
        <v>45147</v>
      </c>
    </row>
    <row r="899" spans="15:21" x14ac:dyDescent="0.35">
      <c r="O899" s="18">
        <v>40781</v>
      </c>
      <c r="P899">
        <v>133.69999999999999</v>
      </c>
      <c r="R899" s="18">
        <v>45148</v>
      </c>
      <c r="S899">
        <v>3414.7</v>
      </c>
      <c r="T899">
        <v>640760</v>
      </c>
      <c r="U899" s="18">
        <v>45148</v>
      </c>
    </row>
    <row r="900" spans="15:21" x14ac:dyDescent="0.35">
      <c r="O900" s="18">
        <v>40784</v>
      </c>
      <c r="P900">
        <v>133.46</v>
      </c>
      <c r="R900" s="18">
        <v>45149</v>
      </c>
      <c r="S900">
        <v>3389.2</v>
      </c>
      <c r="T900">
        <v>366410</v>
      </c>
      <c r="U900" s="18">
        <v>45149</v>
      </c>
    </row>
    <row r="901" spans="15:21" x14ac:dyDescent="0.35">
      <c r="O901" s="18">
        <v>40785</v>
      </c>
      <c r="P901">
        <v>134.43</v>
      </c>
      <c r="R901" s="18">
        <v>45152</v>
      </c>
      <c r="S901">
        <v>3338.7</v>
      </c>
      <c r="T901">
        <v>650030</v>
      </c>
      <c r="U901" s="18">
        <v>45152</v>
      </c>
    </row>
    <row r="902" spans="15:21" x14ac:dyDescent="0.35">
      <c r="O902" s="18">
        <v>40788</v>
      </c>
      <c r="P902">
        <v>133.94</v>
      </c>
      <c r="R902" s="18">
        <v>45154</v>
      </c>
      <c r="S902">
        <v>3327.2</v>
      </c>
      <c r="T902">
        <v>502270</v>
      </c>
      <c r="U902" s="18">
        <v>45154</v>
      </c>
    </row>
    <row r="903" spans="15:21" x14ac:dyDescent="0.35">
      <c r="O903" s="18">
        <v>40791</v>
      </c>
      <c r="P903">
        <v>133.72999999999999</v>
      </c>
      <c r="R903" s="18">
        <v>45155</v>
      </c>
      <c r="S903">
        <v>3298.45</v>
      </c>
      <c r="T903">
        <v>484580</v>
      </c>
      <c r="U903" s="18">
        <v>45155</v>
      </c>
    </row>
    <row r="904" spans="15:21" x14ac:dyDescent="0.35">
      <c r="O904" s="18">
        <v>40792</v>
      </c>
      <c r="P904">
        <v>137.09</v>
      </c>
      <c r="R904" s="18">
        <v>45156</v>
      </c>
      <c r="S904">
        <v>3349.6</v>
      </c>
      <c r="T904">
        <v>680220</v>
      </c>
      <c r="U904" s="18">
        <v>45156</v>
      </c>
    </row>
    <row r="905" spans="15:21" x14ac:dyDescent="0.35">
      <c r="O905" s="18">
        <v>40793</v>
      </c>
      <c r="P905">
        <v>146.54</v>
      </c>
      <c r="R905" s="18">
        <v>45159</v>
      </c>
      <c r="S905">
        <v>3365.55</v>
      </c>
      <c r="T905">
        <v>407890</v>
      </c>
      <c r="U905" s="18">
        <v>45159</v>
      </c>
    </row>
    <row r="906" spans="15:21" x14ac:dyDescent="0.35">
      <c r="O906" s="18">
        <v>40794</v>
      </c>
      <c r="P906">
        <v>140.05000000000001</v>
      </c>
      <c r="R906" s="18">
        <v>45160</v>
      </c>
      <c r="S906">
        <v>3343.4</v>
      </c>
      <c r="T906">
        <v>343010</v>
      </c>
      <c r="U906" s="18">
        <v>45160</v>
      </c>
    </row>
    <row r="907" spans="15:21" x14ac:dyDescent="0.35">
      <c r="O907" s="18">
        <v>40795</v>
      </c>
      <c r="P907">
        <v>143.19</v>
      </c>
      <c r="R907" s="18">
        <v>45161</v>
      </c>
      <c r="S907">
        <v>3358</v>
      </c>
      <c r="T907">
        <v>347740</v>
      </c>
      <c r="U907" s="18">
        <v>45161</v>
      </c>
    </row>
    <row r="908" spans="15:21" x14ac:dyDescent="0.35">
      <c r="O908" s="18">
        <v>40798</v>
      </c>
      <c r="P908">
        <v>144.69</v>
      </c>
      <c r="R908" s="18">
        <v>45162</v>
      </c>
      <c r="S908">
        <v>3341.65</v>
      </c>
      <c r="T908">
        <v>840230</v>
      </c>
      <c r="U908" s="18">
        <v>45162</v>
      </c>
    </row>
    <row r="909" spans="15:21" x14ac:dyDescent="0.35">
      <c r="O909" s="18">
        <v>40799</v>
      </c>
      <c r="P909">
        <v>144.96</v>
      </c>
      <c r="R909" s="18">
        <v>45163</v>
      </c>
      <c r="S909">
        <v>3341.15</v>
      </c>
      <c r="T909">
        <v>463510</v>
      </c>
      <c r="U909" s="18">
        <v>45163</v>
      </c>
    </row>
    <row r="910" spans="15:21" x14ac:dyDescent="0.35">
      <c r="O910" s="18">
        <v>40800</v>
      </c>
      <c r="P910">
        <v>145.34</v>
      </c>
      <c r="R910" s="18">
        <v>45166</v>
      </c>
      <c r="S910">
        <v>3348.35</v>
      </c>
      <c r="T910">
        <v>329660</v>
      </c>
      <c r="U910" s="18">
        <v>45166</v>
      </c>
    </row>
    <row r="911" spans="15:21" x14ac:dyDescent="0.35">
      <c r="O911" s="18">
        <v>40801</v>
      </c>
      <c r="P911">
        <v>144.87</v>
      </c>
      <c r="R911" s="18">
        <v>45167</v>
      </c>
      <c r="S911">
        <v>3355.35</v>
      </c>
      <c r="T911">
        <v>271580</v>
      </c>
      <c r="U911" s="18">
        <v>45167</v>
      </c>
    </row>
    <row r="912" spans="15:21" x14ac:dyDescent="0.35">
      <c r="O912" s="18">
        <v>40802</v>
      </c>
      <c r="P912">
        <v>147.13</v>
      </c>
      <c r="R912" s="18">
        <v>45168</v>
      </c>
      <c r="S912">
        <v>3405.75</v>
      </c>
      <c r="T912">
        <v>903100</v>
      </c>
      <c r="U912" s="18">
        <v>45168</v>
      </c>
    </row>
    <row r="913" spans="15:21" x14ac:dyDescent="0.35">
      <c r="O913" s="18">
        <v>40805</v>
      </c>
      <c r="P913">
        <v>149.93</v>
      </c>
      <c r="R913" s="18">
        <v>45169</v>
      </c>
      <c r="S913">
        <v>3336.6</v>
      </c>
      <c r="T913">
        <v>835740</v>
      </c>
      <c r="U913" s="18">
        <v>45169</v>
      </c>
    </row>
    <row r="914" spans="15:21" x14ac:dyDescent="0.35">
      <c r="O914" s="18">
        <v>40806</v>
      </c>
      <c r="P914">
        <v>155.57</v>
      </c>
      <c r="R914" s="18">
        <v>45170</v>
      </c>
      <c r="S914">
        <v>3400.4</v>
      </c>
      <c r="T914">
        <v>691510</v>
      </c>
      <c r="U914" s="18">
        <v>45170</v>
      </c>
    </row>
    <row r="915" spans="15:21" x14ac:dyDescent="0.35">
      <c r="O915" s="18">
        <v>40807</v>
      </c>
      <c r="P915">
        <v>161.51</v>
      </c>
      <c r="R915" s="18">
        <v>45173</v>
      </c>
      <c r="S915">
        <v>3434.15</v>
      </c>
      <c r="T915">
        <v>661740</v>
      </c>
      <c r="U915" s="18">
        <v>45173</v>
      </c>
    </row>
    <row r="916" spans="15:21" x14ac:dyDescent="0.35">
      <c r="O916" s="18">
        <v>40808</v>
      </c>
      <c r="P916">
        <v>157.37</v>
      </c>
      <c r="R916" s="18">
        <v>45174</v>
      </c>
      <c r="S916">
        <v>3403.45</v>
      </c>
      <c r="T916">
        <v>374900</v>
      </c>
      <c r="U916" s="18">
        <v>45174</v>
      </c>
    </row>
    <row r="917" spans="15:21" x14ac:dyDescent="0.35">
      <c r="O917" s="18">
        <v>40809</v>
      </c>
      <c r="P917">
        <v>160.27000000000001</v>
      </c>
      <c r="R917" s="18">
        <v>45175</v>
      </c>
      <c r="S917">
        <v>3391.3</v>
      </c>
      <c r="T917">
        <v>431090</v>
      </c>
      <c r="U917" s="18">
        <v>45175</v>
      </c>
    </row>
    <row r="918" spans="15:21" x14ac:dyDescent="0.35">
      <c r="O918" s="18">
        <v>40812</v>
      </c>
      <c r="P918">
        <v>160.84</v>
      </c>
      <c r="R918" s="18">
        <v>45176</v>
      </c>
      <c r="S918">
        <v>3402.45</v>
      </c>
      <c r="T918">
        <v>334700</v>
      </c>
      <c r="U918" s="18">
        <v>45176</v>
      </c>
    </row>
    <row r="919" spans="15:21" x14ac:dyDescent="0.35">
      <c r="O919" s="18">
        <v>40813</v>
      </c>
      <c r="P919">
        <v>160.12</v>
      </c>
      <c r="R919" s="18">
        <v>45177</v>
      </c>
      <c r="S919">
        <v>3370.9</v>
      </c>
      <c r="T919">
        <v>448500</v>
      </c>
      <c r="U919" s="18">
        <v>45177</v>
      </c>
    </row>
    <row r="920" spans="15:21" x14ac:dyDescent="0.35">
      <c r="O920" s="18">
        <v>40814</v>
      </c>
      <c r="P920">
        <v>159.76</v>
      </c>
      <c r="R920" s="18">
        <v>45180</v>
      </c>
      <c r="S920">
        <v>3404.5</v>
      </c>
      <c r="T920">
        <v>544360</v>
      </c>
      <c r="U920" s="18">
        <v>45180</v>
      </c>
    </row>
    <row r="921" spans="15:21" x14ac:dyDescent="0.35">
      <c r="O921" s="18">
        <v>40815</v>
      </c>
      <c r="P921">
        <v>160.61000000000001</v>
      </c>
      <c r="R921" s="18">
        <v>45181</v>
      </c>
      <c r="S921">
        <v>3341.25</v>
      </c>
      <c r="T921">
        <v>446510</v>
      </c>
      <c r="U921" s="18">
        <v>45181</v>
      </c>
    </row>
    <row r="922" spans="15:21" x14ac:dyDescent="0.35">
      <c r="O922" s="18">
        <v>40816</v>
      </c>
      <c r="P922">
        <v>160.59</v>
      </c>
      <c r="R922" s="18">
        <v>45182</v>
      </c>
      <c r="S922">
        <v>3320.3</v>
      </c>
      <c r="T922">
        <v>820180</v>
      </c>
      <c r="U922" s="18">
        <v>45182</v>
      </c>
    </row>
    <row r="923" spans="15:21" x14ac:dyDescent="0.35">
      <c r="O923" s="18">
        <v>40819</v>
      </c>
      <c r="P923">
        <v>162.78</v>
      </c>
      <c r="R923" s="18">
        <v>45183</v>
      </c>
      <c r="S923">
        <v>3381.4</v>
      </c>
      <c r="T923">
        <v>436340</v>
      </c>
      <c r="U923" s="18">
        <v>45183</v>
      </c>
    </row>
    <row r="924" spans="15:21" x14ac:dyDescent="0.35">
      <c r="O924" s="18">
        <v>40820</v>
      </c>
      <c r="P924">
        <v>164.83</v>
      </c>
      <c r="R924" s="18">
        <v>45184</v>
      </c>
      <c r="S924">
        <v>3427.2</v>
      </c>
      <c r="T924">
        <v>1170000</v>
      </c>
      <c r="U924" s="18">
        <v>45184</v>
      </c>
    </row>
    <row r="925" spans="15:21" x14ac:dyDescent="0.35">
      <c r="O925" s="18">
        <v>40821</v>
      </c>
      <c r="P925">
        <v>161.68</v>
      </c>
      <c r="R925" s="18">
        <v>45187</v>
      </c>
      <c r="S925">
        <v>3431.75</v>
      </c>
      <c r="T925">
        <v>596380</v>
      </c>
      <c r="U925" s="18">
        <v>45187</v>
      </c>
    </row>
    <row r="926" spans="15:21" x14ac:dyDescent="0.35">
      <c r="O926" s="18">
        <v>40823</v>
      </c>
      <c r="P926">
        <v>161.22</v>
      </c>
      <c r="R926" s="18">
        <v>45189</v>
      </c>
      <c r="S926">
        <v>3441.2</v>
      </c>
      <c r="T926">
        <v>547810</v>
      </c>
      <c r="U926" s="18">
        <v>45189</v>
      </c>
    </row>
    <row r="927" spans="15:21" x14ac:dyDescent="0.35">
      <c r="O927" s="18">
        <v>40826</v>
      </c>
      <c r="P927">
        <v>167.93</v>
      </c>
      <c r="R927" s="18">
        <v>45190</v>
      </c>
      <c r="S927">
        <v>3435.85</v>
      </c>
      <c r="T927">
        <v>477580</v>
      </c>
      <c r="U927" s="18">
        <v>45190</v>
      </c>
    </row>
    <row r="928" spans="15:21" x14ac:dyDescent="0.35">
      <c r="O928" s="18">
        <v>40827</v>
      </c>
      <c r="P928">
        <v>165.71</v>
      </c>
      <c r="R928" s="18">
        <v>45191</v>
      </c>
      <c r="S928">
        <v>3409.45</v>
      </c>
      <c r="T928">
        <v>393520</v>
      </c>
      <c r="U928" s="18">
        <v>45191</v>
      </c>
    </row>
    <row r="929" spans="15:21" x14ac:dyDescent="0.35">
      <c r="O929" s="18">
        <v>40828</v>
      </c>
      <c r="P929">
        <v>164.19</v>
      </c>
      <c r="R929" s="18">
        <v>45194</v>
      </c>
      <c r="S929">
        <v>3386.65</v>
      </c>
      <c r="T929">
        <v>309700</v>
      </c>
      <c r="U929" s="18">
        <v>45194</v>
      </c>
    </row>
    <row r="930" spans="15:21" x14ac:dyDescent="0.35">
      <c r="O930" s="18">
        <v>40829</v>
      </c>
      <c r="P930">
        <v>163.83000000000001</v>
      </c>
      <c r="R930" s="18">
        <v>45195</v>
      </c>
      <c r="S930">
        <v>3472.15</v>
      </c>
      <c r="T930">
        <v>2180000</v>
      </c>
      <c r="U930" s="18">
        <v>45195</v>
      </c>
    </row>
    <row r="931" spans="15:21" x14ac:dyDescent="0.35">
      <c r="O931" s="18">
        <v>40830</v>
      </c>
      <c r="P931">
        <v>164.47</v>
      </c>
      <c r="R931" s="18">
        <v>45196</v>
      </c>
      <c r="S931">
        <v>3479.7</v>
      </c>
      <c r="T931">
        <v>552570</v>
      </c>
      <c r="U931" s="18">
        <v>45196</v>
      </c>
    </row>
    <row r="932" spans="15:21" x14ac:dyDescent="0.35">
      <c r="O932" s="18">
        <v>40833</v>
      </c>
      <c r="P932">
        <v>164.38</v>
      </c>
      <c r="R932" s="18">
        <v>45197</v>
      </c>
      <c r="S932">
        <v>3440.25</v>
      </c>
      <c r="T932">
        <v>608160</v>
      </c>
      <c r="U932" s="18">
        <v>45197</v>
      </c>
    </row>
    <row r="933" spans="15:21" x14ac:dyDescent="0.35">
      <c r="O933" s="18">
        <v>40834</v>
      </c>
      <c r="P933">
        <v>164.77</v>
      </c>
      <c r="R933" s="18">
        <v>45198</v>
      </c>
      <c r="S933">
        <v>3446.95</v>
      </c>
      <c r="T933">
        <v>515009.99999999994</v>
      </c>
      <c r="U933" s="18">
        <v>45198</v>
      </c>
    </row>
    <row r="934" spans="15:21" x14ac:dyDescent="0.35">
      <c r="O934" s="18">
        <v>40835</v>
      </c>
      <c r="P934">
        <v>164.47</v>
      </c>
      <c r="R934" s="18">
        <v>45202</v>
      </c>
      <c r="S934">
        <v>3351.4</v>
      </c>
      <c r="T934">
        <v>1350000</v>
      </c>
      <c r="U934" s="18">
        <v>45202</v>
      </c>
    </row>
    <row r="935" spans="15:21" x14ac:dyDescent="0.35">
      <c r="O935" s="18">
        <v>40836</v>
      </c>
      <c r="P935">
        <v>165.07</v>
      </c>
      <c r="R935" s="18">
        <v>45203</v>
      </c>
      <c r="S935">
        <v>3400.9</v>
      </c>
      <c r="T935">
        <v>566980</v>
      </c>
      <c r="U935" s="18">
        <v>45203</v>
      </c>
    </row>
    <row r="936" spans="15:21" x14ac:dyDescent="0.35">
      <c r="O936" s="18">
        <v>40837</v>
      </c>
      <c r="P936">
        <v>164.91</v>
      </c>
      <c r="R936" s="18">
        <v>45204</v>
      </c>
      <c r="S936">
        <v>3443.6</v>
      </c>
      <c r="T936">
        <v>394670</v>
      </c>
      <c r="U936" s="18">
        <v>45204</v>
      </c>
    </row>
    <row r="937" spans="15:21" x14ac:dyDescent="0.35">
      <c r="O937" s="18">
        <v>40840</v>
      </c>
      <c r="P937">
        <v>163.53</v>
      </c>
      <c r="R937" s="18">
        <v>45205</v>
      </c>
      <c r="S937">
        <v>3450.4</v>
      </c>
      <c r="T937">
        <v>249260</v>
      </c>
      <c r="U937" s="18">
        <v>45205</v>
      </c>
    </row>
    <row r="938" spans="15:21" x14ac:dyDescent="0.35">
      <c r="O938" s="18">
        <v>40841</v>
      </c>
      <c r="P938">
        <v>166.63</v>
      </c>
      <c r="R938" s="18">
        <v>45208</v>
      </c>
      <c r="S938">
        <v>3445.6</v>
      </c>
      <c r="T938">
        <v>471290</v>
      </c>
      <c r="U938" s="18">
        <v>45208</v>
      </c>
    </row>
    <row r="939" spans="15:21" x14ac:dyDescent="0.35">
      <c r="O939" s="18">
        <v>40842</v>
      </c>
      <c r="P939">
        <v>164.98</v>
      </c>
      <c r="R939" s="18">
        <v>45209</v>
      </c>
      <c r="S939">
        <v>3458.75</v>
      </c>
      <c r="T939">
        <v>206650</v>
      </c>
      <c r="U939" s="18">
        <v>45209</v>
      </c>
    </row>
    <row r="940" spans="15:21" x14ac:dyDescent="0.35">
      <c r="O940" s="18">
        <v>40844</v>
      </c>
      <c r="P940">
        <v>165.86</v>
      </c>
      <c r="R940" s="18">
        <v>45210</v>
      </c>
      <c r="S940">
        <v>3486.6</v>
      </c>
      <c r="T940">
        <v>343470</v>
      </c>
      <c r="U940" s="18">
        <v>45210</v>
      </c>
    </row>
    <row r="941" spans="15:21" x14ac:dyDescent="0.35">
      <c r="O941" s="18">
        <v>40847</v>
      </c>
      <c r="P941">
        <v>169.1</v>
      </c>
      <c r="R941" s="18">
        <v>45211</v>
      </c>
      <c r="S941">
        <v>3494.2</v>
      </c>
      <c r="T941">
        <v>644990</v>
      </c>
      <c r="U941" s="18">
        <v>45211</v>
      </c>
    </row>
    <row r="942" spans="15:21" x14ac:dyDescent="0.35">
      <c r="O942" s="18">
        <v>40848</v>
      </c>
      <c r="P942">
        <v>168.8</v>
      </c>
      <c r="R942" s="18">
        <v>45212</v>
      </c>
      <c r="S942">
        <v>3476.4</v>
      </c>
      <c r="T942">
        <v>280440</v>
      </c>
      <c r="U942" s="18">
        <v>45212</v>
      </c>
    </row>
    <row r="943" spans="15:21" x14ac:dyDescent="0.35">
      <c r="O943" s="18">
        <v>40849</v>
      </c>
      <c r="P943">
        <v>167.9</v>
      </c>
      <c r="R943" s="18">
        <v>45215</v>
      </c>
      <c r="S943">
        <v>3486.6</v>
      </c>
      <c r="T943">
        <v>147660</v>
      </c>
      <c r="U943" s="18">
        <v>45215</v>
      </c>
    </row>
    <row r="944" spans="15:21" x14ac:dyDescent="0.35">
      <c r="O944" s="18">
        <v>40850</v>
      </c>
      <c r="P944">
        <v>172.13</v>
      </c>
      <c r="R944" s="18">
        <v>45216</v>
      </c>
      <c r="S944">
        <v>3500.85</v>
      </c>
      <c r="T944">
        <v>260329.99999999994</v>
      </c>
      <c r="U944" s="18">
        <v>45216</v>
      </c>
    </row>
    <row r="945" spans="15:21" x14ac:dyDescent="0.35">
      <c r="O945" s="18">
        <v>40851</v>
      </c>
      <c r="P945">
        <v>174.28</v>
      </c>
      <c r="R945" s="18">
        <v>45217</v>
      </c>
      <c r="S945">
        <v>3496.1</v>
      </c>
      <c r="T945">
        <v>368550</v>
      </c>
      <c r="U945" s="18">
        <v>45217</v>
      </c>
    </row>
    <row r="946" spans="15:21" x14ac:dyDescent="0.35">
      <c r="O946" s="18">
        <v>40855</v>
      </c>
      <c r="P946">
        <v>173.53</v>
      </c>
      <c r="R946" s="18">
        <v>45218</v>
      </c>
      <c r="S946">
        <v>3501.2</v>
      </c>
      <c r="T946">
        <v>353660</v>
      </c>
      <c r="U946" s="18">
        <v>45218</v>
      </c>
    </row>
    <row r="947" spans="15:21" x14ac:dyDescent="0.35">
      <c r="O947" s="18">
        <v>40856</v>
      </c>
      <c r="P947">
        <v>171.53</v>
      </c>
      <c r="R947" s="18">
        <v>45219</v>
      </c>
      <c r="S947">
        <v>3480.9</v>
      </c>
      <c r="T947">
        <v>216270</v>
      </c>
      <c r="U947" s="18">
        <v>45219</v>
      </c>
    </row>
    <row r="948" spans="15:21" x14ac:dyDescent="0.35">
      <c r="O948" s="18">
        <v>40858</v>
      </c>
      <c r="P948">
        <v>170.03</v>
      </c>
      <c r="R948" s="18">
        <v>45222</v>
      </c>
      <c r="S948">
        <v>3446.35</v>
      </c>
      <c r="T948">
        <v>211290</v>
      </c>
      <c r="U948" s="18">
        <v>45222</v>
      </c>
    </row>
    <row r="949" spans="15:21" x14ac:dyDescent="0.35">
      <c r="O949" s="18">
        <v>40861</v>
      </c>
      <c r="P949">
        <v>168.03</v>
      </c>
      <c r="R949" s="18">
        <v>45224</v>
      </c>
      <c r="S949">
        <v>3384.4</v>
      </c>
      <c r="T949">
        <v>354130</v>
      </c>
      <c r="U949" s="18">
        <v>45224</v>
      </c>
    </row>
    <row r="950" spans="15:21" x14ac:dyDescent="0.35">
      <c r="O950" s="18">
        <v>40862</v>
      </c>
      <c r="P950">
        <v>166.74</v>
      </c>
      <c r="R950" s="18">
        <v>45225</v>
      </c>
      <c r="S950">
        <v>3326.8</v>
      </c>
      <c r="T950">
        <v>428620</v>
      </c>
      <c r="U950" s="18">
        <v>45225</v>
      </c>
    </row>
    <row r="951" spans="15:21" x14ac:dyDescent="0.35">
      <c r="O951" s="18">
        <v>40863</v>
      </c>
      <c r="P951">
        <v>164.07</v>
      </c>
      <c r="R951" s="18">
        <v>45226</v>
      </c>
      <c r="S951">
        <v>3394.85</v>
      </c>
      <c r="T951">
        <v>293100</v>
      </c>
      <c r="U951" s="18">
        <v>45226</v>
      </c>
    </row>
    <row r="952" spans="15:21" x14ac:dyDescent="0.35">
      <c r="O952" s="18">
        <v>40864</v>
      </c>
      <c r="P952">
        <v>164.53</v>
      </c>
      <c r="R952" s="18">
        <v>45229</v>
      </c>
      <c r="S952">
        <v>3357.65</v>
      </c>
      <c r="T952">
        <v>257390</v>
      </c>
      <c r="U952" s="18">
        <v>45229</v>
      </c>
    </row>
    <row r="953" spans="15:21" x14ac:dyDescent="0.35">
      <c r="O953" s="18">
        <v>40865</v>
      </c>
      <c r="P953">
        <v>163.56</v>
      </c>
      <c r="R953" s="18">
        <v>45230</v>
      </c>
      <c r="S953">
        <v>3295.55</v>
      </c>
      <c r="T953">
        <v>409350</v>
      </c>
      <c r="U953" s="18">
        <v>45230</v>
      </c>
    </row>
    <row r="954" spans="15:21" x14ac:dyDescent="0.35">
      <c r="O954" s="18">
        <v>40868</v>
      </c>
      <c r="P954">
        <v>163.05000000000001</v>
      </c>
      <c r="R954" s="18">
        <v>45231</v>
      </c>
      <c r="S954">
        <v>3282.25</v>
      </c>
      <c r="T954">
        <v>325630</v>
      </c>
      <c r="U954" s="18">
        <v>45231</v>
      </c>
    </row>
    <row r="955" spans="15:21" x14ac:dyDescent="0.35">
      <c r="O955" s="18">
        <v>40869</v>
      </c>
      <c r="P955">
        <v>159.97999999999999</v>
      </c>
      <c r="R955" s="18">
        <v>45232</v>
      </c>
      <c r="S955">
        <v>3338.3</v>
      </c>
      <c r="T955">
        <v>493380</v>
      </c>
      <c r="U955" s="18">
        <v>45232</v>
      </c>
    </row>
    <row r="956" spans="15:21" x14ac:dyDescent="0.35">
      <c r="O956" s="18">
        <v>40870</v>
      </c>
      <c r="P956">
        <v>160.47999999999999</v>
      </c>
      <c r="R956" s="18">
        <v>45233</v>
      </c>
      <c r="S956">
        <v>3428</v>
      </c>
      <c r="T956">
        <v>568460</v>
      </c>
      <c r="U956" s="18">
        <v>45233</v>
      </c>
    </row>
    <row r="957" spans="15:21" x14ac:dyDescent="0.35">
      <c r="O957" s="18">
        <v>40871</v>
      </c>
      <c r="P957">
        <v>161.35</v>
      </c>
      <c r="R957" s="18">
        <v>45236</v>
      </c>
      <c r="S957">
        <v>3510.95</v>
      </c>
      <c r="T957">
        <v>722080</v>
      </c>
      <c r="U957" s="18">
        <v>45236</v>
      </c>
    </row>
    <row r="958" spans="15:21" x14ac:dyDescent="0.35">
      <c r="O958" s="18">
        <v>40872</v>
      </c>
      <c r="P958">
        <v>161.03</v>
      </c>
      <c r="R958" s="18">
        <v>45237</v>
      </c>
      <c r="S958">
        <v>3509.05</v>
      </c>
      <c r="T958">
        <v>335440</v>
      </c>
      <c r="U958" s="18">
        <v>45237</v>
      </c>
    </row>
    <row r="959" spans="15:21" x14ac:dyDescent="0.35">
      <c r="O959" s="18">
        <v>40875</v>
      </c>
      <c r="P959">
        <v>161.15</v>
      </c>
      <c r="R959" s="18">
        <v>45238</v>
      </c>
      <c r="S959">
        <v>3550.3</v>
      </c>
      <c r="T959">
        <v>393480</v>
      </c>
      <c r="U959" s="18">
        <v>45238</v>
      </c>
    </row>
    <row r="960" spans="15:21" x14ac:dyDescent="0.35">
      <c r="O960" s="18">
        <v>40876</v>
      </c>
      <c r="P960">
        <v>160.59</v>
      </c>
      <c r="R960" s="18">
        <v>45239</v>
      </c>
      <c r="S960">
        <v>3541.9</v>
      </c>
      <c r="T960">
        <v>538780</v>
      </c>
      <c r="U960" s="18">
        <v>45239</v>
      </c>
    </row>
    <row r="961" spans="15:21" x14ac:dyDescent="0.35">
      <c r="O961" s="18">
        <v>40877</v>
      </c>
      <c r="P961">
        <v>161.35</v>
      </c>
      <c r="R961" s="18">
        <v>45240</v>
      </c>
      <c r="S961">
        <v>3540.75</v>
      </c>
      <c r="T961">
        <v>259240.00000000003</v>
      </c>
      <c r="U961" s="18">
        <v>45240</v>
      </c>
    </row>
    <row r="962" spans="15:21" x14ac:dyDescent="0.35">
      <c r="O962" s="18">
        <v>40878</v>
      </c>
      <c r="P962">
        <v>159.09</v>
      </c>
      <c r="R962" s="18">
        <v>45242</v>
      </c>
      <c r="S962">
        <v>3579.3</v>
      </c>
      <c r="T962">
        <v>113460</v>
      </c>
      <c r="U962" s="18">
        <v>45242</v>
      </c>
    </row>
    <row r="963" spans="15:21" x14ac:dyDescent="0.35">
      <c r="O963" s="18">
        <v>40879</v>
      </c>
      <c r="P963">
        <v>157.66</v>
      </c>
      <c r="R963" s="18">
        <v>45243</v>
      </c>
      <c r="S963">
        <v>3645.4</v>
      </c>
      <c r="T963">
        <v>875890</v>
      </c>
      <c r="U963" s="18">
        <v>45243</v>
      </c>
    </row>
    <row r="964" spans="15:21" x14ac:dyDescent="0.35">
      <c r="O964" s="18">
        <v>40882</v>
      </c>
      <c r="P964">
        <v>158.24</v>
      </c>
      <c r="R964" s="18">
        <v>45245</v>
      </c>
      <c r="S964">
        <v>3848.3</v>
      </c>
      <c r="T964">
        <v>1910000</v>
      </c>
      <c r="U964" s="18">
        <v>45245</v>
      </c>
    </row>
    <row r="965" spans="15:21" x14ac:dyDescent="0.35">
      <c r="O965" s="18">
        <v>40884</v>
      </c>
      <c r="P965">
        <v>161.78</v>
      </c>
      <c r="R965" s="18">
        <v>45246</v>
      </c>
      <c r="S965">
        <v>3836.75</v>
      </c>
      <c r="T965">
        <v>755580</v>
      </c>
      <c r="U965" s="18">
        <v>45246</v>
      </c>
    </row>
    <row r="966" spans="15:21" x14ac:dyDescent="0.35">
      <c r="O966" s="18">
        <v>40885</v>
      </c>
      <c r="P966">
        <v>156.41</v>
      </c>
      <c r="R966" s="18">
        <v>45247</v>
      </c>
      <c r="S966">
        <v>3865.3</v>
      </c>
      <c r="T966">
        <v>476360</v>
      </c>
      <c r="U966" s="18">
        <v>45247</v>
      </c>
    </row>
    <row r="967" spans="15:21" x14ac:dyDescent="0.35">
      <c r="O967" s="18">
        <v>40886</v>
      </c>
      <c r="P967">
        <v>155.66999999999999</v>
      </c>
      <c r="R967" s="18">
        <v>45250</v>
      </c>
      <c r="S967">
        <v>3846.45</v>
      </c>
      <c r="T967">
        <v>249900</v>
      </c>
      <c r="U967" s="18">
        <v>45250</v>
      </c>
    </row>
    <row r="968" spans="15:21" x14ac:dyDescent="0.35">
      <c r="O968" s="18">
        <v>40889</v>
      </c>
      <c r="P968">
        <v>151.54</v>
      </c>
      <c r="R968" s="18">
        <v>45251</v>
      </c>
      <c r="S968">
        <v>3844.2</v>
      </c>
      <c r="T968">
        <v>260480.00000000006</v>
      </c>
      <c r="U968" s="18">
        <v>45251</v>
      </c>
    </row>
    <row r="969" spans="15:21" x14ac:dyDescent="0.35">
      <c r="O969" s="18">
        <v>40890</v>
      </c>
      <c r="P969">
        <v>152.1</v>
      </c>
      <c r="R969" s="18">
        <v>45252</v>
      </c>
      <c r="S969">
        <v>3833.8</v>
      </c>
      <c r="T969">
        <v>286190</v>
      </c>
      <c r="U969" s="18">
        <v>45252</v>
      </c>
    </row>
    <row r="970" spans="15:21" x14ac:dyDescent="0.35">
      <c r="O970" s="18">
        <v>40891</v>
      </c>
      <c r="P970">
        <v>149.99</v>
      </c>
      <c r="R970" s="18">
        <v>45253</v>
      </c>
      <c r="S970">
        <v>3883.8</v>
      </c>
      <c r="T970">
        <v>764500</v>
      </c>
      <c r="U970" s="18">
        <v>45253</v>
      </c>
    </row>
    <row r="971" spans="15:21" x14ac:dyDescent="0.35">
      <c r="O971" s="18">
        <v>40892</v>
      </c>
      <c r="P971">
        <v>150.03</v>
      </c>
      <c r="R971" s="18">
        <v>45254</v>
      </c>
      <c r="S971">
        <v>3849.05</v>
      </c>
      <c r="T971">
        <v>266310</v>
      </c>
      <c r="U971" s="18">
        <v>45254</v>
      </c>
    </row>
    <row r="972" spans="15:21" x14ac:dyDescent="0.35">
      <c r="O972" s="18">
        <v>40893</v>
      </c>
      <c r="P972">
        <v>147.97999999999999</v>
      </c>
      <c r="R972" s="18">
        <v>45258</v>
      </c>
      <c r="S972">
        <v>3826.7</v>
      </c>
      <c r="T972">
        <v>505270</v>
      </c>
      <c r="U972" s="18">
        <v>45258</v>
      </c>
    </row>
    <row r="973" spans="15:21" x14ac:dyDescent="0.35">
      <c r="O973" s="18">
        <v>40896</v>
      </c>
      <c r="P973">
        <v>142.97</v>
      </c>
      <c r="R973" s="18">
        <v>45259</v>
      </c>
      <c r="S973">
        <v>3812.25</v>
      </c>
      <c r="T973">
        <v>414180</v>
      </c>
      <c r="U973" s="18">
        <v>45259</v>
      </c>
    </row>
    <row r="974" spans="15:21" x14ac:dyDescent="0.35">
      <c r="O974" s="18">
        <v>40897</v>
      </c>
      <c r="P974">
        <v>141.25</v>
      </c>
      <c r="R974" s="18">
        <v>45260</v>
      </c>
      <c r="S974">
        <v>3896.9</v>
      </c>
      <c r="T974">
        <v>1340000</v>
      </c>
      <c r="U974" s="18">
        <v>45260</v>
      </c>
    </row>
    <row r="975" spans="15:21" x14ac:dyDescent="0.35">
      <c r="O975" s="18">
        <v>40898</v>
      </c>
      <c r="P975">
        <v>145.91</v>
      </c>
      <c r="R975" s="18">
        <v>45261</v>
      </c>
      <c r="S975">
        <v>3891.2</v>
      </c>
      <c r="T975">
        <v>683210</v>
      </c>
      <c r="U975" s="18">
        <v>45261</v>
      </c>
    </row>
    <row r="976" spans="15:21" x14ac:dyDescent="0.35">
      <c r="O976" s="18">
        <v>40899</v>
      </c>
      <c r="P976">
        <v>144.81</v>
      </c>
      <c r="R976" s="18">
        <v>45264</v>
      </c>
      <c r="S976">
        <v>4180.3500000000004</v>
      </c>
      <c r="T976">
        <v>2820000</v>
      </c>
      <c r="U976" s="18">
        <v>45264</v>
      </c>
    </row>
    <row r="977" spans="15:21" x14ac:dyDescent="0.35">
      <c r="O977" s="18">
        <v>40900</v>
      </c>
      <c r="P977">
        <v>144.68</v>
      </c>
      <c r="R977" s="18">
        <v>45265</v>
      </c>
      <c r="S977">
        <v>4136.5</v>
      </c>
      <c r="T977">
        <v>1050000</v>
      </c>
      <c r="U977" s="18">
        <v>45265</v>
      </c>
    </row>
    <row r="978" spans="15:21" x14ac:dyDescent="0.35">
      <c r="O978" s="18">
        <v>40903</v>
      </c>
      <c r="P978">
        <v>148.81</v>
      </c>
      <c r="R978" s="18">
        <v>45266</v>
      </c>
      <c r="S978">
        <v>4047</v>
      </c>
      <c r="T978">
        <v>941570</v>
      </c>
      <c r="U978" s="18">
        <v>45266</v>
      </c>
    </row>
    <row r="979" spans="15:21" x14ac:dyDescent="0.35">
      <c r="O979" s="18">
        <v>40904</v>
      </c>
      <c r="P979">
        <v>149.41</v>
      </c>
      <c r="R979" s="18">
        <v>45267</v>
      </c>
      <c r="S979">
        <v>4091</v>
      </c>
      <c r="T979">
        <v>699550</v>
      </c>
      <c r="U979" s="18">
        <v>45267</v>
      </c>
    </row>
    <row r="980" spans="15:21" x14ac:dyDescent="0.35">
      <c r="O980" s="18">
        <v>40905</v>
      </c>
      <c r="P980">
        <v>149.96</v>
      </c>
      <c r="R980" s="18">
        <v>45268</v>
      </c>
      <c r="S980">
        <v>4055</v>
      </c>
      <c r="T980">
        <v>334250</v>
      </c>
      <c r="U980" s="18">
        <v>45268</v>
      </c>
    </row>
    <row r="981" spans="15:21" x14ac:dyDescent="0.35">
      <c r="O981" s="18">
        <v>40906</v>
      </c>
      <c r="P981">
        <v>148.03</v>
      </c>
      <c r="R981" s="18">
        <v>45271</v>
      </c>
      <c r="S981">
        <v>4025.65</v>
      </c>
      <c r="T981">
        <v>534580</v>
      </c>
      <c r="U981" s="18">
        <v>45271</v>
      </c>
    </row>
    <row r="982" spans="15:21" x14ac:dyDescent="0.35">
      <c r="O982" s="18">
        <v>40907</v>
      </c>
      <c r="P982">
        <v>148.80000000000001</v>
      </c>
      <c r="R982" s="18">
        <v>45272</v>
      </c>
      <c r="S982">
        <v>3951.75</v>
      </c>
      <c r="T982">
        <v>981120</v>
      </c>
      <c r="U982" s="18">
        <v>45272</v>
      </c>
    </row>
    <row r="983" spans="15:21" x14ac:dyDescent="0.35">
      <c r="O983" s="18">
        <v>40910</v>
      </c>
      <c r="P983">
        <v>149.53</v>
      </c>
      <c r="R983" s="18">
        <v>45273</v>
      </c>
      <c r="S983">
        <v>4032.75</v>
      </c>
      <c r="T983">
        <v>707210</v>
      </c>
      <c r="U983" s="18">
        <v>45273</v>
      </c>
    </row>
    <row r="984" spans="15:21" x14ac:dyDescent="0.35">
      <c r="O984" s="18">
        <v>40911</v>
      </c>
      <c r="P984">
        <v>156.56</v>
      </c>
      <c r="R984" s="18">
        <v>45274</v>
      </c>
      <c r="S984">
        <v>4086.15</v>
      </c>
      <c r="T984">
        <v>922660</v>
      </c>
      <c r="U984" s="18">
        <v>45274</v>
      </c>
    </row>
    <row r="985" spans="15:21" x14ac:dyDescent="0.35">
      <c r="O985" s="18">
        <v>40912</v>
      </c>
      <c r="P985">
        <v>152.58000000000001</v>
      </c>
      <c r="R985" s="18">
        <v>45275</v>
      </c>
      <c r="S985">
        <v>4059.9</v>
      </c>
      <c r="T985">
        <v>954930</v>
      </c>
      <c r="U985" s="18">
        <v>45275</v>
      </c>
    </row>
    <row r="986" spans="15:21" x14ac:dyDescent="0.35">
      <c r="O986" s="18">
        <v>40913</v>
      </c>
      <c r="P986">
        <v>151.24</v>
      </c>
      <c r="R986" s="18">
        <v>45278</v>
      </c>
      <c r="S986">
        <v>4085.5</v>
      </c>
      <c r="T986">
        <v>886620</v>
      </c>
      <c r="U986" s="18">
        <v>45278</v>
      </c>
    </row>
    <row r="987" spans="15:21" x14ac:dyDescent="0.35">
      <c r="O987" s="18">
        <v>40914</v>
      </c>
      <c r="P987">
        <v>149.37</v>
      </c>
      <c r="R987" s="18">
        <v>45279</v>
      </c>
      <c r="S987">
        <v>4039.65</v>
      </c>
      <c r="T987">
        <v>328370</v>
      </c>
      <c r="U987" s="18">
        <v>45279</v>
      </c>
    </row>
    <row r="988" spans="15:21" x14ac:dyDescent="0.35">
      <c r="O988" s="18">
        <v>40915</v>
      </c>
      <c r="P988">
        <v>149.81</v>
      </c>
      <c r="R988" s="18">
        <v>45280</v>
      </c>
      <c r="S988">
        <v>3912.4</v>
      </c>
      <c r="T988">
        <v>557210</v>
      </c>
      <c r="U988" s="18">
        <v>45280</v>
      </c>
    </row>
    <row r="989" spans="15:21" x14ac:dyDescent="0.35">
      <c r="O989" s="18">
        <v>40917</v>
      </c>
      <c r="P989">
        <v>148.07</v>
      </c>
      <c r="R989" s="18">
        <v>45281</v>
      </c>
      <c r="S989">
        <v>3957.95</v>
      </c>
      <c r="T989">
        <v>445650</v>
      </c>
      <c r="U989" s="18">
        <v>45281</v>
      </c>
    </row>
    <row r="990" spans="15:21" x14ac:dyDescent="0.35">
      <c r="O990" s="18">
        <v>40918</v>
      </c>
      <c r="P990">
        <v>150</v>
      </c>
      <c r="R990" s="18">
        <v>45282</v>
      </c>
      <c r="S990">
        <v>4006.05</v>
      </c>
      <c r="T990">
        <v>309910</v>
      </c>
      <c r="U990" s="18">
        <v>45282</v>
      </c>
    </row>
    <row r="991" spans="15:21" x14ac:dyDescent="0.35">
      <c r="O991" s="18">
        <v>40919</v>
      </c>
      <c r="P991">
        <v>149.99</v>
      </c>
      <c r="R991" s="18">
        <v>45286</v>
      </c>
      <c r="S991">
        <v>4040.4</v>
      </c>
      <c r="T991">
        <v>475110</v>
      </c>
      <c r="U991" s="18">
        <v>45286</v>
      </c>
    </row>
    <row r="992" spans="15:21" x14ac:dyDescent="0.35">
      <c r="O992" s="18">
        <v>40920</v>
      </c>
      <c r="P992">
        <v>152.27000000000001</v>
      </c>
      <c r="R992" s="18">
        <v>45287</v>
      </c>
      <c r="S992">
        <v>4120</v>
      </c>
      <c r="T992">
        <v>385940</v>
      </c>
      <c r="U992" s="18">
        <v>45287</v>
      </c>
    </row>
    <row r="993" spans="15:21" x14ac:dyDescent="0.35">
      <c r="O993" s="18">
        <v>40921</v>
      </c>
      <c r="P993">
        <v>153.32</v>
      </c>
      <c r="R993" s="18">
        <v>45288</v>
      </c>
      <c r="S993">
        <v>4091.9</v>
      </c>
      <c r="T993">
        <v>450480</v>
      </c>
      <c r="U993" s="18">
        <v>45288</v>
      </c>
    </row>
    <row r="994" spans="15:21" x14ac:dyDescent="0.35">
      <c r="O994" s="18">
        <v>40924</v>
      </c>
      <c r="P994">
        <v>153.59</v>
      </c>
      <c r="R994" s="18">
        <v>45289</v>
      </c>
      <c r="S994">
        <v>4143.5</v>
      </c>
      <c r="T994">
        <v>673950</v>
      </c>
      <c r="U994" s="18">
        <v>45289</v>
      </c>
    </row>
    <row r="995" spans="15:21" x14ac:dyDescent="0.35">
      <c r="O995" s="18">
        <v>40925</v>
      </c>
      <c r="P995">
        <v>160.41</v>
      </c>
      <c r="R995" s="18">
        <v>45292</v>
      </c>
      <c r="S995">
        <v>4038.35</v>
      </c>
      <c r="T995">
        <v>763450</v>
      </c>
      <c r="U995" s="18">
        <v>45292</v>
      </c>
    </row>
    <row r="996" spans="15:21" x14ac:dyDescent="0.35">
      <c r="O996" s="18">
        <v>40926</v>
      </c>
      <c r="P996">
        <v>158.5</v>
      </c>
      <c r="R996" s="18">
        <v>45293</v>
      </c>
      <c r="S996">
        <v>3892.5</v>
      </c>
      <c r="T996">
        <v>1220000</v>
      </c>
      <c r="U996" s="18">
        <v>45293</v>
      </c>
    </row>
    <row r="997" spans="15:21" x14ac:dyDescent="0.35">
      <c r="O997" s="18">
        <v>40927</v>
      </c>
      <c r="P997">
        <v>157.09</v>
      </c>
      <c r="R997" s="18">
        <v>45294</v>
      </c>
      <c r="S997">
        <v>3887.6</v>
      </c>
      <c r="T997">
        <v>435450</v>
      </c>
      <c r="U997" s="18">
        <v>45294</v>
      </c>
    </row>
    <row r="998" spans="15:21" x14ac:dyDescent="0.35">
      <c r="O998" s="18">
        <v>40928</v>
      </c>
      <c r="P998">
        <v>161.31</v>
      </c>
      <c r="R998" s="18">
        <v>45295</v>
      </c>
      <c r="S998">
        <v>3861</v>
      </c>
      <c r="T998">
        <v>425700</v>
      </c>
      <c r="U998" s="18">
        <v>45295</v>
      </c>
    </row>
    <row r="999" spans="15:21" x14ac:dyDescent="0.35">
      <c r="O999" s="18">
        <v>40931</v>
      </c>
      <c r="P999">
        <v>161.22</v>
      </c>
      <c r="R999" s="18">
        <v>45296</v>
      </c>
      <c r="S999">
        <v>3877.05</v>
      </c>
      <c r="T999">
        <v>402100</v>
      </c>
      <c r="U999" s="18">
        <v>45296</v>
      </c>
    </row>
    <row r="1000" spans="15:21" x14ac:dyDescent="0.35">
      <c r="O1000" s="18">
        <v>40932</v>
      </c>
      <c r="P1000">
        <v>162.99</v>
      </c>
      <c r="R1000" s="18">
        <v>45299</v>
      </c>
      <c r="S1000">
        <v>3884.25</v>
      </c>
      <c r="T1000">
        <v>401260</v>
      </c>
      <c r="U1000" s="18">
        <v>45299</v>
      </c>
    </row>
    <row r="1001" spans="15:21" x14ac:dyDescent="0.35">
      <c r="O1001" s="18">
        <v>40933</v>
      </c>
      <c r="P1001">
        <v>163.51</v>
      </c>
      <c r="R1001" s="18">
        <v>45300</v>
      </c>
      <c r="S1001">
        <v>3870.45</v>
      </c>
      <c r="T1001">
        <v>411460</v>
      </c>
      <c r="U1001" s="18">
        <v>45300</v>
      </c>
    </row>
    <row r="1002" spans="15:21" x14ac:dyDescent="0.35">
      <c r="O1002" s="18">
        <v>40935</v>
      </c>
      <c r="P1002">
        <v>162.97</v>
      </c>
      <c r="R1002" s="18">
        <v>45301</v>
      </c>
      <c r="S1002">
        <v>3842.55</v>
      </c>
      <c r="T1002">
        <v>577500</v>
      </c>
      <c r="U1002" s="18">
        <v>45301</v>
      </c>
    </row>
    <row r="1003" spans="15:21" x14ac:dyDescent="0.35">
      <c r="O1003" s="18">
        <v>40938</v>
      </c>
      <c r="P1003">
        <v>162.76</v>
      </c>
      <c r="R1003" s="18">
        <v>45302</v>
      </c>
      <c r="S1003">
        <v>3888.8</v>
      </c>
      <c r="T1003">
        <v>378240</v>
      </c>
      <c r="U1003" s="18">
        <v>45302</v>
      </c>
    </row>
    <row r="1004" spans="15:21" x14ac:dyDescent="0.35">
      <c r="O1004" s="18">
        <v>40939</v>
      </c>
      <c r="P1004">
        <v>167.15</v>
      </c>
      <c r="R1004" s="18">
        <v>45303</v>
      </c>
      <c r="S1004">
        <v>3870.85</v>
      </c>
      <c r="T1004">
        <v>220410</v>
      </c>
      <c r="U1004" s="18">
        <v>45303</v>
      </c>
    </row>
    <row r="1005" spans="15:21" x14ac:dyDescent="0.35">
      <c r="O1005" s="18">
        <v>40940</v>
      </c>
      <c r="P1005">
        <v>170.1</v>
      </c>
      <c r="R1005" s="18">
        <v>45306</v>
      </c>
      <c r="S1005">
        <v>3832.1</v>
      </c>
      <c r="T1005">
        <v>364330</v>
      </c>
      <c r="U1005" s="18">
        <v>45306</v>
      </c>
    </row>
    <row r="1006" spans="15:21" x14ac:dyDescent="0.35">
      <c r="O1006" s="18">
        <v>40941</v>
      </c>
      <c r="P1006">
        <v>171.56</v>
      </c>
      <c r="R1006" s="18">
        <v>45307</v>
      </c>
      <c r="S1006">
        <v>3792.3</v>
      </c>
      <c r="T1006">
        <v>519200.00000000012</v>
      </c>
      <c r="U1006" s="18">
        <v>45307</v>
      </c>
    </row>
    <row r="1007" spans="15:21" x14ac:dyDescent="0.35">
      <c r="O1007" s="18">
        <v>40942</v>
      </c>
      <c r="P1007">
        <v>175.35</v>
      </c>
      <c r="R1007" s="18">
        <v>45308</v>
      </c>
      <c r="S1007">
        <v>3751.1</v>
      </c>
      <c r="T1007">
        <v>585280</v>
      </c>
      <c r="U1007" s="18">
        <v>45308</v>
      </c>
    </row>
    <row r="1008" spans="15:21" x14ac:dyDescent="0.35">
      <c r="O1008" s="18">
        <v>40945</v>
      </c>
      <c r="P1008">
        <v>175.83</v>
      </c>
      <c r="R1008" s="18">
        <v>45309</v>
      </c>
      <c r="S1008">
        <v>3691.15</v>
      </c>
      <c r="T1008">
        <v>583930</v>
      </c>
      <c r="U1008" s="18">
        <v>45309</v>
      </c>
    </row>
    <row r="1009" spans="15:21" x14ac:dyDescent="0.35">
      <c r="O1009" s="18">
        <v>40946</v>
      </c>
      <c r="P1009">
        <v>177.32</v>
      </c>
      <c r="R1009" s="18">
        <v>45310</v>
      </c>
      <c r="S1009">
        <v>3699.45</v>
      </c>
      <c r="T1009">
        <v>894470</v>
      </c>
      <c r="U1009" s="18">
        <v>45310</v>
      </c>
    </row>
    <row r="1010" spans="15:21" x14ac:dyDescent="0.35">
      <c r="O1010" s="18">
        <v>40947</v>
      </c>
      <c r="P1010">
        <v>176.85</v>
      </c>
      <c r="R1010" s="18">
        <v>45311</v>
      </c>
      <c r="S1010">
        <v>3697.6</v>
      </c>
      <c r="T1010">
        <v>122050</v>
      </c>
      <c r="U1010" s="18">
        <v>45311</v>
      </c>
    </row>
    <row r="1011" spans="15:21" x14ac:dyDescent="0.35">
      <c r="O1011" s="18">
        <v>40948</v>
      </c>
      <c r="P1011">
        <v>175.76</v>
      </c>
      <c r="R1011" s="18">
        <v>45314</v>
      </c>
      <c r="S1011">
        <v>3616.7</v>
      </c>
      <c r="T1011">
        <v>823430</v>
      </c>
      <c r="U1011" s="18">
        <v>45314</v>
      </c>
    </row>
    <row r="1012" spans="15:21" x14ac:dyDescent="0.35">
      <c r="O1012" s="18">
        <v>40949</v>
      </c>
      <c r="P1012">
        <v>176.99</v>
      </c>
      <c r="R1012" s="18">
        <v>45315</v>
      </c>
      <c r="S1012">
        <v>3635</v>
      </c>
      <c r="T1012">
        <v>1320000</v>
      </c>
      <c r="U1012" s="18">
        <v>45315</v>
      </c>
    </row>
    <row r="1013" spans="15:21" x14ac:dyDescent="0.35">
      <c r="O1013" s="18">
        <v>40952</v>
      </c>
      <c r="P1013">
        <v>172.37</v>
      </c>
      <c r="R1013" s="18">
        <v>45316</v>
      </c>
      <c r="S1013">
        <v>3616.45</v>
      </c>
      <c r="T1013">
        <v>699430</v>
      </c>
      <c r="U1013" s="18">
        <v>45316</v>
      </c>
    </row>
    <row r="1014" spans="15:21" x14ac:dyDescent="0.35">
      <c r="O1014" s="18">
        <v>40953</v>
      </c>
      <c r="P1014">
        <v>173.63</v>
      </c>
      <c r="R1014" s="18">
        <v>45320</v>
      </c>
      <c r="S1014">
        <v>3669.05</v>
      </c>
      <c r="T1014">
        <v>936430</v>
      </c>
      <c r="U1014" s="18">
        <v>45320</v>
      </c>
    </row>
    <row r="1015" spans="15:21" x14ac:dyDescent="0.35">
      <c r="O1015" s="18">
        <v>40954</v>
      </c>
      <c r="P1015">
        <v>175.94</v>
      </c>
      <c r="R1015" s="18">
        <v>45321</v>
      </c>
      <c r="S1015">
        <v>3704.75</v>
      </c>
      <c r="T1015">
        <v>612060</v>
      </c>
      <c r="U1015" s="18">
        <v>45321</v>
      </c>
    </row>
    <row r="1016" spans="15:21" x14ac:dyDescent="0.35">
      <c r="O1016" s="18">
        <v>40955</v>
      </c>
      <c r="P1016">
        <v>172.34</v>
      </c>
      <c r="R1016" s="18">
        <v>45322</v>
      </c>
      <c r="S1016">
        <v>3839.6</v>
      </c>
      <c r="T1016">
        <v>759820</v>
      </c>
      <c r="U1016" s="18">
        <v>45322</v>
      </c>
    </row>
    <row r="1017" spans="15:21" x14ac:dyDescent="0.35">
      <c r="O1017" s="18">
        <v>40956</v>
      </c>
      <c r="P1017">
        <v>173.61</v>
      </c>
      <c r="R1017" s="18">
        <v>45323</v>
      </c>
      <c r="S1017">
        <v>3933.2</v>
      </c>
      <c r="T1017">
        <v>1310000</v>
      </c>
      <c r="U1017" s="18">
        <v>45323</v>
      </c>
    </row>
    <row r="1018" spans="15:21" x14ac:dyDescent="0.35">
      <c r="O1018" s="18">
        <v>40960</v>
      </c>
      <c r="P1018">
        <v>172.68</v>
      </c>
      <c r="R1018" s="18">
        <v>45324</v>
      </c>
      <c r="S1018">
        <v>3825.55</v>
      </c>
      <c r="T1018">
        <v>872010</v>
      </c>
      <c r="U1018" s="18">
        <v>45324</v>
      </c>
    </row>
    <row r="1019" spans="15:21" x14ac:dyDescent="0.35">
      <c r="O1019" s="18">
        <v>40961</v>
      </c>
      <c r="P1019">
        <v>172.44</v>
      </c>
      <c r="R1019" s="18">
        <v>45327</v>
      </c>
      <c r="S1019">
        <v>3889.95</v>
      </c>
      <c r="T1019">
        <v>592180</v>
      </c>
      <c r="U1019" s="18">
        <v>45327</v>
      </c>
    </row>
    <row r="1020" spans="15:21" x14ac:dyDescent="0.35">
      <c r="O1020" s="18">
        <v>40962</v>
      </c>
      <c r="P1020">
        <v>172.4</v>
      </c>
      <c r="R1020" s="18">
        <v>45328</v>
      </c>
      <c r="S1020">
        <v>3944.6</v>
      </c>
      <c r="T1020">
        <v>470710</v>
      </c>
      <c r="U1020" s="18">
        <v>45328</v>
      </c>
    </row>
    <row r="1021" spans="15:21" x14ac:dyDescent="0.35">
      <c r="O1021" s="18">
        <v>40963</v>
      </c>
      <c r="P1021">
        <v>169.35</v>
      </c>
      <c r="R1021" s="18">
        <v>45329</v>
      </c>
      <c r="S1021">
        <v>3927.65</v>
      </c>
      <c r="T1021">
        <v>416770</v>
      </c>
      <c r="U1021" s="18">
        <v>45329</v>
      </c>
    </row>
    <row r="1022" spans="15:21" x14ac:dyDescent="0.35">
      <c r="O1022" s="18">
        <v>40966</v>
      </c>
      <c r="P1022">
        <v>168.99</v>
      </c>
      <c r="R1022" s="18">
        <v>45330</v>
      </c>
      <c r="S1022">
        <v>3807.3</v>
      </c>
      <c r="T1022">
        <v>404900</v>
      </c>
      <c r="U1022" s="18">
        <v>45330</v>
      </c>
    </row>
    <row r="1023" spans="15:21" x14ac:dyDescent="0.35">
      <c r="O1023" s="18">
        <v>40967</v>
      </c>
      <c r="P1023">
        <v>173.16</v>
      </c>
      <c r="R1023" s="18">
        <v>45331</v>
      </c>
      <c r="S1023">
        <v>3840.95</v>
      </c>
      <c r="T1023">
        <v>396730</v>
      </c>
      <c r="U1023" s="18">
        <v>45331</v>
      </c>
    </row>
    <row r="1024" spans="15:21" x14ac:dyDescent="0.35">
      <c r="O1024" s="18">
        <v>40968</v>
      </c>
      <c r="P1024">
        <v>173.73</v>
      </c>
      <c r="R1024" s="18">
        <v>45334</v>
      </c>
      <c r="S1024">
        <v>3871.85</v>
      </c>
      <c r="T1024">
        <v>237340</v>
      </c>
      <c r="U1024" s="18">
        <v>45334</v>
      </c>
    </row>
    <row r="1025" spans="15:21" x14ac:dyDescent="0.35">
      <c r="O1025" s="18">
        <v>40969</v>
      </c>
      <c r="P1025">
        <v>171.91</v>
      </c>
      <c r="R1025" s="18">
        <v>45335</v>
      </c>
      <c r="S1025">
        <v>3854.2</v>
      </c>
      <c r="T1025">
        <v>633020</v>
      </c>
      <c r="U1025" s="18">
        <v>45335</v>
      </c>
    </row>
    <row r="1026" spans="15:21" x14ac:dyDescent="0.35">
      <c r="O1026" s="18">
        <v>40970</v>
      </c>
      <c r="P1026">
        <v>169.66</v>
      </c>
      <c r="R1026" s="18">
        <v>45336</v>
      </c>
      <c r="S1026">
        <v>3901.55</v>
      </c>
      <c r="T1026">
        <v>919710</v>
      </c>
      <c r="U1026" s="18">
        <v>45336</v>
      </c>
    </row>
    <row r="1027" spans="15:21" x14ac:dyDescent="0.35">
      <c r="O1027" s="18">
        <v>40971</v>
      </c>
      <c r="P1027">
        <v>170.05</v>
      </c>
      <c r="R1027" s="18">
        <v>45337</v>
      </c>
      <c r="S1027">
        <v>3916.55</v>
      </c>
      <c r="T1027">
        <v>405630</v>
      </c>
      <c r="U1027" s="18">
        <v>45337</v>
      </c>
    </row>
    <row r="1028" spans="15:21" x14ac:dyDescent="0.35">
      <c r="O1028" s="18">
        <v>40973</v>
      </c>
      <c r="P1028">
        <v>167.07</v>
      </c>
      <c r="R1028" s="18">
        <v>45338</v>
      </c>
      <c r="S1028">
        <v>3928.65</v>
      </c>
      <c r="T1028">
        <v>634010</v>
      </c>
      <c r="U1028" s="18">
        <v>45338</v>
      </c>
    </row>
    <row r="1029" spans="15:21" x14ac:dyDescent="0.35">
      <c r="O1029" s="18">
        <v>40974</v>
      </c>
      <c r="P1029">
        <v>165.64</v>
      </c>
      <c r="R1029" s="18">
        <v>45341</v>
      </c>
      <c r="S1029">
        <v>3902.85</v>
      </c>
      <c r="T1029">
        <v>267830</v>
      </c>
      <c r="U1029" s="18">
        <v>45341</v>
      </c>
    </row>
    <row r="1030" spans="15:21" x14ac:dyDescent="0.35">
      <c r="O1030" s="18">
        <v>40975</v>
      </c>
      <c r="P1030">
        <v>167.12</v>
      </c>
      <c r="R1030" s="18">
        <v>45342</v>
      </c>
      <c r="S1030">
        <v>3828.1</v>
      </c>
      <c r="T1030">
        <v>1320000</v>
      </c>
      <c r="U1030" s="18">
        <v>45342</v>
      </c>
    </row>
    <row r="1031" spans="15:21" x14ac:dyDescent="0.35">
      <c r="O1031" s="18">
        <v>40977</v>
      </c>
      <c r="P1031">
        <v>173.25</v>
      </c>
      <c r="R1031" s="18">
        <v>45343</v>
      </c>
      <c r="S1031">
        <v>3836.35</v>
      </c>
      <c r="T1031">
        <v>575380</v>
      </c>
      <c r="U1031" s="18">
        <v>45343</v>
      </c>
    </row>
    <row r="1032" spans="15:21" x14ac:dyDescent="0.35">
      <c r="O1032" s="18">
        <v>40980</v>
      </c>
      <c r="P1032">
        <v>171.92</v>
      </c>
      <c r="R1032" s="18">
        <v>45344</v>
      </c>
      <c r="S1032">
        <v>3951.4</v>
      </c>
      <c r="T1032">
        <v>1130000</v>
      </c>
      <c r="U1032" s="18">
        <v>45344</v>
      </c>
    </row>
    <row r="1033" spans="15:21" x14ac:dyDescent="0.35">
      <c r="O1033" s="18">
        <v>40981</v>
      </c>
      <c r="P1033">
        <v>176.43</v>
      </c>
      <c r="R1033" s="18">
        <v>45345</v>
      </c>
      <c r="S1033">
        <v>3927.05</v>
      </c>
      <c r="T1033">
        <v>572000</v>
      </c>
      <c r="U1033" s="18">
        <v>45345</v>
      </c>
    </row>
    <row r="1034" spans="15:21" x14ac:dyDescent="0.35">
      <c r="O1034" s="18">
        <v>40982</v>
      </c>
      <c r="P1034">
        <v>180.32</v>
      </c>
      <c r="R1034" s="18">
        <v>45348</v>
      </c>
      <c r="S1034">
        <v>3952.95</v>
      </c>
      <c r="T1034">
        <v>474470</v>
      </c>
      <c r="U1034" s="18">
        <v>45348</v>
      </c>
    </row>
    <row r="1035" spans="15:21" x14ac:dyDescent="0.35">
      <c r="O1035" s="18">
        <v>40983</v>
      </c>
      <c r="P1035">
        <v>185.59</v>
      </c>
      <c r="R1035" s="18">
        <v>45349</v>
      </c>
      <c r="S1035">
        <v>4002.75</v>
      </c>
      <c r="T1035">
        <v>579400</v>
      </c>
      <c r="U1035" s="18">
        <v>45349</v>
      </c>
    </row>
    <row r="1036" spans="15:21" x14ac:dyDescent="0.35">
      <c r="O1036" s="18">
        <v>40984</v>
      </c>
      <c r="P1036">
        <v>190.17</v>
      </c>
      <c r="R1036" s="18">
        <v>45350</v>
      </c>
      <c r="S1036">
        <v>3863.75</v>
      </c>
      <c r="T1036">
        <v>658950</v>
      </c>
      <c r="U1036" s="18">
        <v>45350</v>
      </c>
    </row>
    <row r="1037" spans="15:21" x14ac:dyDescent="0.35">
      <c r="O1037" s="18">
        <v>40987</v>
      </c>
      <c r="P1037">
        <v>191.97</v>
      </c>
      <c r="R1037" s="18">
        <v>45351</v>
      </c>
      <c r="S1037">
        <v>3792.4</v>
      </c>
      <c r="T1037">
        <v>1020000</v>
      </c>
      <c r="U1037" s="18">
        <v>45351</v>
      </c>
    </row>
    <row r="1038" spans="15:21" x14ac:dyDescent="0.35">
      <c r="O1038" s="18">
        <v>40988</v>
      </c>
      <c r="P1038">
        <v>192.75</v>
      </c>
      <c r="R1038" s="18">
        <v>45352</v>
      </c>
      <c r="S1038">
        <v>3843.55</v>
      </c>
      <c r="T1038">
        <v>665950</v>
      </c>
      <c r="U1038" s="18">
        <v>45352</v>
      </c>
    </row>
    <row r="1039" spans="15:21" x14ac:dyDescent="0.35">
      <c r="O1039" s="18">
        <v>40989</v>
      </c>
      <c r="P1039">
        <v>191.99</v>
      </c>
      <c r="R1039" s="18">
        <v>45353</v>
      </c>
      <c r="S1039">
        <v>3860.35</v>
      </c>
      <c r="T1039">
        <v>17700</v>
      </c>
      <c r="U1039" s="18">
        <v>45353</v>
      </c>
    </row>
    <row r="1040" spans="15:21" x14ac:dyDescent="0.35">
      <c r="O1040" s="18">
        <v>40990</v>
      </c>
      <c r="P1040">
        <v>191.5</v>
      </c>
      <c r="R1040" s="18">
        <v>45355</v>
      </c>
      <c r="S1040">
        <v>3751.45</v>
      </c>
      <c r="T1040">
        <v>641250</v>
      </c>
      <c r="U1040" s="18">
        <v>45355</v>
      </c>
    </row>
    <row r="1041" spans="15:21" x14ac:dyDescent="0.35">
      <c r="O1041" s="18">
        <v>40991</v>
      </c>
      <c r="P1041">
        <v>191.04</v>
      </c>
      <c r="R1041" s="18">
        <v>45356</v>
      </c>
      <c r="S1041">
        <v>3791.9</v>
      </c>
      <c r="T1041">
        <v>591290</v>
      </c>
      <c r="U1041" s="18">
        <v>45356</v>
      </c>
    </row>
    <row r="1042" spans="15:21" x14ac:dyDescent="0.35">
      <c r="O1042" s="18">
        <v>40994</v>
      </c>
      <c r="P1042">
        <v>189.56</v>
      </c>
      <c r="R1042" s="18">
        <v>45357</v>
      </c>
      <c r="S1042">
        <v>3793.2</v>
      </c>
      <c r="T1042">
        <v>315400</v>
      </c>
      <c r="U1042" s="18">
        <v>45357</v>
      </c>
    </row>
    <row r="1043" spans="15:21" x14ac:dyDescent="0.35">
      <c r="O1043" s="18">
        <v>40995</v>
      </c>
      <c r="P1043">
        <v>189.4</v>
      </c>
      <c r="R1043" s="18">
        <v>45358</v>
      </c>
      <c r="S1043">
        <v>3785.25</v>
      </c>
      <c r="T1043">
        <v>734240</v>
      </c>
      <c r="U1043" s="18">
        <v>45358</v>
      </c>
    </row>
    <row r="1044" spans="15:21" x14ac:dyDescent="0.35">
      <c r="O1044" s="18">
        <v>40996</v>
      </c>
      <c r="P1044">
        <v>186.03</v>
      </c>
      <c r="R1044" s="18">
        <v>45362</v>
      </c>
      <c r="S1044">
        <v>3783.9</v>
      </c>
      <c r="T1044">
        <v>373340</v>
      </c>
      <c r="U1044" s="18">
        <v>45362</v>
      </c>
    </row>
    <row r="1045" spans="15:21" x14ac:dyDescent="0.35">
      <c r="O1045" s="18">
        <v>40997</v>
      </c>
      <c r="P1045">
        <v>192.24</v>
      </c>
      <c r="R1045" s="18">
        <v>45363</v>
      </c>
      <c r="S1045">
        <v>3810.75</v>
      </c>
      <c r="T1045">
        <v>528040</v>
      </c>
      <c r="U1045" s="18">
        <v>45363</v>
      </c>
    </row>
    <row r="1046" spans="15:21" x14ac:dyDescent="0.35">
      <c r="O1046" s="18">
        <v>40998</v>
      </c>
      <c r="P1046">
        <v>199.34</v>
      </c>
      <c r="R1046" s="18">
        <v>45364</v>
      </c>
      <c r="S1046">
        <v>3735.55</v>
      </c>
      <c r="T1046">
        <v>428320</v>
      </c>
      <c r="U1046" s="18">
        <v>45364</v>
      </c>
    </row>
    <row r="1047" spans="15:21" x14ac:dyDescent="0.35">
      <c r="O1047" s="18">
        <v>41001</v>
      </c>
      <c r="P1047">
        <v>210.51</v>
      </c>
      <c r="R1047" s="18">
        <v>45365</v>
      </c>
      <c r="S1047">
        <v>3772.65</v>
      </c>
      <c r="T1047">
        <v>720950</v>
      </c>
      <c r="U1047" s="18">
        <v>45365</v>
      </c>
    </row>
    <row r="1048" spans="15:21" x14ac:dyDescent="0.35">
      <c r="O1048" s="18">
        <v>41002</v>
      </c>
      <c r="P1048">
        <v>212.91</v>
      </c>
      <c r="R1048" s="18">
        <v>45366</v>
      </c>
      <c r="S1048">
        <v>3745.65</v>
      </c>
      <c r="T1048">
        <v>487750</v>
      </c>
      <c r="U1048" s="18">
        <v>45366</v>
      </c>
    </row>
    <row r="1049" spans="15:21" x14ac:dyDescent="0.35">
      <c r="O1049" s="18">
        <v>41003</v>
      </c>
      <c r="P1049">
        <v>219.25</v>
      </c>
      <c r="R1049" s="18">
        <v>45369</v>
      </c>
      <c r="S1049">
        <v>3699.7</v>
      </c>
      <c r="T1049">
        <v>533170</v>
      </c>
      <c r="U1049" s="18">
        <v>45369</v>
      </c>
    </row>
    <row r="1050" spans="15:21" x14ac:dyDescent="0.35">
      <c r="O1050" s="18">
        <v>41008</v>
      </c>
      <c r="P1050">
        <v>213.92</v>
      </c>
      <c r="R1050" s="18">
        <v>45370</v>
      </c>
      <c r="S1050">
        <v>3716.85</v>
      </c>
      <c r="T1050">
        <v>559400</v>
      </c>
      <c r="U1050" s="18">
        <v>45370</v>
      </c>
    </row>
    <row r="1051" spans="15:21" x14ac:dyDescent="0.35">
      <c r="O1051" s="18">
        <v>41009</v>
      </c>
      <c r="P1051">
        <v>216.96</v>
      </c>
      <c r="R1051" s="18">
        <v>45371</v>
      </c>
      <c r="S1051">
        <v>3873.6</v>
      </c>
      <c r="T1051">
        <v>3050000</v>
      </c>
      <c r="U1051" s="18">
        <v>45371</v>
      </c>
    </row>
    <row r="1052" spans="15:21" x14ac:dyDescent="0.35">
      <c r="O1052" s="18">
        <v>41010</v>
      </c>
      <c r="P1052">
        <v>212.53</v>
      </c>
      <c r="R1052" s="18">
        <v>45372</v>
      </c>
      <c r="S1052">
        <v>3918.95</v>
      </c>
      <c r="T1052">
        <v>838930</v>
      </c>
      <c r="U1052" s="18">
        <v>45372</v>
      </c>
    </row>
    <row r="1053" spans="15:21" x14ac:dyDescent="0.35">
      <c r="O1053" s="18">
        <v>41011</v>
      </c>
      <c r="P1053">
        <v>219.77</v>
      </c>
      <c r="R1053" s="18">
        <v>45373</v>
      </c>
      <c r="S1053">
        <v>3988.4</v>
      </c>
      <c r="T1053">
        <v>1030000</v>
      </c>
      <c r="U1053" s="18">
        <v>45373</v>
      </c>
    </row>
    <row r="1054" spans="15:21" x14ac:dyDescent="0.35">
      <c r="O1054" s="18">
        <v>41012</v>
      </c>
      <c r="P1054">
        <v>217.97</v>
      </c>
      <c r="R1054" s="18">
        <v>45377</v>
      </c>
      <c r="S1054">
        <v>3911.1</v>
      </c>
      <c r="T1054">
        <v>772160</v>
      </c>
      <c r="U1054" s="18">
        <v>45377</v>
      </c>
    </row>
    <row r="1055" spans="15:21" x14ac:dyDescent="0.35">
      <c r="O1055" s="18">
        <v>41015</v>
      </c>
      <c r="P1055">
        <v>216.96</v>
      </c>
      <c r="R1055" s="18">
        <v>45378</v>
      </c>
      <c r="S1055">
        <v>3913.8</v>
      </c>
      <c r="T1055">
        <v>510950</v>
      </c>
      <c r="U1055" s="18">
        <v>45378</v>
      </c>
    </row>
    <row r="1056" spans="15:21" x14ac:dyDescent="0.35">
      <c r="O1056" s="18">
        <v>41016</v>
      </c>
      <c r="P1056">
        <v>219.53</v>
      </c>
      <c r="R1056" s="18">
        <v>45379</v>
      </c>
      <c r="S1056">
        <v>4019.3</v>
      </c>
      <c r="T1056">
        <v>1310000</v>
      </c>
      <c r="U1056" s="18">
        <v>45379</v>
      </c>
    </row>
    <row r="1057" spans="15:21" x14ac:dyDescent="0.35">
      <c r="O1057" s="18">
        <v>41017</v>
      </c>
      <c r="P1057">
        <v>227.59</v>
      </c>
      <c r="R1057" s="18">
        <v>45383</v>
      </c>
      <c r="S1057">
        <v>3946.65</v>
      </c>
      <c r="T1057">
        <v>532520</v>
      </c>
      <c r="U1057" s="18">
        <v>45383</v>
      </c>
    </row>
    <row r="1058" spans="15:21" x14ac:dyDescent="0.35">
      <c r="O1058" s="18">
        <v>41018</v>
      </c>
      <c r="P1058">
        <v>232.03</v>
      </c>
      <c r="R1058" s="18">
        <v>45384</v>
      </c>
      <c r="S1058">
        <v>3922.2</v>
      </c>
      <c r="T1058">
        <v>485050</v>
      </c>
      <c r="U1058" s="18">
        <v>45384</v>
      </c>
    </row>
    <row r="1059" spans="15:21" x14ac:dyDescent="0.35">
      <c r="O1059" s="18">
        <v>41019</v>
      </c>
      <c r="P1059">
        <v>229.96</v>
      </c>
      <c r="R1059" s="18">
        <v>45385</v>
      </c>
      <c r="S1059">
        <v>3934.2</v>
      </c>
      <c r="T1059">
        <v>392460</v>
      </c>
      <c r="U1059" s="18">
        <v>45385</v>
      </c>
    </row>
    <row r="1060" spans="15:21" x14ac:dyDescent="0.35">
      <c r="O1060" s="18">
        <v>41022</v>
      </c>
      <c r="P1060">
        <v>224.82</v>
      </c>
      <c r="R1060" s="18">
        <v>45386</v>
      </c>
      <c r="S1060">
        <v>4014.3</v>
      </c>
      <c r="T1060">
        <v>932480</v>
      </c>
      <c r="U1060" s="18">
        <v>45386</v>
      </c>
    </row>
    <row r="1061" spans="15:21" x14ac:dyDescent="0.35">
      <c r="O1061" s="18">
        <v>41023</v>
      </c>
      <c r="P1061">
        <v>219.94</v>
      </c>
      <c r="R1061" s="18">
        <v>45387</v>
      </c>
      <c r="S1061">
        <v>4031.25</v>
      </c>
      <c r="T1061">
        <v>537210</v>
      </c>
      <c r="U1061" s="18">
        <v>45387</v>
      </c>
    </row>
    <row r="1062" spans="15:21" x14ac:dyDescent="0.35">
      <c r="O1062" s="18">
        <v>41024</v>
      </c>
      <c r="P1062">
        <v>217.93</v>
      </c>
      <c r="R1062" s="18">
        <v>45390</v>
      </c>
      <c r="S1062">
        <v>4205.75</v>
      </c>
      <c r="T1062">
        <v>2170000</v>
      </c>
      <c r="U1062" s="18">
        <v>45390</v>
      </c>
    </row>
    <row r="1063" spans="15:21" x14ac:dyDescent="0.35">
      <c r="O1063" s="18">
        <v>41025</v>
      </c>
      <c r="P1063">
        <v>222.1</v>
      </c>
      <c r="R1063" s="18">
        <v>45391</v>
      </c>
      <c r="S1063">
        <v>4248.6499999999996</v>
      </c>
      <c r="T1063">
        <v>970660</v>
      </c>
      <c r="U1063" s="18">
        <v>45391</v>
      </c>
    </row>
    <row r="1064" spans="15:21" x14ac:dyDescent="0.35">
      <c r="O1064" s="18">
        <v>41026</v>
      </c>
      <c r="P1064">
        <v>227.38</v>
      </c>
      <c r="R1064" s="18">
        <v>45392</v>
      </c>
      <c r="S1064">
        <v>4315.1000000000004</v>
      </c>
      <c r="T1064">
        <v>1020000</v>
      </c>
      <c r="U1064" s="18">
        <v>45392</v>
      </c>
    </row>
    <row r="1065" spans="15:21" x14ac:dyDescent="0.35">
      <c r="O1065" s="18">
        <v>41027</v>
      </c>
      <c r="P1065">
        <v>227.4</v>
      </c>
      <c r="R1065" s="18">
        <v>45394</v>
      </c>
      <c r="S1065">
        <v>4302.25</v>
      </c>
      <c r="T1065">
        <v>1130000</v>
      </c>
      <c r="U1065" s="18">
        <v>45394</v>
      </c>
    </row>
    <row r="1066" spans="15:21" x14ac:dyDescent="0.35">
      <c r="O1066" s="18">
        <v>41029</v>
      </c>
      <c r="P1066">
        <v>228.4</v>
      </c>
      <c r="R1066" s="18">
        <v>45397</v>
      </c>
      <c r="S1066">
        <v>4219.3500000000004</v>
      </c>
      <c r="T1066">
        <v>860130</v>
      </c>
      <c r="U1066" s="18">
        <v>45397</v>
      </c>
    </row>
    <row r="1067" spans="15:21" x14ac:dyDescent="0.35">
      <c r="O1067" s="18">
        <v>41031</v>
      </c>
      <c r="P1067">
        <v>226.61</v>
      </c>
      <c r="R1067" s="18">
        <v>45398</v>
      </c>
      <c r="S1067">
        <v>4355.7</v>
      </c>
      <c r="T1067">
        <v>1470000</v>
      </c>
      <c r="U1067" s="18">
        <v>45398</v>
      </c>
    </row>
    <row r="1068" spans="15:21" x14ac:dyDescent="0.35">
      <c r="O1068" s="18">
        <v>41032</v>
      </c>
      <c r="P1068">
        <v>223.5</v>
      </c>
      <c r="R1068" s="18">
        <v>45400</v>
      </c>
      <c r="S1068">
        <v>4351.2</v>
      </c>
      <c r="T1068">
        <v>1320000</v>
      </c>
      <c r="U1068" s="18">
        <v>45400</v>
      </c>
    </row>
    <row r="1069" spans="15:21" x14ac:dyDescent="0.35">
      <c r="O1069" s="18">
        <v>41033</v>
      </c>
      <c r="P1069">
        <v>216.21</v>
      </c>
      <c r="R1069" s="18">
        <v>45401</v>
      </c>
      <c r="S1069">
        <v>4344.1499999999996</v>
      </c>
      <c r="T1069">
        <v>719000</v>
      </c>
      <c r="U1069" s="18">
        <v>45401</v>
      </c>
    </row>
    <row r="1070" spans="15:21" x14ac:dyDescent="0.35">
      <c r="O1070" s="18">
        <v>41036</v>
      </c>
      <c r="P1070">
        <v>218.97</v>
      </c>
      <c r="R1070" s="18">
        <v>45404</v>
      </c>
      <c r="S1070">
        <v>4466.95</v>
      </c>
      <c r="T1070">
        <v>781220</v>
      </c>
      <c r="U1070" s="18">
        <v>45404</v>
      </c>
    </row>
    <row r="1071" spans="15:21" x14ac:dyDescent="0.35">
      <c r="O1071" s="18">
        <v>41037</v>
      </c>
      <c r="P1071">
        <v>216.8</v>
      </c>
      <c r="R1071" s="18">
        <v>45405</v>
      </c>
      <c r="S1071">
        <v>4520.1499999999996</v>
      </c>
      <c r="T1071">
        <v>740620</v>
      </c>
      <c r="U1071" s="18">
        <v>45405</v>
      </c>
    </row>
    <row r="1072" spans="15:21" x14ac:dyDescent="0.35">
      <c r="O1072" s="18">
        <v>41038</v>
      </c>
      <c r="P1072">
        <v>212.91</v>
      </c>
      <c r="R1072" s="18">
        <v>45406</v>
      </c>
      <c r="S1072">
        <v>4530.7</v>
      </c>
      <c r="T1072">
        <v>919640</v>
      </c>
      <c r="U1072" s="18">
        <v>45406</v>
      </c>
    </row>
    <row r="1073" spans="15:21" x14ac:dyDescent="0.35">
      <c r="O1073" s="18">
        <v>41039</v>
      </c>
      <c r="P1073">
        <v>219.83</v>
      </c>
      <c r="R1073" s="18">
        <v>45407</v>
      </c>
      <c r="S1073">
        <v>4615.2</v>
      </c>
      <c r="T1073">
        <v>1260000</v>
      </c>
      <c r="U1073" s="18">
        <v>45407</v>
      </c>
    </row>
    <row r="1074" spans="15:21" x14ac:dyDescent="0.35">
      <c r="O1074" s="18">
        <v>41040</v>
      </c>
      <c r="P1074">
        <v>216.81</v>
      </c>
      <c r="R1074" s="18">
        <v>45408</v>
      </c>
      <c r="S1074">
        <v>4601</v>
      </c>
      <c r="T1074">
        <v>364190</v>
      </c>
      <c r="U1074" s="18">
        <v>45408</v>
      </c>
    </row>
    <row r="1075" spans="15:21" x14ac:dyDescent="0.35">
      <c r="O1075" s="18">
        <v>41043</v>
      </c>
      <c r="P1075">
        <v>207.22</v>
      </c>
      <c r="R1075" s="18">
        <v>45411</v>
      </c>
      <c r="S1075">
        <v>4571.8500000000004</v>
      </c>
      <c r="T1075">
        <v>465910</v>
      </c>
      <c r="U1075" s="18">
        <v>45411</v>
      </c>
    </row>
    <row r="1076" spans="15:21" x14ac:dyDescent="0.35">
      <c r="O1076" s="18">
        <v>41044</v>
      </c>
      <c r="P1076">
        <v>200.64</v>
      </c>
      <c r="R1076" s="18">
        <v>45412</v>
      </c>
      <c r="S1076">
        <v>4597.3999999999996</v>
      </c>
      <c r="T1076">
        <v>663750</v>
      </c>
      <c r="U1076" s="18">
        <v>45412</v>
      </c>
    </row>
    <row r="1077" spans="15:21" x14ac:dyDescent="0.35">
      <c r="O1077" s="18">
        <v>41045</v>
      </c>
      <c r="P1077">
        <v>202.66</v>
      </c>
      <c r="R1077" s="18">
        <v>45414</v>
      </c>
      <c r="S1077">
        <v>4602.3999999999996</v>
      </c>
      <c r="T1077">
        <v>908140</v>
      </c>
      <c r="U1077" s="18">
        <v>45414</v>
      </c>
    </row>
    <row r="1078" spans="15:21" x14ac:dyDescent="0.35">
      <c r="O1078" s="18">
        <v>41046</v>
      </c>
      <c r="P1078">
        <v>207.31</v>
      </c>
      <c r="R1078" s="18">
        <v>45415</v>
      </c>
      <c r="S1078">
        <v>4599.25</v>
      </c>
      <c r="T1078">
        <v>562480</v>
      </c>
      <c r="U1078" s="18">
        <v>45415</v>
      </c>
    </row>
    <row r="1079" spans="15:21" x14ac:dyDescent="0.35">
      <c r="O1079" s="18">
        <v>41047</v>
      </c>
      <c r="P1079">
        <v>210.75</v>
      </c>
      <c r="R1079" s="18">
        <v>45418</v>
      </c>
      <c r="S1079">
        <v>4599</v>
      </c>
      <c r="T1079">
        <v>716540</v>
      </c>
      <c r="U1079" s="18">
        <v>45418</v>
      </c>
    </row>
    <row r="1080" spans="15:21" x14ac:dyDescent="0.35">
      <c r="O1080" s="18">
        <v>41050</v>
      </c>
      <c r="P1080">
        <v>214.91</v>
      </c>
      <c r="R1080" s="18">
        <v>45419</v>
      </c>
      <c r="S1080">
        <v>4622.3999999999996</v>
      </c>
      <c r="T1080">
        <v>505030</v>
      </c>
      <c r="U1080" s="18">
        <v>45419</v>
      </c>
    </row>
    <row r="1081" spans="15:21" x14ac:dyDescent="0.35">
      <c r="O1081" s="18">
        <v>41051</v>
      </c>
      <c r="P1081">
        <v>218.85</v>
      </c>
      <c r="R1081" s="18">
        <v>45420</v>
      </c>
      <c r="S1081">
        <v>4600.1000000000004</v>
      </c>
      <c r="T1081">
        <v>613160</v>
      </c>
      <c r="U1081" s="18">
        <v>45420</v>
      </c>
    </row>
    <row r="1082" spans="15:21" x14ac:dyDescent="0.35">
      <c r="O1082" s="18">
        <v>41052</v>
      </c>
      <c r="P1082">
        <v>220.47</v>
      </c>
      <c r="R1082" s="18">
        <v>45421</v>
      </c>
      <c r="S1082">
        <v>4568.05</v>
      </c>
      <c r="T1082">
        <v>980280</v>
      </c>
      <c r="U1082" s="18">
        <v>45421</v>
      </c>
    </row>
    <row r="1083" spans="15:21" x14ac:dyDescent="0.35">
      <c r="O1083" s="18">
        <v>41053</v>
      </c>
      <c r="P1083">
        <v>221.97</v>
      </c>
      <c r="R1083" s="18">
        <v>45422</v>
      </c>
      <c r="S1083">
        <v>4657.8500000000004</v>
      </c>
      <c r="T1083">
        <v>471150</v>
      </c>
      <c r="U1083" s="18">
        <v>45422</v>
      </c>
    </row>
    <row r="1084" spans="15:21" x14ac:dyDescent="0.35">
      <c r="O1084" s="18">
        <v>41054</v>
      </c>
      <c r="P1084">
        <v>221.85</v>
      </c>
      <c r="R1084" s="18">
        <v>45425</v>
      </c>
      <c r="S1084">
        <v>4657.45</v>
      </c>
      <c r="T1084">
        <v>1740000</v>
      </c>
      <c r="U1084" s="18">
        <v>45425</v>
      </c>
    </row>
    <row r="1085" spans="15:21" x14ac:dyDescent="0.35">
      <c r="O1085" s="18">
        <v>41057</v>
      </c>
      <c r="P1085">
        <v>223.2</v>
      </c>
      <c r="R1085" s="18">
        <v>45426</v>
      </c>
      <c r="S1085">
        <v>4730.55</v>
      </c>
      <c r="T1085">
        <v>870040</v>
      </c>
      <c r="U1085" s="18">
        <v>45426</v>
      </c>
    </row>
    <row r="1086" spans="15:21" x14ac:dyDescent="0.35">
      <c r="O1086" s="18">
        <v>41058</v>
      </c>
      <c r="P1086">
        <v>226.9</v>
      </c>
      <c r="R1086" s="18">
        <v>45427</v>
      </c>
      <c r="S1086">
        <v>4649.3500000000004</v>
      </c>
      <c r="T1086">
        <v>1080000</v>
      </c>
      <c r="U1086" s="18">
        <v>45427</v>
      </c>
    </row>
    <row r="1087" spans="15:21" x14ac:dyDescent="0.35">
      <c r="O1087" s="18">
        <v>41059</v>
      </c>
      <c r="P1087">
        <v>224.71</v>
      </c>
      <c r="R1087" s="18">
        <v>45428</v>
      </c>
      <c r="S1087">
        <v>4681.75</v>
      </c>
      <c r="T1087">
        <v>845650</v>
      </c>
      <c r="U1087" s="18">
        <v>45428</v>
      </c>
    </row>
    <row r="1088" spans="15:21" x14ac:dyDescent="0.35">
      <c r="O1088" s="18">
        <v>41060</v>
      </c>
      <c r="P1088">
        <v>229.44</v>
      </c>
      <c r="R1088" s="18">
        <v>45429</v>
      </c>
      <c r="S1088">
        <v>4693.8999999999996</v>
      </c>
      <c r="T1088">
        <v>287570</v>
      </c>
      <c r="U1088" s="18">
        <v>45429</v>
      </c>
    </row>
    <row r="1089" spans="15:21" x14ac:dyDescent="0.35">
      <c r="O1089" s="18">
        <v>41061</v>
      </c>
      <c r="P1089">
        <v>225.17</v>
      </c>
      <c r="R1089" s="18">
        <v>45430</v>
      </c>
      <c r="S1089">
        <v>4684.3999999999996</v>
      </c>
      <c r="T1089">
        <v>23600</v>
      </c>
      <c r="U1089" s="18">
        <v>45430</v>
      </c>
    </row>
    <row r="1090" spans="15:21" x14ac:dyDescent="0.35">
      <c r="O1090" s="18">
        <v>41064</v>
      </c>
      <c r="P1090">
        <v>214.6</v>
      </c>
      <c r="R1090" s="18">
        <v>45433</v>
      </c>
      <c r="S1090">
        <v>4672.95</v>
      </c>
      <c r="T1090">
        <v>500739.99999999994</v>
      </c>
      <c r="U1090" s="18">
        <v>45433</v>
      </c>
    </row>
    <row r="1091" spans="15:21" x14ac:dyDescent="0.35">
      <c r="O1091" s="18">
        <v>41065</v>
      </c>
      <c r="P1091">
        <v>214.12</v>
      </c>
      <c r="R1091" s="18">
        <v>45434</v>
      </c>
      <c r="S1091">
        <v>4695.45</v>
      </c>
      <c r="T1091">
        <v>201190</v>
      </c>
      <c r="U1091" s="18">
        <v>45434</v>
      </c>
    </row>
    <row r="1092" spans="15:21" x14ac:dyDescent="0.35">
      <c r="O1092" s="18">
        <v>41066</v>
      </c>
      <c r="P1092">
        <v>213.93</v>
      </c>
      <c r="R1092" s="18">
        <v>45435</v>
      </c>
      <c r="S1092">
        <v>4852.8500000000004</v>
      </c>
      <c r="T1092">
        <v>922930</v>
      </c>
      <c r="U1092" s="18">
        <v>45435</v>
      </c>
    </row>
    <row r="1093" spans="15:21" x14ac:dyDescent="0.35">
      <c r="O1093" s="18">
        <v>41067</v>
      </c>
      <c r="P1093">
        <v>216.82</v>
      </c>
      <c r="R1093" s="18">
        <v>45436</v>
      </c>
      <c r="S1093">
        <v>4880.95</v>
      </c>
      <c r="T1093">
        <v>545730</v>
      </c>
      <c r="U1093" s="18">
        <v>45436</v>
      </c>
    </row>
    <row r="1094" spans="15:21" x14ac:dyDescent="0.35">
      <c r="O1094" s="18">
        <v>41068</v>
      </c>
      <c r="P1094">
        <v>217.26</v>
      </c>
      <c r="R1094" s="18">
        <v>45439</v>
      </c>
      <c r="S1094">
        <v>4793.3</v>
      </c>
      <c r="T1094">
        <v>655640</v>
      </c>
      <c r="U1094" s="18">
        <v>45439</v>
      </c>
    </row>
    <row r="1095" spans="15:21" x14ac:dyDescent="0.35">
      <c r="O1095" s="18">
        <v>41071</v>
      </c>
      <c r="P1095">
        <v>214.94</v>
      </c>
      <c r="R1095" s="18">
        <v>45440</v>
      </c>
      <c r="S1095">
        <v>4770.95</v>
      </c>
      <c r="T1095">
        <v>333510</v>
      </c>
      <c r="U1095" s="18">
        <v>45440</v>
      </c>
    </row>
    <row r="1096" spans="15:21" x14ac:dyDescent="0.35">
      <c r="O1096" s="18">
        <v>41072</v>
      </c>
      <c r="P1096">
        <v>212.93</v>
      </c>
      <c r="R1096" s="18">
        <v>45441</v>
      </c>
      <c r="S1096">
        <v>4745.3999999999996</v>
      </c>
      <c r="T1096">
        <v>548870</v>
      </c>
      <c r="U1096" s="18">
        <v>45441</v>
      </c>
    </row>
    <row r="1097" spans="15:21" x14ac:dyDescent="0.35">
      <c r="O1097" s="18">
        <v>41073</v>
      </c>
      <c r="P1097">
        <v>208.62</v>
      </c>
      <c r="R1097" s="18">
        <v>45442</v>
      </c>
      <c r="S1097">
        <v>4742.95</v>
      </c>
      <c r="T1097">
        <v>431390</v>
      </c>
      <c r="U1097" s="18">
        <v>45442</v>
      </c>
    </row>
    <row r="1098" spans="15:21" x14ac:dyDescent="0.35">
      <c r="O1098" s="18">
        <v>41074</v>
      </c>
      <c r="P1098">
        <v>205.53</v>
      </c>
      <c r="R1098" s="18">
        <v>45443</v>
      </c>
      <c r="S1098">
        <v>4733.45</v>
      </c>
      <c r="T1098">
        <v>1140000</v>
      </c>
      <c r="U1098" s="18">
        <v>45443</v>
      </c>
    </row>
    <row r="1099" spans="15:21" x14ac:dyDescent="0.35">
      <c r="O1099" s="18">
        <v>41075</v>
      </c>
      <c r="P1099">
        <v>205.65</v>
      </c>
      <c r="R1099" s="18">
        <v>45446</v>
      </c>
      <c r="S1099">
        <v>4670.8500000000004</v>
      </c>
      <c r="T1099">
        <v>1070000</v>
      </c>
      <c r="U1099" s="18">
        <v>45446</v>
      </c>
    </row>
    <row r="1100" spans="15:21" x14ac:dyDescent="0.35">
      <c r="O1100" s="18">
        <v>41078</v>
      </c>
      <c r="P1100">
        <v>199</v>
      </c>
      <c r="R1100" s="18">
        <v>45447</v>
      </c>
      <c r="S1100">
        <v>4495.3999999999996</v>
      </c>
      <c r="T1100">
        <v>920930</v>
      </c>
      <c r="U1100" s="18">
        <v>45447</v>
      </c>
    </row>
    <row r="1101" spans="15:21" x14ac:dyDescent="0.35">
      <c r="O1101" s="18">
        <v>41079</v>
      </c>
      <c r="P1101">
        <v>199.91</v>
      </c>
      <c r="R1101" s="18">
        <v>45448</v>
      </c>
      <c r="S1101">
        <v>4579</v>
      </c>
      <c r="T1101">
        <v>468060</v>
      </c>
      <c r="U1101" s="18">
        <v>45448</v>
      </c>
    </row>
    <row r="1102" spans="15:21" x14ac:dyDescent="0.35">
      <c r="O1102" s="18">
        <v>41080</v>
      </c>
      <c r="P1102">
        <v>199.34</v>
      </c>
      <c r="R1102" s="18">
        <v>45449</v>
      </c>
      <c r="S1102">
        <v>4719.75</v>
      </c>
      <c r="T1102">
        <v>748920</v>
      </c>
      <c r="U1102" s="18">
        <v>45449</v>
      </c>
    </row>
    <row r="1103" spans="15:21" x14ac:dyDescent="0.35">
      <c r="O1103" s="18">
        <v>41081</v>
      </c>
      <c r="P1103">
        <v>199.13</v>
      </c>
      <c r="R1103" s="18">
        <v>45450</v>
      </c>
      <c r="S1103">
        <v>4762</v>
      </c>
      <c r="T1103">
        <v>419420</v>
      </c>
      <c r="U1103" s="18">
        <v>45450</v>
      </c>
    </row>
    <row r="1104" spans="15:21" x14ac:dyDescent="0.35">
      <c r="O1104" s="18">
        <v>41082</v>
      </c>
      <c r="P1104">
        <v>200.07</v>
      </c>
      <c r="R1104" s="18">
        <v>45453</v>
      </c>
      <c r="S1104">
        <v>4782.75</v>
      </c>
      <c r="T1104">
        <v>301650</v>
      </c>
      <c r="U1104" s="18">
        <v>45453</v>
      </c>
    </row>
    <row r="1105" spans="15:21" x14ac:dyDescent="0.35">
      <c r="O1105" s="18">
        <v>41085</v>
      </c>
      <c r="P1105">
        <v>200.5</v>
      </c>
      <c r="R1105" s="18">
        <v>45454</v>
      </c>
      <c r="S1105">
        <v>4758.6499999999996</v>
      </c>
      <c r="T1105">
        <v>733970</v>
      </c>
      <c r="U1105" s="18">
        <v>45454</v>
      </c>
    </row>
    <row r="1106" spans="15:21" x14ac:dyDescent="0.35">
      <c r="O1106" s="18">
        <v>41086</v>
      </c>
      <c r="P1106">
        <v>199.15</v>
      </c>
      <c r="R1106" s="18">
        <v>45455</v>
      </c>
      <c r="S1106">
        <v>4850.6499999999996</v>
      </c>
      <c r="T1106">
        <v>523150</v>
      </c>
      <c r="U1106" s="18">
        <v>45455</v>
      </c>
    </row>
    <row r="1107" spans="15:21" x14ac:dyDescent="0.35">
      <c r="O1107" s="18">
        <v>41087</v>
      </c>
      <c r="P1107">
        <v>200.04</v>
      </c>
      <c r="R1107" s="18">
        <v>45456</v>
      </c>
      <c r="S1107">
        <v>4801.5</v>
      </c>
      <c r="T1107">
        <v>840780</v>
      </c>
      <c r="U1107" s="18">
        <v>45456</v>
      </c>
    </row>
    <row r="1108" spans="15:21" x14ac:dyDescent="0.35">
      <c r="O1108" s="18">
        <v>41088</v>
      </c>
      <c r="P1108">
        <v>196.45</v>
      </c>
      <c r="R1108" s="18">
        <v>45457</v>
      </c>
      <c r="S1108">
        <v>4935.1000000000004</v>
      </c>
      <c r="T1108">
        <v>549130</v>
      </c>
      <c r="U1108" s="18">
        <v>45457</v>
      </c>
    </row>
    <row r="1109" spans="15:21" x14ac:dyDescent="0.35">
      <c r="O1109" s="18">
        <v>41089</v>
      </c>
      <c r="P1109">
        <v>199.99</v>
      </c>
      <c r="R1109" s="18">
        <v>45461</v>
      </c>
      <c r="S1109">
        <v>4936.1000000000004</v>
      </c>
      <c r="T1109">
        <v>706640</v>
      </c>
      <c r="U1109" s="18">
        <v>45461</v>
      </c>
    </row>
    <row r="1110" spans="15:21" x14ac:dyDescent="0.35">
      <c r="O1110" s="18">
        <v>41092</v>
      </c>
      <c r="P1110">
        <v>198.53</v>
      </c>
      <c r="R1110" s="18">
        <v>45462</v>
      </c>
      <c r="S1110">
        <v>4880.75</v>
      </c>
      <c r="T1110">
        <v>652620</v>
      </c>
      <c r="U1110" s="18">
        <v>45462</v>
      </c>
    </row>
    <row r="1111" spans="15:21" x14ac:dyDescent="0.35">
      <c r="O1111" s="18">
        <v>41093</v>
      </c>
      <c r="P1111">
        <v>194.38</v>
      </c>
      <c r="R1111" s="18">
        <v>45463</v>
      </c>
      <c r="S1111">
        <v>4876.8999999999996</v>
      </c>
      <c r="T1111">
        <v>637360</v>
      </c>
      <c r="U1111" s="18">
        <v>45463</v>
      </c>
    </row>
    <row r="1112" spans="15:21" x14ac:dyDescent="0.35">
      <c r="O1112" s="18">
        <v>41094</v>
      </c>
      <c r="P1112">
        <v>195.08</v>
      </c>
      <c r="R1112" s="18">
        <v>45464</v>
      </c>
      <c r="S1112">
        <v>4845.5</v>
      </c>
      <c r="T1112">
        <v>414680</v>
      </c>
      <c r="U1112" s="18">
        <v>45464</v>
      </c>
    </row>
    <row r="1113" spans="15:21" x14ac:dyDescent="0.35">
      <c r="O1113" s="18">
        <v>41095</v>
      </c>
      <c r="P1113">
        <v>198.61</v>
      </c>
      <c r="R1113" s="18">
        <v>45467</v>
      </c>
      <c r="S1113">
        <v>4870.8999999999996</v>
      </c>
      <c r="T1113">
        <v>302470</v>
      </c>
      <c r="U1113" s="18">
        <v>45467</v>
      </c>
    </row>
    <row r="1114" spans="15:21" x14ac:dyDescent="0.35">
      <c r="O1114" s="18">
        <v>41096</v>
      </c>
      <c r="P1114">
        <v>202.12</v>
      </c>
      <c r="R1114" s="18">
        <v>45468</v>
      </c>
      <c r="S1114">
        <v>4775.05</v>
      </c>
      <c r="T1114">
        <v>660140</v>
      </c>
      <c r="U1114" s="18">
        <v>45468</v>
      </c>
    </row>
    <row r="1115" spans="15:21" x14ac:dyDescent="0.35">
      <c r="O1115" s="18">
        <v>41099</v>
      </c>
      <c r="P1115">
        <v>199.69</v>
      </c>
      <c r="R1115" s="18">
        <v>45469</v>
      </c>
      <c r="S1115">
        <v>4739.7</v>
      </c>
      <c r="T1115">
        <v>600780</v>
      </c>
      <c r="U1115" s="18">
        <v>45469</v>
      </c>
    </row>
    <row r="1116" spans="15:21" x14ac:dyDescent="0.35">
      <c r="O1116" s="18">
        <v>41100</v>
      </c>
      <c r="P1116">
        <v>200.57</v>
      </c>
      <c r="R1116" s="18">
        <v>45470</v>
      </c>
      <c r="S1116">
        <v>4713.8</v>
      </c>
      <c r="T1116">
        <v>1090000</v>
      </c>
      <c r="U1116" s="18">
        <v>45470</v>
      </c>
    </row>
    <row r="1117" spans="15:21" x14ac:dyDescent="0.35">
      <c r="O1117" s="18">
        <v>41101</v>
      </c>
      <c r="P1117">
        <v>199.33</v>
      </c>
      <c r="R1117" s="18">
        <v>45471</v>
      </c>
      <c r="S1117">
        <v>4672.95</v>
      </c>
      <c r="T1117">
        <v>939280</v>
      </c>
      <c r="U1117" s="18">
        <v>45471</v>
      </c>
    </row>
    <row r="1118" spans="15:21" x14ac:dyDescent="0.35">
      <c r="O1118" s="18">
        <v>41102</v>
      </c>
      <c r="P1118">
        <v>197.96</v>
      </c>
      <c r="R1118" s="18">
        <v>45474</v>
      </c>
      <c r="S1118">
        <v>4635.55</v>
      </c>
      <c r="T1118">
        <v>1360000</v>
      </c>
      <c r="U1118" s="18">
        <v>45474</v>
      </c>
    </row>
    <row r="1119" spans="15:21" x14ac:dyDescent="0.35">
      <c r="O1119" s="18">
        <v>41103</v>
      </c>
      <c r="P1119">
        <v>193.63</v>
      </c>
      <c r="R1119" s="18">
        <v>45475</v>
      </c>
      <c r="S1119">
        <v>4625.75</v>
      </c>
      <c r="T1119">
        <v>865320</v>
      </c>
      <c r="U1119" s="18">
        <v>45475</v>
      </c>
    </row>
    <row r="1120" spans="15:21" x14ac:dyDescent="0.35">
      <c r="O1120" s="18">
        <v>41106</v>
      </c>
      <c r="P1120">
        <v>195.35</v>
      </c>
      <c r="R1120" s="18">
        <v>45476</v>
      </c>
      <c r="S1120">
        <v>4692.3</v>
      </c>
      <c r="T1120">
        <v>257359.99999999997</v>
      </c>
      <c r="U1120" s="18">
        <v>45476</v>
      </c>
    </row>
    <row r="1121" spans="15:21" x14ac:dyDescent="0.35">
      <c r="O1121" s="18">
        <v>41107</v>
      </c>
      <c r="P1121">
        <v>194.07</v>
      </c>
      <c r="R1121" s="18">
        <v>45477</v>
      </c>
      <c r="S1121">
        <v>4689.5</v>
      </c>
      <c r="T1121">
        <v>313150</v>
      </c>
      <c r="U1121" s="18">
        <v>45477</v>
      </c>
    </row>
    <row r="1122" spans="15:21" x14ac:dyDescent="0.35">
      <c r="O1122" s="18">
        <v>41108</v>
      </c>
      <c r="P1122">
        <v>193.11</v>
      </c>
      <c r="R1122" s="18">
        <v>45478</v>
      </c>
      <c r="S1122">
        <v>4737.3</v>
      </c>
      <c r="T1122">
        <v>258689.99999999997</v>
      </c>
      <c r="U1122" s="18">
        <v>45478</v>
      </c>
    </row>
    <row r="1123" spans="15:21" x14ac:dyDescent="0.35">
      <c r="O1123" s="18">
        <v>41109</v>
      </c>
      <c r="P1123">
        <v>195.22</v>
      </c>
      <c r="R1123" s="18">
        <v>45481</v>
      </c>
      <c r="S1123">
        <v>4754.45</v>
      </c>
      <c r="T1123">
        <v>542470</v>
      </c>
      <c r="U1123" s="18">
        <v>45481</v>
      </c>
    </row>
    <row r="1124" spans="15:21" x14ac:dyDescent="0.35">
      <c r="O1124" s="18">
        <v>41110</v>
      </c>
      <c r="P1124">
        <v>195.16</v>
      </c>
      <c r="R1124" s="18">
        <v>45482</v>
      </c>
      <c r="S1124">
        <v>4828.7</v>
      </c>
      <c r="T1124">
        <v>631370</v>
      </c>
      <c r="U1124" s="18">
        <v>45482</v>
      </c>
    </row>
    <row r="1125" spans="15:21" x14ac:dyDescent="0.35">
      <c r="O1125" s="18">
        <v>41113</v>
      </c>
      <c r="P1125">
        <v>195.25</v>
      </c>
      <c r="R1125" s="18">
        <v>45483</v>
      </c>
      <c r="S1125">
        <v>4849.1499999999996</v>
      </c>
      <c r="T1125">
        <v>832010</v>
      </c>
      <c r="U1125" s="18">
        <v>45483</v>
      </c>
    </row>
    <row r="1126" spans="15:21" x14ac:dyDescent="0.35">
      <c r="O1126" s="18">
        <v>41114</v>
      </c>
      <c r="P1126">
        <v>194.59</v>
      </c>
      <c r="R1126" s="18">
        <v>45484</v>
      </c>
      <c r="S1126">
        <v>4828.6499999999996</v>
      </c>
      <c r="T1126">
        <v>308710</v>
      </c>
      <c r="U1126" s="18">
        <v>45484</v>
      </c>
    </row>
    <row r="1127" spans="15:21" x14ac:dyDescent="0.35">
      <c r="O1127" s="18">
        <v>41115</v>
      </c>
      <c r="P1127">
        <v>196.09</v>
      </c>
      <c r="R1127" s="18">
        <v>45485</v>
      </c>
      <c r="S1127">
        <v>4860.7</v>
      </c>
      <c r="T1127">
        <v>290820</v>
      </c>
      <c r="U1127" s="18">
        <v>45485</v>
      </c>
    </row>
    <row r="1128" spans="15:21" x14ac:dyDescent="0.35">
      <c r="O1128" s="18">
        <v>41116</v>
      </c>
      <c r="P1128">
        <v>195.21</v>
      </c>
      <c r="R1128" s="18">
        <v>45488</v>
      </c>
      <c r="S1128">
        <v>4881.3500000000004</v>
      </c>
      <c r="T1128">
        <v>223490</v>
      </c>
      <c r="U1128" s="18">
        <v>45488</v>
      </c>
    </row>
    <row r="1129" spans="15:21" x14ac:dyDescent="0.35">
      <c r="O1129" s="18">
        <v>41117</v>
      </c>
      <c r="P1129">
        <v>195.03</v>
      </c>
      <c r="R1129" s="18">
        <v>45489</v>
      </c>
      <c r="S1129">
        <v>4916.1000000000004</v>
      </c>
      <c r="T1129">
        <v>664540</v>
      </c>
      <c r="U1129" s="18">
        <v>45489</v>
      </c>
    </row>
    <row r="1130" spans="15:21" x14ac:dyDescent="0.35">
      <c r="O1130" s="18">
        <v>41120</v>
      </c>
      <c r="P1130">
        <v>195.98</v>
      </c>
      <c r="R1130" s="18">
        <v>45491</v>
      </c>
      <c r="S1130">
        <v>4941.1000000000004</v>
      </c>
      <c r="T1130">
        <v>773060</v>
      </c>
      <c r="U1130" s="18">
        <v>45491</v>
      </c>
    </row>
    <row r="1131" spans="15:21" x14ac:dyDescent="0.35">
      <c r="O1131" s="18">
        <v>41121</v>
      </c>
      <c r="P1131">
        <v>195.62</v>
      </c>
      <c r="R1131" s="18">
        <v>45492</v>
      </c>
      <c r="S1131">
        <v>4850.7</v>
      </c>
      <c r="T1131">
        <v>662970</v>
      </c>
      <c r="U1131" s="18">
        <v>45492</v>
      </c>
    </row>
    <row r="1132" spans="15:21" x14ac:dyDescent="0.35">
      <c r="O1132" s="18">
        <v>41122</v>
      </c>
      <c r="P1132">
        <v>192.39</v>
      </c>
      <c r="R1132" s="18">
        <v>45495</v>
      </c>
      <c r="S1132">
        <v>4857.3500000000004</v>
      </c>
      <c r="T1132">
        <v>377890</v>
      </c>
      <c r="U1132" s="18">
        <v>45495</v>
      </c>
    </row>
    <row r="1133" spans="15:21" x14ac:dyDescent="0.35">
      <c r="O1133" s="18">
        <v>41123</v>
      </c>
      <c r="P1133">
        <v>196.47</v>
      </c>
      <c r="R1133" s="18">
        <v>45496</v>
      </c>
      <c r="S1133">
        <v>4919.55</v>
      </c>
      <c r="T1133">
        <v>1130000</v>
      </c>
      <c r="U1133" s="18">
        <v>45496</v>
      </c>
    </row>
    <row r="1134" spans="15:21" x14ac:dyDescent="0.35">
      <c r="O1134" s="18">
        <v>41124</v>
      </c>
      <c r="P1134">
        <v>199.35</v>
      </c>
      <c r="R1134" s="18">
        <v>45497</v>
      </c>
      <c r="S1134">
        <v>4915.3500000000004</v>
      </c>
      <c r="T1134">
        <v>400080</v>
      </c>
      <c r="U1134" s="18">
        <v>45497</v>
      </c>
    </row>
    <row r="1135" spans="15:21" x14ac:dyDescent="0.35">
      <c r="O1135" s="18">
        <v>41127</v>
      </c>
      <c r="P1135">
        <v>203.26</v>
      </c>
      <c r="R1135" s="18">
        <v>45498</v>
      </c>
      <c r="S1135">
        <v>4900.6499999999996</v>
      </c>
      <c r="T1135">
        <v>413860</v>
      </c>
      <c r="U1135" s="18">
        <v>45498</v>
      </c>
    </row>
    <row r="1136" spans="15:21" x14ac:dyDescent="0.35">
      <c r="O1136" s="18">
        <v>41128</v>
      </c>
      <c r="P1136">
        <v>207.56</v>
      </c>
      <c r="R1136" s="18">
        <v>45499</v>
      </c>
      <c r="S1136">
        <v>5012.5</v>
      </c>
      <c r="T1136">
        <v>625670</v>
      </c>
      <c r="U1136" s="18">
        <v>45499</v>
      </c>
    </row>
    <row r="1137" spans="15:21" x14ac:dyDescent="0.35">
      <c r="O1137" s="18">
        <v>41129</v>
      </c>
      <c r="P1137">
        <v>209</v>
      </c>
      <c r="R1137" s="18">
        <v>45502</v>
      </c>
      <c r="S1137">
        <v>4962.25</v>
      </c>
      <c r="T1137">
        <v>338480</v>
      </c>
      <c r="U1137" s="18">
        <v>45502</v>
      </c>
    </row>
    <row r="1138" spans="15:21" x14ac:dyDescent="0.35">
      <c r="O1138" s="18">
        <v>41130</v>
      </c>
      <c r="P1138">
        <v>208.78</v>
      </c>
      <c r="R1138" s="18">
        <v>45503</v>
      </c>
      <c r="S1138">
        <v>4951.8500000000004</v>
      </c>
      <c r="T1138">
        <v>683440</v>
      </c>
      <c r="U1138" s="18">
        <v>45503</v>
      </c>
    </row>
    <row r="1139" spans="15:21" x14ac:dyDescent="0.35">
      <c r="O1139" s="18">
        <v>41131</v>
      </c>
      <c r="P1139">
        <v>206.85</v>
      </c>
      <c r="R1139" s="18">
        <v>45504</v>
      </c>
      <c r="S1139">
        <v>4962.7</v>
      </c>
      <c r="T1139">
        <v>567280</v>
      </c>
      <c r="U1139" s="18">
        <v>45504</v>
      </c>
    </row>
    <row r="1140" spans="15:21" x14ac:dyDescent="0.35">
      <c r="O1140" s="18">
        <v>41134</v>
      </c>
      <c r="P1140">
        <v>207.94</v>
      </c>
      <c r="R1140" s="18">
        <v>45505</v>
      </c>
      <c r="S1140">
        <v>4968.8</v>
      </c>
      <c r="T1140">
        <v>654660</v>
      </c>
      <c r="U1140" s="18">
        <v>45505</v>
      </c>
    </row>
    <row r="1141" spans="15:21" x14ac:dyDescent="0.35">
      <c r="O1141" s="18">
        <v>41135</v>
      </c>
      <c r="P1141">
        <v>210.18</v>
      </c>
      <c r="R1141" s="18">
        <v>45506</v>
      </c>
      <c r="S1141">
        <v>4726.7</v>
      </c>
      <c r="T1141">
        <v>2120000</v>
      </c>
      <c r="U1141" s="18">
        <v>45506</v>
      </c>
    </row>
    <row r="1142" spans="15:21" x14ac:dyDescent="0.35">
      <c r="O1142" s="18">
        <v>41137</v>
      </c>
      <c r="P1142">
        <v>222.12</v>
      </c>
      <c r="R1142" s="18">
        <v>45509</v>
      </c>
      <c r="S1142">
        <v>4675.75</v>
      </c>
      <c r="T1142">
        <v>946320</v>
      </c>
      <c r="U1142" s="18">
        <v>45509</v>
      </c>
    </row>
    <row r="1143" spans="15:21" x14ac:dyDescent="0.35">
      <c r="O1143" s="18">
        <v>41138</v>
      </c>
      <c r="P1143">
        <v>222.53</v>
      </c>
      <c r="R1143" s="18">
        <v>45510</v>
      </c>
      <c r="S1143">
        <v>4653.8999999999996</v>
      </c>
      <c r="T1143">
        <v>594240</v>
      </c>
      <c r="U1143" s="18">
        <v>45510</v>
      </c>
    </row>
    <row r="1144" spans="15:21" x14ac:dyDescent="0.35">
      <c r="O1144" s="18">
        <v>41142</v>
      </c>
      <c r="P1144">
        <v>222.99</v>
      </c>
      <c r="R1144" s="18">
        <v>45511</v>
      </c>
      <c r="S1144">
        <v>4597.1499999999996</v>
      </c>
      <c r="T1144">
        <v>1090000</v>
      </c>
      <c r="U1144" s="18">
        <v>45511</v>
      </c>
    </row>
    <row r="1145" spans="15:21" x14ac:dyDescent="0.35">
      <c r="O1145" s="18">
        <v>41143</v>
      </c>
      <c r="P1145">
        <v>223.2</v>
      </c>
      <c r="R1145" s="18">
        <v>45512</v>
      </c>
      <c r="S1145">
        <v>4576.8999999999996</v>
      </c>
      <c r="T1145">
        <v>979440</v>
      </c>
      <c r="U1145" s="18">
        <v>45512</v>
      </c>
    </row>
    <row r="1146" spans="15:21" x14ac:dyDescent="0.35">
      <c r="O1146" s="18">
        <v>41144</v>
      </c>
      <c r="P1146">
        <v>222.25</v>
      </c>
      <c r="R1146" s="18">
        <v>45513</v>
      </c>
      <c r="S1146">
        <v>4830.6000000000004</v>
      </c>
      <c r="T1146">
        <v>1700000</v>
      </c>
      <c r="U1146" s="18">
        <v>45513</v>
      </c>
    </row>
    <row r="1147" spans="15:21" x14ac:dyDescent="0.35">
      <c r="O1147" s="18">
        <v>41145</v>
      </c>
      <c r="P1147">
        <v>218.32</v>
      </c>
      <c r="R1147" s="18">
        <v>45516</v>
      </c>
      <c r="S1147">
        <v>4808.8</v>
      </c>
      <c r="T1147">
        <v>738630</v>
      </c>
      <c r="U1147" s="18">
        <v>45516</v>
      </c>
    </row>
    <row r="1148" spans="15:21" x14ac:dyDescent="0.35">
      <c r="O1148" s="18">
        <v>41148</v>
      </c>
      <c r="P1148">
        <v>217.25</v>
      </c>
      <c r="R1148" s="18">
        <v>45517</v>
      </c>
      <c r="S1148">
        <v>4802.25</v>
      </c>
      <c r="T1148">
        <v>194850</v>
      </c>
      <c r="U1148" s="18">
        <v>45517</v>
      </c>
    </row>
    <row r="1149" spans="15:21" x14ac:dyDescent="0.35">
      <c r="O1149" s="18">
        <v>41149</v>
      </c>
      <c r="P1149">
        <v>215.07</v>
      </c>
      <c r="R1149" s="18">
        <v>45518</v>
      </c>
      <c r="S1149">
        <v>4733.25</v>
      </c>
      <c r="T1149">
        <v>328800</v>
      </c>
      <c r="U1149" s="18">
        <v>45518</v>
      </c>
    </row>
    <row r="1150" spans="15:21" x14ac:dyDescent="0.35">
      <c r="O1150" s="18">
        <v>41150</v>
      </c>
      <c r="P1150">
        <v>214.01</v>
      </c>
      <c r="R1150" s="18">
        <v>45520</v>
      </c>
      <c r="S1150">
        <v>4818</v>
      </c>
      <c r="T1150">
        <v>259100.00000000006</v>
      </c>
      <c r="U1150" s="18">
        <v>45520</v>
      </c>
    </row>
    <row r="1151" spans="15:21" x14ac:dyDescent="0.35">
      <c r="O1151" s="18">
        <v>41151</v>
      </c>
      <c r="P1151">
        <v>212.01</v>
      </c>
      <c r="R1151" s="18">
        <v>45523</v>
      </c>
      <c r="S1151">
        <v>4813.3</v>
      </c>
      <c r="T1151">
        <v>280720</v>
      </c>
      <c r="U1151" s="18">
        <v>45523</v>
      </c>
    </row>
    <row r="1152" spans="15:21" x14ac:dyDescent="0.35">
      <c r="O1152" s="18">
        <v>41152</v>
      </c>
      <c r="P1152">
        <v>214.48</v>
      </c>
      <c r="R1152" s="18">
        <v>45524</v>
      </c>
      <c r="S1152">
        <v>4883.25</v>
      </c>
      <c r="T1152">
        <v>523510.00000000006</v>
      </c>
      <c r="U1152" s="18">
        <v>45524</v>
      </c>
    </row>
    <row r="1153" spans="15:21" x14ac:dyDescent="0.35">
      <c r="O1153" s="18">
        <v>41155</v>
      </c>
      <c r="P1153">
        <v>211.75</v>
      </c>
      <c r="R1153" s="18">
        <v>45525</v>
      </c>
      <c r="S1153">
        <v>4913.55</v>
      </c>
      <c r="T1153">
        <v>221440</v>
      </c>
      <c r="U1153" s="18">
        <v>45525</v>
      </c>
    </row>
    <row r="1154" spans="15:21" x14ac:dyDescent="0.35">
      <c r="O1154" s="18">
        <v>41156</v>
      </c>
      <c r="P1154">
        <v>207.99</v>
      </c>
      <c r="R1154" s="18">
        <v>45526</v>
      </c>
      <c r="S1154">
        <v>4933.55</v>
      </c>
      <c r="T1154">
        <v>536370</v>
      </c>
      <c r="U1154" s="18">
        <v>45526</v>
      </c>
    </row>
    <row r="1155" spans="15:21" x14ac:dyDescent="0.35">
      <c r="O1155" s="18">
        <v>41157</v>
      </c>
      <c r="P1155">
        <v>206.41</v>
      </c>
      <c r="R1155" s="18">
        <v>45527</v>
      </c>
      <c r="S1155">
        <v>4898.1000000000004</v>
      </c>
      <c r="T1155">
        <v>208410</v>
      </c>
      <c r="U1155" s="18">
        <v>45527</v>
      </c>
    </row>
    <row r="1156" spans="15:21" x14ac:dyDescent="0.35">
      <c r="O1156" s="18">
        <v>41158</v>
      </c>
      <c r="P1156">
        <v>206.56</v>
      </c>
      <c r="R1156" s="18">
        <v>45530</v>
      </c>
      <c r="S1156">
        <v>4875.2</v>
      </c>
      <c r="T1156">
        <v>314430</v>
      </c>
      <c r="U1156" s="18">
        <v>45530</v>
      </c>
    </row>
    <row r="1157" spans="15:21" x14ac:dyDescent="0.35">
      <c r="O1157" s="18">
        <v>41159</v>
      </c>
      <c r="P1157">
        <v>208.3</v>
      </c>
      <c r="R1157" s="18">
        <v>45531</v>
      </c>
      <c r="S1157">
        <v>4868.8500000000004</v>
      </c>
      <c r="T1157">
        <v>382110</v>
      </c>
      <c r="U1157" s="18">
        <v>45531</v>
      </c>
    </row>
    <row r="1158" spans="15:21" x14ac:dyDescent="0.35">
      <c r="O1158" s="18">
        <v>41160</v>
      </c>
      <c r="P1158">
        <v>208</v>
      </c>
      <c r="R1158" s="18">
        <v>45532</v>
      </c>
      <c r="S1158">
        <v>4946.8500000000004</v>
      </c>
      <c r="T1158">
        <v>424480</v>
      </c>
      <c r="U1158" s="18">
        <v>45532</v>
      </c>
    </row>
    <row r="1159" spans="15:21" x14ac:dyDescent="0.35">
      <c r="O1159" s="18">
        <v>41162</v>
      </c>
      <c r="P1159">
        <v>208.91</v>
      </c>
      <c r="R1159" s="18">
        <v>45533</v>
      </c>
      <c r="S1159">
        <v>4915.8999999999996</v>
      </c>
      <c r="T1159">
        <v>571340</v>
      </c>
      <c r="U1159" s="18">
        <v>45533</v>
      </c>
    </row>
    <row r="1160" spans="15:21" x14ac:dyDescent="0.35">
      <c r="O1160" s="18">
        <v>41163</v>
      </c>
      <c r="P1160">
        <v>211.03</v>
      </c>
      <c r="R1160" s="18">
        <v>45534</v>
      </c>
      <c r="S1160">
        <v>4960.5</v>
      </c>
      <c r="T1160">
        <v>465200</v>
      </c>
      <c r="U1160" s="18">
        <v>45534</v>
      </c>
    </row>
    <row r="1161" spans="15:21" x14ac:dyDescent="0.35">
      <c r="O1161" s="18">
        <v>41164</v>
      </c>
      <c r="P1161">
        <v>216.02</v>
      </c>
      <c r="R1161" s="18">
        <v>45537</v>
      </c>
      <c r="S1161">
        <v>4911.95</v>
      </c>
      <c r="T1161">
        <v>310780</v>
      </c>
      <c r="U1161" s="18">
        <v>45537</v>
      </c>
    </row>
    <row r="1162" spans="15:21" x14ac:dyDescent="0.35">
      <c r="O1162" s="18">
        <v>41165</v>
      </c>
      <c r="P1162">
        <v>223.82</v>
      </c>
      <c r="R1162" s="18">
        <v>45538</v>
      </c>
      <c r="S1162">
        <v>4865.8</v>
      </c>
      <c r="T1162">
        <v>263400</v>
      </c>
      <c r="U1162" s="18">
        <v>45538</v>
      </c>
    </row>
    <row r="1163" spans="15:21" x14ac:dyDescent="0.35">
      <c r="O1163" s="18">
        <v>41166</v>
      </c>
      <c r="P1163">
        <v>226.96</v>
      </c>
      <c r="R1163" s="18">
        <v>45539</v>
      </c>
      <c r="S1163">
        <v>4833.55</v>
      </c>
      <c r="T1163">
        <v>476840</v>
      </c>
      <c r="U1163" s="18">
        <v>45539</v>
      </c>
    </row>
    <row r="1164" spans="15:21" x14ac:dyDescent="0.35">
      <c r="O1164" s="18">
        <v>41169</v>
      </c>
      <c r="P1164">
        <v>231.6</v>
      </c>
      <c r="R1164" s="18">
        <v>45540</v>
      </c>
      <c r="S1164">
        <v>4800.1000000000004</v>
      </c>
      <c r="T1164">
        <v>398340</v>
      </c>
      <c r="U1164" s="18">
        <v>45540</v>
      </c>
    </row>
    <row r="1165" spans="15:21" x14ac:dyDescent="0.35">
      <c r="O1165" s="18">
        <v>41170</v>
      </c>
      <c r="P1165">
        <v>229.16</v>
      </c>
      <c r="R1165" s="18">
        <v>45541</v>
      </c>
      <c r="S1165">
        <v>4752.5</v>
      </c>
      <c r="T1165">
        <v>291110</v>
      </c>
      <c r="U1165" s="18">
        <v>45541</v>
      </c>
    </row>
    <row r="1166" spans="15:21" x14ac:dyDescent="0.35">
      <c r="O1166" s="18">
        <v>41172</v>
      </c>
      <c r="P1166">
        <v>224.26</v>
      </c>
      <c r="R1166" s="18">
        <v>45544</v>
      </c>
      <c r="S1166">
        <v>4747.3500000000004</v>
      </c>
      <c r="T1166">
        <v>272440</v>
      </c>
      <c r="U1166" s="18">
        <v>45544</v>
      </c>
    </row>
    <row r="1167" spans="15:21" x14ac:dyDescent="0.35">
      <c r="O1167" s="18">
        <v>41173</v>
      </c>
      <c r="P1167">
        <v>220.88</v>
      </c>
      <c r="R1167" s="18">
        <v>45545</v>
      </c>
      <c r="S1167">
        <v>4737.2</v>
      </c>
      <c r="T1167">
        <v>404100</v>
      </c>
      <c r="U1167" s="18">
        <v>45545</v>
      </c>
    </row>
    <row r="1168" spans="15:21" x14ac:dyDescent="0.35">
      <c r="O1168" s="18">
        <v>41176</v>
      </c>
      <c r="P1168">
        <v>226.16</v>
      </c>
      <c r="R1168" s="18">
        <v>45546</v>
      </c>
      <c r="S1168">
        <v>4726.6499999999996</v>
      </c>
      <c r="T1168">
        <v>384210</v>
      </c>
      <c r="U1168" s="18">
        <v>45546</v>
      </c>
    </row>
    <row r="1169" spans="15:21" x14ac:dyDescent="0.35">
      <c r="O1169" s="18">
        <v>41177</v>
      </c>
      <c r="P1169">
        <v>223.07</v>
      </c>
      <c r="R1169" s="18">
        <v>45547</v>
      </c>
      <c r="S1169">
        <v>4875</v>
      </c>
      <c r="T1169">
        <v>757320</v>
      </c>
      <c r="U1169" s="18">
        <v>45547</v>
      </c>
    </row>
    <row r="1170" spans="15:21" x14ac:dyDescent="0.35">
      <c r="O1170" s="18">
        <v>41178</v>
      </c>
      <c r="P1170">
        <v>224.56</v>
      </c>
      <c r="R1170" s="18">
        <v>45548</v>
      </c>
      <c r="S1170">
        <v>4858.3</v>
      </c>
      <c r="T1170">
        <v>315870</v>
      </c>
      <c r="U1170" s="18">
        <v>45548</v>
      </c>
    </row>
    <row r="1171" spans="15:21" x14ac:dyDescent="0.35">
      <c r="O1171" s="18">
        <v>41179</v>
      </c>
      <c r="P1171">
        <v>223.84</v>
      </c>
      <c r="R1171" s="18">
        <v>45551</v>
      </c>
      <c r="S1171">
        <v>4899.2</v>
      </c>
      <c r="T1171">
        <v>453830</v>
      </c>
      <c r="U1171" s="18">
        <v>45551</v>
      </c>
    </row>
    <row r="1172" spans="15:21" x14ac:dyDescent="0.35">
      <c r="O1172" s="18">
        <v>41180</v>
      </c>
      <c r="P1172">
        <v>231.12</v>
      </c>
      <c r="R1172" s="18">
        <v>45552</v>
      </c>
      <c r="S1172">
        <v>4850.2</v>
      </c>
      <c r="T1172">
        <v>356440</v>
      </c>
      <c r="U1172" s="18">
        <v>45552</v>
      </c>
    </row>
    <row r="1173" spans="15:21" x14ac:dyDescent="0.35">
      <c r="O1173" s="18">
        <v>41183</v>
      </c>
      <c r="P1173">
        <v>225.88</v>
      </c>
      <c r="R1173" s="18">
        <v>45553</v>
      </c>
      <c r="S1173">
        <v>4850.3500000000004</v>
      </c>
      <c r="T1173">
        <v>295360</v>
      </c>
      <c r="U1173" s="18">
        <v>45553</v>
      </c>
    </row>
    <row r="1174" spans="15:21" x14ac:dyDescent="0.35">
      <c r="O1174" s="18">
        <v>41185</v>
      </c>
      <c r="P1174">
        <v>229.34</v>
      </c>
      <c r="R1174" s="18">
        <v>45554</v>
      </c>
      <c r="S1174">
        <v>4864.8999999999996</v>
      </c>
      <c r="T1174">
        <v>357210</v>
      </c>
      <c r="U1174" s="18">
        <v>45554</v>
      </c>
    </row>
    <row r="1175" spans="15:21" x14ac:dyDescent="0.35">
      <c r="O1175" s="18">
        <v>41186</v>
      </c>
      <c r="P1175">
        <v>227.29</v>
      </c>
      <c r="R1175" s="18">
        <v>45555</v>
      </c>
      <c r="S1175">
        <v>4963.1499999999996</v>
      </c>
      <c r="T1175">
        <v>1330000</v>
      </c>
      <c r="U1175" s="18">
        <v>45555</v>
      </c>
    </row>
    <row r="1176" spans="15:21" x14ac:dyDescent="0.35">
      <c r="O1176" s="18">
        <v>41187</v>
      </c>
      <c r="P1176">
        <v>230.27</v>
      </c>
      <c r="R1176" s="18">
        <v>45558</v>
      </c>
      <c r="S1176">
        <v>4879.55</v>
      </c>
      <c r="T1176">
        <v>899950</v>
      </c>
      <c r="U1176" s="18">
        <v>45558</v>
      </c>
    </row>
    <row r="1177" spans="15:21" x14ac:dyDescent="0.35">
      <c r="O1177" s="18">
        <v>41190</v>
      </c>
      <c r="P1177">
        <v>224.85</v>
      </c>
      <c r="R1177" s="18">
        <v>45559</v>
      </c>
      <c r="S1177">
        <v>4876.8999999999996</v>
      </c>
      <c r="T1177">
        <v>481700</v>
      </c>
      <c r="U1177" s="18">
        <v>45559</v>
      </c>
    </row>
    <row r="1178" spans="15:21" x14ac:dyDescent="0.35">
      <c r="O1178" s="18">
        <v>41191</v>
      </c>
      <c r="P1178">
        <v>226.37</v>
      </c>
      <c r="R1178" s="18">
        <v>45560</v>
      </c>
      <c r="S1178">
        <v>4895.25</v>
      </c>
      <c r="T1178">
        <v>665990</v>
      </c>
      <c r="U1178" s="18">
        <v>45560</v>
      </c>
    </row>
    <row r="1179" spans="15:21" x14ac:dyDescent="0.35">
      <c r="O1179" s="18">
        <v>41192</v>
      </c>
      <c r="P1179">
        <v>223.85</v>
      </c>
      <c r="R1179" s="18">
        <v>45561</v>
      </c>
      <c r="S1179">
        <v>4994.25</v>
      </c>
      <c r="T1179">
        <v>790350</v>
      </c>
      <c r="U1179" s="18">
        <v>45561</v>
      </c>
    </row>
    <row r="1180" spans="15:21" x14ac:dyDescent="0.35">
      <c r="O1180" s="18">
        <v>41193</v>
      </c>
      <c r="P1180">
        <v>224.07</v>
      </c>
      <c r="R1180" s="18">
        <v>45562</v>
      </c>
      <c r="S1180">
        <v>5062.6000000000004</v>
      </c>
      <c r="T1180">
        <v>1040000</v>
      </c>
      <c r="U1180" s="18">
        <v>45562</v>
      </c>
    </row>
    <row r="1181" spans="15:21" x14ac:dyDescent="0.35">
      <c r="O1181" s="18">
        <v>41194</v>
      </c>
      <c r="P1181">
        <v>222.51</v>
      </c>
      <c r="R1181" s="18">
        <v>45565</v>
      </c>
      <c r="S1181">
        <v>5026.25</v>
      </c>
      <c r="T1181">
        <v>516970.00000000006</v>
      </c>
      <c r="U1181" s="18">
        <v>45565</v>
      </c>
    </row>
    <row r="1182" spans="15:21" x14ac:dyDescent="0.35">
      <c r="O1182" s="18">
        <v>41197</v>
      </c>
      <c r="P1182">
        <v>220.76</v>
      </c>
      <c r="R1182" s="18">
        <v>45566</v>
      </c>
      <c r="S1182">
        <v>4972.6499999999996</v>
      </c>
      <c r="T1182">
        <v>449000</v>
      </c>
      <c r="U1182" s="18">
        <v>45566</v>
      </c>
    </row>
    <row r="1183" spans="15:21" x14ac:dyDescent="0.35">
      <c r="O1183" s="18">
        <v>41198</v>
      </c>
      <c r="P1183">
        <v>222.29</v>
      </c>
      <c r="R1183" s="18">
        <v>45568</v>
      </c>
      <c r="S1183">
        <v>4782.5</v>
      </c>
      <c r="T1183">
        <v>1340000</v>
      </c>
      <c r="U1183" s="18">
        <v>45568</v>
      </c>
    </row>
    <row r="1184" spans="15:21" x14ac:dyDescent="0.35">
      <c r="O1184" s="18">
        <v>41199</v>
      </c>
      <c r="P1184">
        <v>224.88</v>
      </c>
      <c r="R1184" s="18">
        <v>45569</v>
      </c>
      <c r="S1184">
        <v>4706.8</v>
      </c>
      <c r="T1184">
        <v>466000</v>
      </c>
      <c r="U1184" s="18">
        <v>45569</v>
      </c>
    </row>
    <row r="1185" spans="15:21" x14ac:dyDescent="0.35">
      <c r="O1185" s="18">
        <v>41200</v>
      </c>
      <c r="P1185">
        <v>229.92</v>
      </c>
      <c r="R1185" s="18">
        <v>45572</v>
      </c>
      <c r="S1185">
        <v>4667.95</v>
      </c>
      <c r="T1185">
        <v>447520</v>
      </c>
      <c r="U1185" s="18">
        <v>45572</v>
      </c>
    </row>
    <row r="1186" spans="15:21" x14ac:dyDescent="0.35">
      <c r="O1186" s="18">
        <v>41201</v>
      </c>
      <c r="P1186">
        <v>230.25</v>
      </c>
      <c r="R1186" s="18">
        <v>45573</v>
      </c>
      <c r="S1186">
        <v>4693.45</v>
      </c>
      <c r="T1186">
        <v>661110</v>
      </c>
      <c r="U1186" s="18">
        <v>45573</v>
      </c>
    </row>
    <row r="1187" spans="15:21" x14ac:dyDescent="0.35">
      <c r="O1187" s="18">
        <v>41204</v>
      </c>
      <c r="P1187">
        <v>228.9</v>
      </c>
      <c r="R1187" s="18">
        <v>45574</v>
      </c>
      <c r="S1187">
        <v>4708.8999999999996</v>
      </c>
      <c r="T1187">
        <v>930720</v>
      </c>
      <c r="U1187" s="18">
        <v>45574</v>
      </c>
    </row>
    <row r="1188" spans="15:21" x14ac:dyDescent="0.35">
      <c r="O1188" s="18">
        <v>41205</v>
      </c>
      <c r="P1188">
        <v>234.69</v>
      </c>
      <c r="R1188" s="18">
        <v>45575</v>
      </c>
      <c r="S1188">
        <v>4697.8999999999996</v>
      </c>
      <c r="T1188">
        <v>305740</v>
      </c>
      <c r="U1188" s="18">
        <v>45575</v>
      </c>
    </row>
    <row r="1189" spans="15:21" x14ac:dyDescent="0.35">
      <c r="O1189" s="18">
        <v>41207</v>
      </c>
      <c r="P1189">
        <v>239.18</v>
      </c>
      <c r="R1189" s="18">
        <v>45576</v>
      </c>
      <c r="S1189">
        <v>4728.05</v>
      </c>
      <c r="T1189">
        <v>844930</v>
      </c>
      <c r="U1189" s="18">
        <v>45576</v>
      </c>
    </row>
    <row r="1190" spans="15:21" x14ac:dyDescent="0.35">
      <c r="O1190" s="18">
        <v>41208</v>
      </c>
      <c r="P1190">
        <v>236.57</v>
      </c>
      <c r="R1190" s="18">
        <v>45579</v>
      </c>
      <c r="S1190">
        <v>4779.8</v>
      </c>
      <c r="T1190">
        <v>346430</v>
      </c>
      <c r="U1190" s="18">
        <v>45579</v>
      </c>
    </row>
    <row r="1191" spans="15:21" x14ac:dyDescent="0.35">
      <c r="O1191" s="18">
        <v>41211</v>
      </c>
      <c r="P1191">
        <v>231.55</v>
      </c>
      <c r="R1191" s="18">
        <v>45580</v>
      </c>
      <c r="S1191">
        <v>4722.1000000000004</v>
      </c>
      <c r="T1191">
        <v>370220</v>
      </c>
      <c r="U1191" s="18">
        <v>45580</v>
      </c>
    </row>
    <row r="1192" spans="15:21" x14ac:dyDescent="0.35">
      <c r="O1192" s="18">
        <v>41212</v>
      </c>
      <c r="P1192">
        <v>231.5</v>
      </c>
      <c r="R1192" s="18">
        <v>45581</v>
      </c>
      <c r="S1192">
        <v>4678.25</v>
      </c>
      <c r="T1192">
        <v>380470</v>
      </c>
      <c r="U1192" s="18">
        <v>45581</v>
      </c>
    </row>
    <row r="1193" spans="15:21" x14ac:dyDescent="0.35">
      <c r="O1193" s="18">
        <v>41213</v>
      </c>
      <c r="P1193">
        <v>232</v>
      </c>
      <c r="R1193" s="18">
        <v>45582</v>
      </c>
      <c r="S1193">
        <v>4623.8500000000004</v>
      </c>
      <c r="T1193">
        <v>514240.00000000006</v>
      </c>
      <c r="U1193" s="18">
        <v>45582</v>
      </c>
    </row>
    <row r="1194" spans="15:21" x14ac:dyDescent="0.35">
      <c r="O1194" s="18">
        <v>41214</v>
      </c>
      <c r="P1194">
        <v>235.08</v>
      </c>
      <c r="R1194" s="18">
        <v>45583</v>
      </c>
      <c r="S1194">
        <v>4765.6499999999996</v>
      </c>
      <c r="T1194">
        <v>778800</v>
      </c>
      <c r="U1194" s="18">
        <v>45583</v>
      </c>
    </row>
    <row r="1195" spans="15:21" x14ac:dyDescent="0.35">
      <c r="O1195" s="18">
        <v>41215</v>
      </c>
      <c r="P1195">
        <v>239.13</v>
      </c>
      <c r="R1195" s="18">
        <v>45586</v>
      </c>
      <c r="S1195">
        <v>4810.45</v>
      </c>
      <c r="T1195">
        <v>745470</v>
      </c>
      <c r="U1195" s="18">
        <v>45586</v>
      </c>
    </row>
    <row r="1196" spans="15:21" x14ac:dyDescent="0.35">
      <c r="O1196" s="18">
        <v>41218</v>
      </c>
      <c r="P1196">
        <v>241.03</v>
      </c>
      <c r="R1196" s="18">
        <v>45587</v>
      </c>
      <c r="S1196">
        <v>4759.05</v>
      </c>
      <c r="T1196">
        <v>528040</v>
      </c>
      <c r="U1196" s="18">
        <v>45587</v>
      </c>
    </row>
    <row r="1197" spans="15:21" x14ac:dyDescent="0.35">
      <c r="O1197" s="18">
        <v>41219</v>
      </c>
      <c r="P1197">
        <v>254.21</v>
      </c>
      <c r="R1197" s="18">
        <v>45588</v>
      </c>
      <c r="S1197">
        <v>4677.75</v>
      </c>
      <c r="T1197">
        <v>655990</v>
      </c>
      <c r="U1197" s="18">
        <v>45588</v>
      </c>
    </row>
    <row r="1198" spans="15:21" x14ac:dyDescent="0.35">
      <c r="O1198" s="18">
        <v>41220</v>
      </c>
      <c r="P1198">
        <v>259.95</v>
      </c>
      <c r="R1198" s="18">
        <v>45589</v>
      </c>
      <c r="S1198">
        <v>4668.5</v>
      </c>
      <c r="T1198">
        <v>288780</v>
      </c>
      <c r="U1198" s="18">
        <v>45589</v>
      </c>
    </row>
    <row r="1199" spans="15:21" x14ac:dyDescent="0.35">
      <c r="O1199" s="18">
        <v>41221</v>
      </c>
      <c r="P1199">
        <v>256.19</v>
      </c>
      <c r="R1199" s="18">
        <v>45590</v>
      </c>
      <c r="S1199">
        <v>4591.6000000000004</v>
      </c>
      <c r="T1199">
        <v>446740</v>
      </c>
      <c r="U1199" s="18">
        <v>45590</v>
      </c>
    </row>
    <row r="1200" spans="15:21" x14ac:dyDescent="0.35">
      <c r="O1200" s="18">
        <v>41222</v>
      </c>
      <c r="P1200">
        <v>250.32</v>
      </c>
      <c r="R1200" s="18">
        <v>45593</v>
      </c>
      <c r="S1200">
        <v>4720.6499999999996</v>
      </c>
      <c r="T1200">
        <v>989930</v>
      </c>
      <c r="U1200" s="18">
        <v>45593</v>
      </c>
    </row>
    <row r="1201" spans="15:21" x14ac:dyDescent="0.35">
      <c r="O1201" s="18">
        <v>41225</v>
      </c>
      <c r="P1201">
        <v>257.61</v>
      </c>
      <c r="R1201" s="18">
        <v>45594</v>
      </c>
      <c r="S1201">
        <v>4898.1499999999996</v>
      </c>
      <c r="T1201">
        <v>1070000</v>
      </c>
      <c r="U1201" s="18">
        <v>45594</v>
      </c>
    </row>
    <row r="1202" spans="15:21" x14ac:dyDescent="0.35">
      <c r="O1202" s="18">
        <v>41226</v>
      </c>
      <c r="P1202">
        <v>258.51</v>
      </c>
      <c r="R1202" s="18">
        <v>45595</v>
      </c>
      <c r="S1202">
        <v>4869.25</v>
      </c>
      <c r="T1202">
        <v>842330</v>
      </c>
      <c r="U1202" s="18">
        <v>45595</v>
      </c>
    </row>
    <row r="1203" spans="15:21" x14ac:dyDescent="0.35">
      <c r="O1203" s="18">
        <v>41228</v>
      </c>
      <c r="P1203">
        <v>250.72</v>
      </c>
      <c r="R1203" s="18">
        <v>45596</v>
      </c>
      <c r="S1203">
        <v>4894.6499999999996</v>
      </c>
      <c r="T1203">
        <v>510070</v>
      </c>
      <c r="U1203" s="18">
        <v>45596</v>
      </c>
    </row>
    <row r="1204" spans="15:21" x14ac:dyDescent="0.35">
      <c r="O1204" s="18">
        <v>41229</v>
      </c>
      <c r="P1204">
        <v>240.49</v>
      </c>
      <c r="R1204" s="18">
        <v>45597</v>
      </c>
      <c r="S1204">
        <v>4953.6000000000004</v>
      </c>
      <c r="T1204">
        <v>79730</v>
      </c>
      <c r="U1204" s="18">
        <v>45597</v>
      </c>
    </row>
    <row r="1205" spans="15:21" x14ac:dyDescent="0.35">
      <c r="O1205" s="18">
        <v>41232</v>
      </c>
      <c r="P1205">
        <v>233.65</v>
      </c>
      <c r="R1205" s="18">
        <v>45600</v>
      </c>
      <c r="S1205">
        <v>4831.8500000000004</v>
      </c>
      <c r="T1205">
        <v>719170</v>
      </c>
      <c r="U1205" s="18">
        <v>45600</v>
      </c>
    </row>
    <row r="1206" spans="15:21" x14ac:dyDescent="0.35">
      <c r="O1206" s="18">
        <v>41233</v>
      </c>
      <c r="P1206">
        <v>235.52</v>
      </c>
      <c r="R1206" s="18">
        <v>45601</v>
      </c>
      <c r="S1206">
        <v>4899.8</v>
      </c>
      <c r="T1206">
        <v>499980</v>
      </c>
      <c r="U1206" s="18">
        <v>45601</v>
      </c>
    </row>
    <row r="1207" spans="15:21" x14ac:dyDescent="0.35">
      <c r="O1207" s="18">
        <v>41234</v>
      </c>
      <c r="P1207">
        <v>237.28</v>
      </c>
      <c r="R1207" s="18">
        <v>45602</v>
      </c>
      <c r="S1207">
        <v>4917.1499999999996</v>
      </c>
      <c r="T1207">
        <v>370360</v>
      </c>
      <c r="U1207" s="18">
        <v>45602</v>
      </c>
    </row>
    <row r="1208" spans="15:21" x14ac:dyDescent="0.35">
      <c r="O1208" s="18">
        <v>41235</v>
      </c>
      <c r="P1208">
        <v>237.21</v>
      </c>
      <c r="R1208" s="18">
        <v>45603</v>
      </c>
      <c r="S1208">
        <v>4878</v>
      </c>
      <c r="T1208">
        <v>221550</v>
      </c>
      <c r="U1208" s="18">
        <v>45603</v>
      </c>
    </row>
    <row r="1209" spans="15:21" x14ac:dyDescent="0.35">
      <c r="O1209" s="18">
        <v>41236</v>
      </c>
      <c r="P1209">
        <v>242.7</v>
      </c>
      <c r="R1209" s="18">
        <v>45604</v>
      </c>
      <c r="S1209">
        <v>4785.25</v>
      </c>
      <c r="T1209">
        <v>194770</v>
      </c>
      <c r="U1209" s="18">
        <v>45604</v>
      </c>
    </row>
    <row r="1210" spans="15:21" x14ac:dyDescent="0.35">
      <c r="O1210" s="18">
        <v>41239</v>
      </c>
      <c r="P1210">
        <v>258.26</v>
      </c>
      <c r="R1210" s="18">
        <v>45607</v>
      </c>
      <c r="S1210">
        <v>4793.45</v>
      </c>
      <c r="T1210">
        <v>209240</v>
      </c>
      <c r="U1210" s="18">
        <v>45607</v>
      </c>
    </row>
    <row r="1211" spans="15:21" x14ac:dyDescent="0.35">
      <c r="O1211" s="18">
        <v>41240</v>
      </c>
      <c r="P1211">
        <v>261.26</v>
      </c>
      <c r="R1211" s="18">
        <v>45608</v>
      </c>
      <c r="S1211">
        <v>4738.2</v>
      </c>
      <c r="T1211">
        <v>326020</v>
      </c>
      <c r="U1211" s="18">
        <v>45608</v>
      </c>
    </row>
    <row r="1212" spans="15:21" x14ac:dyDescent="0.35">
      <c r="O1212" s="18">
        <v>41242</v>
      </c>
      <c r="P1212">
        <v>270.48</v>
      </c>
      <c r="R1212" s="18">
        <v>45609</v>
      </c>
      <c r="S1212">
        <v>4588.7</v>
      </c>
      <c r="T1212">
        <v>656930</v>
      </c>
      <c r="U1212" s="18">
        <v>45609</v>
      </c>
    </row>
    <row r="1213" spans="15:21" x14ac:dyDescent="0.35">
      <c r="O1213" s="18">
        <v>41243</v>
      </c>
      <c r="P1213">
        <v>273.82</v>
      </c>
      <c r="R1213" s="18">
        <v>45610</v>
      </c>
      <c r="S1213">
        <v>4883.7</v>
      </c>
      <c r="T1213">
        <v>2870000</v>
      </c>
      <c r="U1213" s="18">
        <v>45610</v>
      </c>
    </row>
    <row r="1214" spans="15:21" x14ac:dyDescent="0.35">
      <c r="O1214" s="18">
        <v>41246</v>
      </c>
      <c r="P1214">
        <v>280.86</v>
      </c>
      <c r="R1214" s="18">
        <v>45614</v>
      </c>
      <c r="S1214">
        <v>4875.6499999999996</v>
      </c>
      <c r="T1214">
        <v>494330</v>
      </c>
      <c r="U1214" s="18">
        <v>45614</v>
      </c>
    </row>
    <row r="1215" spans="15:21" x14ac:dyDescent="0.35">
      <c r="O1215" s="18">
        <v>41247</v>
      </c>
      <c r="P1215">
        <v>286.19</v>
      </c>
      <c r="R1215" s="18">
        <v>45615</v>
      </c>
      <c r="S1215">
        <v>4965.45</v>
      </c>
      <c r="T1215">
        <v>452270</v>
      </c>
      <c r="U1215" s="18">
        <v>45615</v>
      </c>
    </row>
    <row r="1216" spans="15:21" x14ac:dyDescent="0.35">
      <c r="O1216" s="18">
        <v>41248</v>
      </c>
      <c r="P1216">
        <v>276.85000000000002</v>
      </c>
      <c r="R1216" s="18">
        <v>45617</v>
      </c>
      <c r="S1216">
        <v>4882.1000000000004</v>
      </c>
      <c r="T1216">
        <v>593720</v>
      </c>
      <c r="U1216" s="18">
        <v>45617</v>
      </c>
    </row>
    <row r="1217" spans="15:21" x14ac:dyDescent="0.35">
      <c r="O1217" s="18">
        <v>41249</v>
      </c>
      <c r="P1217">
        <v>277.75</v>
      </c>
      <c r="R1217" s="18">
        <v>45618</v>
      </c>
      <c r="S1217">
        <v>4986.2</v>
      </c>
      <c r="T1217">
        <v>339940</v>
      </c>
      <c r="U1217" s="18">
        <v>45618</v>
      </c>
    </row>
    <row r="1218" spans="15:21" x14ac:dyDescent="0.35">
      <c r="O1218" s="18">
        <v>41250</v>
      </c>
      <c r="P1218">
        <v>269.01</v>
      </c>
      <c r="R1218" s="18">
        <v>45621</v>
      </c>
      <c r="S1218">
        <v>5002.3500000000004</v>
      </c>
      <c r="T1218">
        <v>945470</v>
      </c>
      <c r="U1218" s="18">
        <v>45621</v>
      </c>
    </row>
    <row r="1219" spans="15:21" x14ac:dyDescent="0.35">
      <c r="O1219" s="18">
        <v>41253</v>
      </c>
      <c r="P1219">
        <v>267</v>
      </c>
      <c r="R1219" s="18">
        <v>45622</v>
      </c>
      <c r="S1219">
        <v>4931.75</v>
      </c>
      <c r="T1219">
        <v>564640</v>
      </c>
      <c r="U1219" s="18">
        <v>45622</v>
      </c>
    </row>
    <row r="1220" spans="15:21" x14ac:dyDescent="0.35">
      <c r="O1220" s="18">
        <v>41254</v>
      </c>
      <c r="P1220">
        <v>268.27999999999997</v>
      </c>
      <c r="R1220" s="18">
        <v>45623</v>
      </c>
      <c r="S1220">
        <v>4917.5</v>
      </c>
      <c r="T1220">
        <v>189350</v>
      </c>
      <c r="U1220" s="18">
        <v>45623</v>
      </c>
    </row>
    <row r="1221" spans="15:21" x14ac:dyDescent="0.35">
      <c r="O1221" s="18">
        <v>41255</v>
      </c>
      <c r="P1221">
        <v>270.7</v>
      </c>
      <c r="R1221" s="18">
        <v>45624</v>
      </c>
      <c r="S1221">
        <v>4815.7</v>
      </c>
      <c r="T1221">
        <v>954250</v>
      </c>
      <c r="U1221" s="18">
        <v>45624</v>
      </c>
    </row>
    <row r="1222" spans="15:21" x14ac:dyDescent="0.35">
      <c r="O1222" s="18">
        <v>41256</v>
      </c>
      <c r="P1222">
        <v>269.56</v>
      </c>
      <c r="R1222" s="18">
        <v>45625</v>
      </c>
      <c r="S1222">
        <v>4831.8500000000004</v>
      </c>
      <c r="T1222">
        <v>407770</v>
      </c>
      <c r="U1222" s="18">
        <v>45625</v>
      </c>
    </row>
    <row r="1223" spans="15:21" x14ac:dyDescent="0.35">
      <c r="O1223" s="18">
        <v>41257</v>
      </c>
      <c r="P1223">
        <v>270.67</v>
      </c>
      <c r="R1223" s="18">
        <v>45628</v>
      </c>
      <c r="S1223">
        <v>4820.7</v>
      </c>
      <c r="T1223">
        <v>250520.00000000003</v>
      </c>
      <c r="U1223" s="18">
        <v>45628</v>
      </c>
    </row>
    <row r="1224" spans="15:21" x14ac:dyDescent="0.35">
      <c r="O1224" s="18">
        <v>41260</v>
      </c>
      <c r="P1224">
        <v>270.86</v>
      </c>
      <c r="R1224" s="18">
        <v>45629</v>
      </c>
      <c r="S1224">
        <v>4844.3500000000004</v>
      </c>
      <c r="T1224">
        <v>351450</v>
      </c>
      <c r="U1224" s="18">
        <v>45629</v>
      </c>
    </row>
    <row r="1225" spans="15:21" x14ac:dyDescent="0.35">
      <c r="O1225" s="18">
        <v>41261</v>
      </c>
      <c r="P1225">
        <v>269.47000000000003</v>
      </c>
      <c r="R1225" s="18">
        <v>45630</v>
      </c>
      <c r="S1225">
        <v>4797.05</v>
      </c>
      <c r="T1225">
        <v>349540</v>
      </c>
      <c r="U1225" s="18">
        <v>45630</v>
      </c>
    </row>
    <row r="1226" spans="15:21" x14ac:dyDescent="0.35">
      <c r="O1226" s="18">
        <v>41262</v>
      </c>
      <c r="P1226">
        <v>271.69</v>
      </c>
      <c r="R1226" s="18">
        <v>45631</v>
      </c>
      <c r="S1226">
        <v>4837.55</v>
      </c>
      <c r="T1226">
        <v>525960</v>
      </c>
      <c r="U1226" s="18">
        <v>45631</v>
      </c>
    </row>
    <row r="1227" spans="15:21" x14ac:dyDescent="0.35">
      <c r="O1227" s="18">
        <v>41263</v>
      </c>
      <c r="P1227">
        <v>272.33999999999997</v>
      </c>
      <c r="R1227" s="18">
        <v>45632</v>
      </c>
      <c r="S1227">
        <v>4877.05</v>
      </c>
      <c r="T1227">
        <v>327810</v>
      </c>
      <c r="U1227" s="18">
        <v>45632</v>
      </c>
    </row>
    <row r="1228" spans="15:21" x14ac:dyDescent="0.35">
      <c r="O1228" s="18">
        <v>41264</v>
      </c>
      <c r="P1228">
        <v>268.77</v>
      </c>
      <c r="R1228" s="18">
        <v>45635</v>
      </c>
      <c r="S1228">
        <v>4842.1000000000004</v>
      </c>
      <c r="T1228">
        <v>377040</v>
      </c>
      <c r="U1228" s="18">
        <v>45635</v>
      </c>
    </row>
    <row r="1229" spans="15:21" x14ac:dyDescent="0.35">
      <c r="O1229" s="18">
        <v>41267</v>
      </c>
      <c r="P1229">
        <v>268.33999999999997</v>
      </c>
      <c r="R1229" s="18">
        <v>45636</v>
      </c>
      <c r="S1229">
        <v>4813.05</v>
      </c>
      <c r="T1229">
        <v>342300</v>
      </c>
      <c r="U1229" s="18">
        <v>45636</v>
      </c>
    </row>
    <row r="1230" spans="15:21" x14ac:dyDescent="0.35">
      <c r="O1230" s="18">
        <v>41269</v>
      </c>
      <c r="P1230">
        <v>281.42</v>
      </c>
      <c r="R1230" s="18">
        <v>45637</v>
      </c>
      <c r="S1230">
        <v>4801.95</v>
      </c>
      <c r="T1230">
        <v>240740</v>
      </c>
      <c r="U1230" s="18">
        <v>45637</v>
      </c>
    </row>
    <row r="1231" spans="15:21" x14ac:dyDescent="0.35">
      <c r="O1231" s="18">
        <v>41270</v>
      </c>
      <c r="P1231">
        <v>275.29000000000002</v>
      </c>
      <c r="R1231" s="18">
        <v>45638</v>
      </c>
      <c r="S1231">
        <v>4807.6499999999996</v>
      </c>
      <c r="T1231">
        <v>236850</v>
      </c>
      <c r="U1231" s="18">
        <v>45638</v>
      </c>
    </row>
    <row r="1232" spans="15:21" x14ac:dyDescent="0.35">
      <c r="O1232" s="18">
        <v>41271</v>
      </c>
      <c r="P1232">
        <v>280.25</v>
      </c>
      <c r="R1232" s="18">
        <v>45639</v>
      </c>
      <c r="S1232">
        <v>4825.8999999999996</v>
      </c>
      <c r="T1232">
        <v>404370</v>
      </c>
      <c r="U1232" s="18">
        <v>45639</v>
      </c>
    </row>
    <row r="1233" spans="15:21" x14ac:dyDescent="0.35">
      <c r="O1233" s="18">
        <v>41274</v>
      </c>
      <c r="P1233">
        <v>290.66000000000003</v>
      </c>
      <c r="R1233" s="18">
        <v>45642</v>
      </c>
      <c r="S1233">
        <v>4838.5</v>
      </c>
      <c r="T1233">
        <v>404180</v>
      </c>
      <c r="U1233" s="18">
        <v>45642</v>
      </c>
    </row>
    <row r="1234" spans="15:21" x14ac:dyDescent="0.35">
      <c r="O1234" s="18">
        <v>41275</v>
      </c>
      <c r="P1234">
        <v>292.31</v>
      </c>
      <c r="R1234" s="18">
        <v>45643</v>
      </c>
      <c r="S1234">
        <v>4742.6499999999996</v>
      </c>
      <c r="T1234">
        <v>402230</v>
      </c>
      <c r="U1234" s="18">
        <v>45643</v>
      </c>
    </row>
    <row r="1235" spans="15:21" x14ac:dyDescent="0.35">
      <c r="O1235" s="18">
        <v>41276</v>
      </c>
      <c r="P1235">
        <v>285.54000000000002</v>
      </c>
      <c r="R1235" s="18">
        <v>45644</v>
      </c>
      <c r="S1235">
        <v>4749.8500000000004</v>
      </c>
      <c r="T1235">
        <v>331580</v>
      </c>
      <c r="U1235" s="18">
        <v>45644</v>
      </c>
    </row>
    <row r="1236" spans="15:21" x14ac:dyDescent="0.35">
      <c r="O1236" s="18">
        <v>41277</v>
      </c>
      <c r="P1236">
        <v>286.02</v>
      </c>
      <c r="R1236" s="18">
        <v>45645</v>
      </c>
      <c r="S1236">
        <v>4771.95</v>
      </c>
      <c r="T1236">
        <v>500290</v>
      </c>
      <c r="U1236" s="18">
        <v>45645</v>
      </c>
    </row>
    <row r="1237" spans="15:21" x14ac:dyDescent="0.35">
      <c r="O1237" s="18">
        <v>41278</v>
      </c>
      <c r="P1237">
        <v>282.27</v>
      </c>
      <c r="R1237" s="18">
        <v>45646</v>
      </c>
      <c r="S1237">
        <v>4734.5</v>
      </c>
      <c r="T1237">
        <v>386090</v>
      </c>
      <c r="U1237" s="18">
        <v>45646</v>
      </c>
    </row>
    <row r="1238" spans="15:21" x14ac:dyDescent="0.35">
      <c r="O1238" s="18">
        <v>41281</v>
      </c>
      <c r="P1238">
        <v>284.35000000000002</v>
      </c>
      <c r="R1238" s="18">
        <v>45649</v>
      </c>
      <c r="S1238">
        <v>4750.55</v>
      </c>
      <c r="T1238">
        <v>371320</v>
      </c>
      <c r="U1238" s="18">
        <v>45649</v>
      </c>
    </row>
    <row r="1239" spans="15:21" x14ac:dyDescent="0.35">
      <c r="O1239" s="18">
        <v>41282</v>
      </c>
      <c r="P1239">
        <v>279.48</v>
      </c>
      <c r="R1239" s="18">
        <v>45650</v>
      </c>
      <c r="S1239">
        <v>4792.8999999999996</v>
      </c>
      <c r="T1239">
        <v>227610</v>
      </c>
      <c r="U1239" s="18">
        <v>45650</v>
      </c>
    </row>
    <row r="1240" spans="15:21" x14ac:dyDescent="0.35">
      <c r="O1240" s="18">
        <v>41283</v>
      </c>
      <c r="P1240">
        <v>276.73</v>
      </c>
      <c r="R1240" s="18">
        <v>45652</v>
      </c>
      <c r="S1240">
        <v>4801.3500000000004</v>
      </c>
      <c r="T1240">
        <v>328170</v>
      </c>
      <c r="U1240" s="18">
        <v>45652</v>
      </c>
    </row>
    <row r="1241" spans="15:21" x14ac:dyDescent="0.35">
      <c r="O1241" s="18">
        <v>41284</v>
      </c>
      <c r="P1241">
        <v>280.61</v>
      </c>
      <c r="R1241" s="18">
        <v>45653</v>
      </c>
      <c r="S1241">
        <v>4876.8999999999996</v>
      </c>
      <c r="T1241">
        <v>408990</v>
      </c>
      <c r="U1241" s="18">
        <v>45653</v>
      </c>
    </row>
    <row r="1242" spans="15:21" x14ac:dyDescent="0.35">
      <c r="O1242" s="18">
        <v>41285</v>
      </c>
      <c r="P1242">
        <v>281.08</v>
      </c>
      <c r="R1242" s="18">
        <v>45656</v>
      </c>
      <c r="S1242">
        <v>4855.8</v>
      </c>
      <c r="T1242">
        <v>242800</v>
      </c>
      <c r="U1242" s="18">
        <v>45656</v>
      </c>
    </row>
    <row r="1243" spans="15:21" x14ac:dyDescent="0.35">
      <c r="O1243" s="18">
        <v>41288</v>
      </c>
      <c r="P1243">
        <v>276.45</v>
      </c>
      <c r="R1243" s="18">
        <v>45657</v>
      </c>
      <c r="S1243">
        <v>4821.8999999999996</v>
      </c>
      <c r="T1243">
        <v>313950</v>
      </c>
      <c r="U1243" s="18">
        <v>45657</v>
      </c>
    </row>
    <row r="1244" spans="15:21" x14ac:dyDescent="0.35">
      <c r="O1244" s="18">
        <v>41289</v>
      </c>
      <c r="P1244">
        <v>277.44</v>
      </c>
      <c r="R1244" s="18">
        <v>45658</v>
      </c>
      <c r="S1244">
        <v>4885.3</v>
      </c>
      <c r="T1244">
        <v>290230</v>
      </c>
      <c r="U1244" s="18">
        <v>45658</v>
      </c>
    </row>
    <row r="1245" spans="15:21" x14ac:dyDescent="0.35">
      <c r="O1245" s="18">
        <v>41290</v>
      </c>
      <c r="P1245">
        <v>277.42</v>
      </c>
      <c r="R1245" s="18">
        <v>45659</v>
      </c>
      <c r="S1245">
        <v>5308.1</v>
      </c>
      <c r="T1245">
        <v>2860000</v>
      </c>
      <c r="U1245" s="18">
        <v>45659</v>
      </c>
    </row>
    <row r="1246" spans="15:21" x14ac:dyDescent="0.35">
      <c r="O1246" s="18">
        <v>41291</v>
      </c>
      <c r="P1246">
        <v>273.06</v>
      </c>
      <c r="R1246" s="18">
        <v>45660</v>
      </c>
      <c r="S1246">
        <v>5310.75</v>
      </c>
      <c r="T1246">
        <v>836690</v>
      </c>
      <c r="U1246" s="18">
        <v>45660</v>
      </c>
    </row>
    <row r="1247" spans="15:21" x14ac:dyDescent="0.35">
      <c r="O1247" s="18">
        <v>41292</v>
      </c>
      <c r="P1247">
        <v>271.23</v>
      </c>
      <c r="R1247" s="18">
        <v>45663</v>
      </c>
      <c r="S1247">
        <v>5250.1</v>
      </c>
      <c r="T1247">
        <v>419050</v>
      </c>
      <c r="U1247" s="18">
        <v>45663</v>
      </c>
    </row>
    <row r="1248" spans="15:21" x14ac:dyDescent="0.35">
      <c r="O1248" s="18">
        <v>41295</v>
      </c>
      <c r="P1248">
        <v>269.31</v>
      </c>
      <c r="R1248" s="18">
        <v>45664</v>
      </c>
      <c r="S1248">
        <v>5177.3</v>
      </c>
      <c r="T1248">
        <v>439720</v>
      </c>
      <c r="U1248" s="18">
        <v>45664</v>
      </c>
    </row>
    <row r="1249" spans="15:21" x14ac:dyDescent="0.35">
      <c r="O1249" s="18">
        <v>41296</v>
      </c>
      <c r="P1249">
        <v>269.73</v>
      </c>
      <c r="R1249" s="18">
        <v>45665</v>
      </c>
      <c r="S1249">
        <v>5163.2</v>
      </c>
      <c r="T1249">
        <v>343160</v>
      </c>
      <c r="U1249" s="18">
        <v>45665</v>
      </c>
    </row>
    <row r="1250" spans="15:21" x14ac:dyDescent="0.35">
      <c r="O1250" s="18">
        <v>41297</v>
      </c>
      <c r="P1250">
        <v>267.12</v>
      </c>
      <c r="R1250" s="18">
        <v>45666</v>
      </c>
      <c r="S1250">
        <v>5139.8999999999996</v>
      </c>
      <c r="T1250">
        <v>239410</v>
      </c>
      <c r="U1250" s="18">
        <v>45666</v>
      </c>
    </row>
    <row r="1251" spans="15:21" x14ac:dyDescent="0.35">
      <c r="O1251" s="18">
        <v>41298</v>
      </c>
      <c r="P1251">
        <v>269.95</v>
      </c>
      <c r="R1251" s="18">
        <v>45667</v>
      </c>
      <c r="S1251">
        <v>5058.45</v>
      </c>
      <c r="T1251">
        <v>316800</v>
      </c>
      <c r="U1251" s="18">
        <v>45667</v>
      </c>
    </row>
    <row r="1252" spans="15:21" x14ac:dyDescent="0.35">
      <c r="O1252" s="18">
        <v>41299</v>
      </c>
      <c r="P1252">
        <v>265.38</v>
      </c>
      <c r="R1252" s="18">
        <v>45670</v>
      </c>
      <c r="S1252">
        <v>4939.1000000000004</v>
      </c>
      <c r="T1252">
        <v>213090</v>
      </c>
      <c r="U1252" s="18">
        <v>45670</v>
      </c>
    </row>
    <row r="1253" spans="15:21" x14ac:dyDescent="0.35">
      <c r="O1253" s="18">
        <v>41302</v>
      </c>
      <c r="P1253">
        <v>264.01</v>
      </c>
      <c r="R1253" s="18">
        <v>45671</v>
      </c>
      <c r="S1253">
        <v>5029.55</v>
      </c>
      <c r="T1253">
        <v>448430</v>
      </c>
      <c r="U1253" s="18">
        <v>45671</v>
      </c>
    </row>
    <row r="1254" spans="15:21" x14ac:dyDescent="0.35">
      <c r="O1254" s="18">
        <v>41303</v>
      </c>
      <c r="P1254">
        <v>273.10000000000002</v>
      </c>
      <c r="R1254" s="18">
        <v>45672</v>
      </c>
      <c r="S1254">
        <v>5081.8999999999996</v>
      </c>
      <c r="T1254">
        <v>497260</v>
      </c>
      <c r="U1254" s="18">
        <v>45672</v>
      </c>
    </row>
    <row r="1255" spans="15:21" x14ac:dyDescent="0.35">
      <c r="O1255" s="18">
        <v>41304</v>
      </c>
      <c r="P1255">
        <v>276.26</v>
      </c>
      <c r="R1255" s="18">
        <v>45673</v>
      </c>
      <c r="S1255">
        <v>5047.8</v>
      </c>
      <c r="T1255">
        <v>435320</v>
      </c>
      <c r="U1255" s="18">
        <v>45673</v>
      </c>
    </row>
    <row r="1256" spans="15:21" x14ac:dyDescent="0.35">
      <c r="O1256" s="18">
        <v>41305</v>
      </c>
      <c r="P1256">
        <v>282.04000000000002</v>
      </c>
      <c r="R1256" s="18">
        <v>45674</v>
      </c>
      <c r="S1256">
        <v>5012.3</v>
      </c>
      <c r="T1256">
        <v>197560</v>
      </c>
      <c r="U1256" s="18">
        <v>45674</v>
      </c>
    </row>
    <row r="1257" spans="15:21" x14ac:dyDescent="0.35">
      <c r="O1257" s="18">
        <v>41306</v>
      </c>
      <c r="P1257">
        <v>284.12</v>
      </c>
      <c r="R1257" s="18">
        <v>45677</v>
      </c>
      <c r="S1257">
        <v>5016.75</v>
      </c>
      <c r="T1257">
        <v>255320</v>
      </c>
      <c r="U1257" s="18">
        <v>45677</v>
      </c>
    </row>
    <row r="1258" spans="15:21" x14ac:dyDescent="0.35">
      <c r="O1258" s="18">
        <v>41309</v>
      </c>
      <c r="P1258">
        <v>287.88</v>
      </c>
      <c r="R1258" s="18">
        <v>45678</v>
      </c>
      <c r="S1258">
        <v>4969.95</v>
      </c>
      <c r="T1258">
        <v>416550</v>
      </c>
      <c r="U1258" s="18">
        <v>45678</v>
      </c>
    </row>
    <row r="1259" spans="15:21" x14ac:dyDescent="0.35">
      <c r="O1259" s="18">
        <v>41310</v>
      </c>
      <c r="P1259">
        <v>287.67</v>
      </c>
      <c r="R1259" s="18">
        <v>45679</v>
      </c>
      <c r="S1259">
        <v>5009.7</v>
      </c>
      <c r="T1259">
        <v>494730</v>
      </c>
      <c r="U1259" s="18">
        <v>45679</v>
      </c>
    </row>
    <row r="1260" spans="15:21" x14ac:dyDescent="0.35">
      <c r="O1260" s="18">
        <v>41311</v>
      </c>
      <c r="P1260">
        <v>277.37</v>
      </c>
      <c r="R1260" s="18">
        <v>45680</v>
      </c>
      <c r="S1260">
        <v>5116.2</v>
      </c>
      <c r="T1260">
        <v>442190</v>
      </c>
      <c r="U1260" s="18">
        <v>45680</v>
      </c>
    </row>
    <row r="1261" spans="15:21" x14ac:dyDescent="0.35">
      <c r="O1261" s="18">
        <v>41312</v>
      </c>
      <c r="P1261">
        <v>278.61</v>
      </c>
      <c r="R1261" s="18">
        <v>45681</v>
      </c>
      <c r="S1261">
        <v>5206.3</v>
      </c>
      <c r="T1261">
        <v>730640</v>
      </c>
      <c r="U1261" s="18">
        <v>45681</v>
      </c>
    </row>
    <row r="1262" spans="15:21" x14ac:dyDescent="0.35">
      <c r="O1262" s="18">
        <v>41313</v>
      </c>
      <c r="P1262">
        <v>274.01</v>
      </c>
      <c r="R1262" s="18">
        <v>45684</v>
      </c>
      <c r="S1262">
        <v>5144.5</v>
      </c>
      <c r="T1262">
        <v>418600</v>
      </c>
      <c r="U1262" s="18">
        <v>45684</v>
      </c>
    </row>
    <row r="1263" spans="15:21" x14ac:dyDescent="0.35">
      <c r="O1263" s="18">
        <v>41316</v>
      </c>
      <c r="P1263">
        <v>274.12</v>
      </c>
      <c r="R1263" s="18">
        <v>45685</v>
      </c>
      <c r="S1263">
        <v>5105.3999999999996</v>
      </c>
      <c r="T1263">
        <v>603950</v>
      </c>
      <c r="U1263" s="18">
        <v>45685</v>
      </c>
    </row>
    <row r="1264" spans="15:21" x14ac:dyDescent="0.35">
      <c r="O1264" s="18">
        <v>41317</v>
      </c>
      <c r="P1264">
        <v>267.13</v>
      </c>
      <c r="R1264" s="18">
        <v>45686</v>
      </c>
      <c r="S1264">
        <v>5182.8999999999996</v>
      </c>
      <c r="T1264">
        <v>357310</v>
      </c>
      <c r="U1264" s="18">
        <v>45686</v>
      </c>
    </row>
    <row r="1265" spans="15:21" x14ac:dyDescent="0.35">
      <c r="O1265" s="18">
        <v>41318</v>
      </c>
      <c r="P1265">
        <v>262.47000000000003</v>
      </c>
      <c r="R1265" s="18">
        <v>45687</v>
      </c>
      <c r="S1265">
        <v>5164.3500000000004</v>
      </c>
      <c r="T1265">
        <v>480830</v>
      </c>
      <c r="U1265" s="18">
        <v>45687</v>
      </c>
    </row>
    <row r="1266" spans="15:21" x14ac:dyDescent="0.35">
      <c r="O1266" s="18">
        <v>41319</v>
      </c>
      <c r="P1266">
        <v>268.7</v>
      </c>
      <c r="R1266" s="18">
        <v>45688</v>
      </c>
      <c r="S1266">
        <v>5194.3</v>
      </c>
      <c r="T1266">
        <v>394120</v>
      </c>
      <c r="U1266" s="18">
        <v>45688</v>
      </c>
    </row>
    <row r="1267" spans="15:21" x14ac:dyDescent="0.35">
      <c r="O1267" s="18">
        <v>41320</v>
      </c>
      <c r="P1267">
        <v>265.93</v>
      </c>
      <c r="R1267" s="18">
        <v>45689</v>
      </c>
      <c r="S1267">
        <v>5390.15</v>
      </c>
      <c r="T1267">
        <v>609530</v>
      </c>
      <c r="U1267" s="18">
        <v>45689</v>
      </c>
    </row>
    <row r="1268" spans="15:21" x14ac:dyDescent="0.35">
      <c r="O1268" s="18">
        <v>41323</v>
      </c>
      <c r="P1268">
        <v>268.95</v>
      </c>
      <c r="R1268" s="18">
        <v>45691</v>
      </c>
      <c r="S1268">
        <v>5485.25</v>
      </c>
      <c r="T1268">
        <v>1330000</v>
      </c>
      <c r="U1268" s="18">
        <v>45691</v>
      </c>
    </row>
    <row r="1269" spans="15:21" x14ac:dyDescent="0.35">
      <c r="O1269" s="18">
        <v>41324</v>
      </c>
      <c r="P1269">
        <v>283.95999999999998</v>
      </c>
      <c r="R1269" s="18">
        <v>45692</v>
      </c>
      <c r="S1269">
        <v>5450.1</v>
      </c>
      <c r="T1269">
        <v>591630</v>
      </c>
      <c r="U1269" s="18">
        <v>45692</v>
      </c>
    </row>
    <row r="1270" spans="15:21" x14ac:dyDescent="0.35">
      <c r="O1270" s="18">
        <v>41325</v>
      </c>
      <c r="P1270">
        <v>281.39</v>
      </c>
      <c r="R1270" s="18">
        <v>45693</v>
      </c>
      <c r="S1270">
        <v>5417.2</v>
      </c>
      <c r="T1270">
        <v>442230</v>
      </c>
      <c r="U1270" s="18">
        <v>45693</v>
      </c>
    </row>
    <row r="1271" spans="15:21" x14ac:dyDescent="0.35">
      <c r="O1271" s="18">
        <v>41326</v>
      </c>
      <c r="P1271">
        <v>279.16000000000003</v>
      </c>
      <c r="R1271" s="18">
        <v>45694</v>
      </c>
      <c r="S1271">
        <v>5342</v>
      </c>
      <c r="T1271">
        <v>361000</v>
      </c>
      <c r="U1271" s="18">
        <v>45694</v>
      </c>
    </row>
    <row r="1272" spans="15:21" x14ac:dyDescent="0.35">
      <c r="O1272" s="18">
        <v>41327</v>
      </c>
      <c r="P1272">
        <v>279.58999999999997</v>
      </c>
      <c r="R1272" s="18">
        <v>45695</v>
      </c>
      <c r="S1272">
        <v>5372.55</v>
      </c>
      <c r="T1272">
        <v>604380</v>
      </c>
      <c r="U1272" s="18">
        <v>45695</v>
      </c>
    </row>
    <row r="1273" spans="15:21" x14ac:dyDescent="0.35">
      <c r="O1273" s="18">
        <v>41330</v>
      </c>
      <c r="P1273">
        <v>278.2</v>
      </c>
      <c r="R1273" s="18">
        <v>45698</v>
      </c>
      <c r="S1273">
        <v>5335.35</v>
      </c>
      <c r="T1273">
        <v>631820</v>
      </c>
      <c r="U1273" s="18">
        <v>45698</v>
      </c>
    </row>
    <row r="1274" spans="15:21" x14ac:dyDescent="0.35">
      <c r="O1274" s="18">
        <v>41331</v>
      </c>
      <c r="P1274">
        <v>276.94</v>
      </c>
      <c r="R1274" s="18">
        <v>45699</v>
      </c>
      <c r="S1274">
        <v>4972.3500000000004</v>
      </c>
      <c r="T1274">
        <v>2270000</v>
      </c>
      <c r="U1274" s="18">
        <v>45699</v>
      </c>
    </row>
    <row r="1275" spans="15:21" x14ac:dyDescent="0.35">
      <c r="O1275" s="18">
        <v>41332</v>
      </c>
      <c r="P1275">
        <v>277.69</v>
      </c>
      <c r="R1275" s="18">
        <v>45700</v>
      </c>
      <c r="S1275">
        <v>4849.45</v>
      </c>
      <c r="T1275">
        <v>813860</v>
      </c>
      <c r="U1275" s="18">
        <v>45700</v>
      </c>
    </row>
    <row r="1276" spans="15:21" x14ac:dyDescent="0.35">
      <c r="O1276" s="18">
        <v>41333</v>
      </c>
      <c r="P1276">
        <v>277.06</v>
      </c>
      <c r="R1276" s="18">
        <v>45701</v>
      </c>
      <c r="S1276">
        <v>4820.3999999999996</v>
      </c>
      <c r="T1276">
        <v>571530</v>
      </c>
      <c r="U1276" s="18">
        <v>45701</v>
      </c>
    </row>
    <row r="1277" spans="15:21" x14ac:dyDescent="0.35">
      <c r="O1277" s="18">
        <v>41334</v>
      </c>
      <c r="P1277">
        <v>277.27999999999997</v>
      </c>
      <c r="R1277" s="18">
        <v>45702</v>
      </c>
      <c r="S1277">
        <v>4703.3500000000004</v>
      </c>
      <c r="T1277">
        <v>476470</v>
      </c>
      <c r="U1277" s="18">
        <v>45702</v>
      </c>
    </row>
    <row r="1278" spans="15:21" x14ac:dyDescent="0.35">
      <c r="O1278" s="18">
        <v>41337</v>
      </c>
      <c r="P1278">
        <v>278.08</v>
      </c>
      <c r="R1278" s="18">
        <v>45705</v>
      </c>
      <c r="S1278">
        <v>4745.2</v>
      </c>
      <c r="T1278">
        <v>232210</v>
      </c>
      <c r="U1278" s="18">
        <v>45705</v>
      </c>
    </row>
    <row r="1279" spans="15:21" x14ac:dyDescent="0.35">
      <c r="O1279" s="18">
        <v>41338</v>
      </c>
      <c r="P1279">
        <v>279.93</v>
      </c>
      <c r="R1279" s="18">
        <v>45706</v>
      </c>
      <c r="S1279">
        <v>4719.3999999999996</v>
      </c>
      <c r="T1279">
        <v>254029.99999999997</v>
      </c>
      <c r="U1279" s="18">
        <v>45706</v>
      </c>
    </row>
    <row r="1280" spans="15:21" x14ac:dyDescent="0.35">
      <c r="O1280" s="18">
        <v>41339</v>
      </c>
      <c r="P1280">
        <v>278.42</v>
      </c>
      <c r="R1280" s="18">
        <v>45707</v>
      </c>
      <c r="S1280">
        <v>4810.6000000000004</v>
      </c>
      <c r="T1280">
        <v>275720</v>
      </c>
      <c r="U1280" s="18">
        <v>45707</v>
      </c>
    </row>
    <row r="1281" spans="15:21" x14ac:dyDescent="0.35">
      <c r="O1281" s="18">
        <v>41340</v>
      </c>
      <c r="P1281">
        <v>278.68</v>
      </c>
      <c r="R1281" s="18">
        <v>45708</v>
      </c>
      <c r="S1281">
        <v>4888.3999999999996</v>
      </c>
      <c r="T1281">
        <v>277280</v>
      </c>
      <c r="U1281" s="18">
        <v>45708</v>
      </c>
    </row>
    <row r="1282" spans="15:21" x14ac:dyDescent="0.35">
      <c r="O1282" s="18">
        <v>41341</v>
      </c>
      <c r="P1282">
        <v>279.39</v>
      </c>
      <c r="R1282" s="18">
        <v>45709</v>
      </c>
      <c r="S1282">
        <v>4962.45</v>
      </c>
      <c r="T1282">
        <v>324030</v>
      </c>
      <c r="U1282" s="18">
        <v>45709</v>
      </c>
    </row>
    <row r="1283" spans="15:21" x14ac:dyDescent="0.35">
      <c r="O1283" s="18">
        <v>41344</v>
      </c>
      <c r="P1283">
        <v>276.37</v>
      </c>
      <c r="R1283" s="18">
        <v>45712</v>
      </c>
      <c r="S1283">
        <v>5010.8</v>
      </c>
      <c r="T1283">
        <v>410180</v>
      </c>
      <c r="U1283" s="18">
        <v>45712</v>
      </c>
    </row>
    <row r="1284" spans="15:21" x14ac:dyDescent="0.35">
      <c r="O1284" s="18">
        <v>41345</v>
      </c>
      <c r="P1284">
        <v>276.51</v>
      </c>
      <c r="R1284" s="18">
        <v>45713</v>
      </c>
      <c r="S1284">
        <v>4989.8</v>
      </c>
      <c r="T1284">
        <v>402920</v>
      </c>
      <c r="U1284" s="18">
        <v>45713</v>
      </c>
    </row>
    <row r="1285" spans="15:21" x14ac:dyDescent="0.35">
      <c r="O1285" s="18">
        <v>41346</v>
      </c>
      <c r="P1285">
        <v>277.23</v>
      </c>
      <c r="R1285" s="18">
        <v>45715</v>
      </c>
      <c r="S1285">
        <v>4935.5</v>
      </c>
      <c r="T1285">
        <v>561800</v>
      </c>
      <c r="U1285" s="18">
        <v>45715</v>
      </c>
    </row>
    <row r="1286" spans="15:21" x14ac:dyDescent="0.35">
      <c r="O1286" s="18">
        <v>41347</v>
      </c>
      <c r="P1286">
        <v>276.56</v>
      </c>
      <c r="R1286" s="18">
        <v>45716</v>
      </c>
      <c r="S1286">
        <v>4773.6000000000004</v>
      </c>
      <c r="T1286">
        <v>1080000</v>
      </c>
      <c r="U1286" s="18">
        <v>45716</v>
      </c>
    </row>
    <row r="1287" spans="15:21" x14ac:dyDescent="0.35">
      <c r="O1287" s="18">
        <v>41348</v>
      </c>
      <c r="P1287">
        <v>279.05</v>
      </c>
      <c r="R1287" s="18">
        <v>45719</v>
      </c>
      <c r="S1287">
        <v>4906.6000000000004</v>
      </c>
      <c r="T1287">
        <v>503560</v>
      </c>
      <c r="U1287" s="18">
        <v>45719</v>
      </c>
    </row>
    <row r="1288" spans="15:21" x14ac:dyDescent="0.35">
      <c r="O1288" s="18">
        <v>41351</v>
      </c>
      <c r="P1288">
        <v>277.48</v>
      </c>
      <c r="R1288" s="18">
        <v>45720</v>
      </c>
      <c r="S1288">
        <v>4815.1000000000004</v>
      </c>
      <c r="T1288">
        <v>638280</v>
      </c>
      <c r="U1288" s="18">
        <v>45720</v>
      </c>
    </row>
    <row r="1289" spans="15:21" x14ac:dyDescent="0.35">
      <c r="O1289" s="18">
        <v>41352</v>
      </c>
      <c r="P1289">
        <v>276.67</v>
      </c>
      <c r="R1289" s="18">
        <v>45721</v>
      </c>
      <c r="S1289">
        <v>4988.3</v>
      </c>
      <c r="T1289">
        <v>551830</v>
      </c>
      <c r="U1289" s="18">
        <v>45721</v>
      </c>
    </row>
    <row r="1290" spans="15:21" x14ac:dyDescent="0.35">
      <c r="O1290" s="18">
        <v>41353</v>
      </c>
      <c r="P1290">
        <v>275.01</v>
      </c>
      <c r="R1290" s="18">
        <v>45722</v>
      </c>
      <c r="S1290">
        <v>5094.3999999999996</v>
      </c>
      <c r="T1290">
        <v>648310</v>
      </c>
      <c r="U1290" s="18">
        <v>45722</v>
      </c>
    </row>
    <row r="1291" spans="15:21" x14ac:dyDescent="0.35">
      <c r="O1291" s="18">
        <v>41354</v>
      </c>
      <c r="P1291">
        <v>277.27</v>
      </c>
      <c r="R1291" s="18">
        <v>45723</v>
      </c>
      <c r="S1291">
        <v>5100.7</v>
      </c>
      <c r="T1291">
        <v>590550</v>
      </c>
      <c r="U1291" s="18">
        <v>45723</v>
      </c>
    </row>
    <row r="1292" spans="15:21" x14ac:dyDescent="0.35">
      <c r="O1292" s="18">
        <v>41355</v>
      </c>
      <c r="P1292">
        <v>267.88</v>
      </c>
      <c r="R1292" s="18">
        <v>45726</v>
      </c>
      <c r="S1292">
        <v>4990.55</v>
      </c>
      <c r="T1292">
        <v>316750</v>
      </c>
      <c r="U1292" s="18">
        <v>45726</v>
      </c>
    </row>
    <row r="1293" spans="15:21" x14ac:dyDescent="0.35">
      <c r="O1293" s="18">
        <v>41358</v>
      </c>
      <c r="P1293">
        <v>260.68</v>
      </c>
      <c r="R1293" s="18">
        <v>45727</v>
      </c>
      <c r="S1293">
        <v>4985.55</v>
      </c>
      <c r="T1293">
        <v>228130</v>
      </c>
      <c r="U1293" s="18">
        <v>45727</v>
      </c>
    </row>
    <row r="1294" spans="15:21" x14ac:dyDescent="0.35">
      <c r="O1294" s="18">
        <v>41359</v>
      </c>
      <c r="P1294">
        <v>256.31</v>
      </c>
      <c r="R1294" s="18">
        <v>45728</v>
      </c>
      <c r="S1294">
        <v>5017.45</v>
      </c>
      <c r="T1294">
        <v>235020</v>
      </c>
      <c r="U1294" s="18">
        <v>45728</v>
      </c>
    </row>
    <row r="1295" spans="15:21" x14ac:dyDescent="0.35">
      <c r="O1295" s="18">
        <v>41361</v>
      </c>
      <c r="P1295">
        <v>256.22000000000003</v>
      </c>
      <c r="R1295" s="18">
        <v>45729</v>
      </c>
      <c r="S1295">
        <v>5015.25</v>
      </c>
      <c r="T1295">
        <v>265870</v>
      </c>
      <c r="U1295" s="18">
        <v>45729</v>
      </c>
    </row>
    <row r="1296" spans="15:21" x14ac:dyDescent="0.35">
      <c r="O1296" s="18">
        <v>41365</v>
      </c>
      <c r="P1296">
        <v>255.19</v>
      </c>
      <c r="R1296" s="18">
        <v>45733</v>
      </c>
      <c r="S1296">
        <v>5050.25</v>
      </c>
      <c r="T1296">
        <v>287730</v>
      </c>
      <c r="U1296" s="18">
        <v>45733</v>
      </c>
    </row>
    <row r="1297" spans="15:21" x14ac:dyDescent="0.35">
      <c r="O1297" s="18">
        <v>41366</v>
      </c>
      <c r="P1297">
        <v>270.25</v>
      </c>
      <c r="R1297" s="18">
        <v>45734</v>
      </c>
      <c r="S1297">
        <v>5127.3999999999996</v>
      </c>
      <c r="T1297">
        <v>328250</v>
      </c>
      <c r="U1297" s="18">
        <v>45734</v>
      </c>
    </row>
    <row r="1298" spans="15:21" x14ac:dyDescent="0.35">
      <c r="O1298" s="18">
        <v>41367</v>
      </c>
      <c r="P1298">
        <v>269.7</v>
      </c>
      <c r="R1298" s="18">
        <v>45735</v>
      </c>
      <c r="S1298">
        <v>5100.8999999999996</v>
      </c>
      <c r="T1298">
        <v>417980</v>
      </c>
      <c r="U1298" s="18">
        <v>45735</v>
      </c>
    </row>
    <row r="1299" spans="15:21" x14ac:dyDescent="0.35">
      <c r="O1299" s="18">
        <v>41368</v>
      </c>
      <c r="P1299">
        <v>265.77</v>
      </c>
      <c r="R1299" s="18">
        <v>45736</v>
      </c>
      <c r="S1299">
        <v>5229.3500000000004</v>
      </c>
      <c r="T1299">
        <v>491660</v>
      </c>
      <c r="U1299" s="18">
        <v>45736</v>
      </c>
    </row>
    <row r="1300" spans="15:21" x14ac:dyDescent="0.35">
      <c r="O1300" s="18">
        <v>41369</v>
      </c>
      <c r="P1300">
        <v>266.43</v>
      </c>
      <c r="R1300" s="18">
        <v>45737</v>
      </c>
      <c r="S1300">
        <v>5305.95</v>
      </c>
      <c r="T1300">
        <v>414690</v>
      </c>
      <c r="U1300" s="18">
        <v>45737</v>
      </c>
    </row>
    <row r="1301" spans="15:21" x14ac:dyDescent="0.35">
      <c r="O1301" s="18">
        <v>41372</v>
      </c>
      <c r="P1301">
        <v>270.25</v>
      </c>
      <c r="R1301" s="18">
        <v>45740</v>
      </c>
      <c r="S1301">
        <v>5424.2</v>
      </c>
      <c r="T1301">
        <v>316610</v>
      </c>
      <c r="U1301" s="18">
        <v>45740</v>
      </c>
    </row>
    <row r="1302" spans="15:21" x14ac:dyDescent="0.35">
      <c r="O1302" s="18">
        <v>41373</v>
      </c>
      <c r="P1302">
        <v>272.88</v>
      </c>
      <c r="R1302" s="18">
        <v>45741</v>
      </c>
      <c r="S1302">
        <v>5431.25</v>
      </c>
      <c r="T1302">
        <v>324010</v>
      </c>
      <c r="U1302" s="18">
        <v>45741</v>
      </c>
    </row>
    <row r="1303" spans="15:21" x14ac:dyDescent="0.35">
      <c r="O1303" s="18">
        <v>41374</v>
      </c>
      <c r="P1303">
        <v>278.48</v>
      </c>
      <c r="R1303" s="18">
        <v>45742</v>
      </c>
      <c r="S1303">
        <v>5403.3</v>
      </c>
      <c r="T1303">
        <v>384680</v>
      </c>
      <c r="U1303" s="18">
        <v>45742</v>
      </c>
    </row>
    <row r="1304" spans="15:21" x14ac:dyDescent="0.35">
      <c r="O1304" s="18">
        <v>41375</v>
      </c>
      <c r="P1304">
        <v>280.81</v>
      </c>
      <c r="R1304" s="18">
        <v>45743</v>
      </c>
      <c r="S1304">
        <v>5345.75</v>
      </c>
      <c r="T1304">
        <v>603150</v>
      </c>
      <c r="U1304" s="18">
        <v>45743</v>
      </c>
    </row>
    <row r="1305" spans="15:21" x14ac:dyDescent="0.35">
      <c r="O1305" s="18">
        <v>41376</v>
      </c>
      <c r="P1305">
        <v>275.62</v>
      </c>
      <c r="R1305" s="18">
        <v>45744</v>
      </c>
      <c r="S1305">
        <v>5347.7</v>
      </c>
      <c r="T1305">
        <v>286610</v>
      </c>
      <c r="U1305" s="18">
        <v>45744</v>
      </c>
    </row>
    <row r="1306" spans="15:21" x14ac:dyDescent="0.35">
      <c r="O1306" s="18">
        <v>41379</v>
      </c>
      <c r="P1306">
        <v>273.39999999999998</v>
      </c>
      <c r="R1306" s="18">
        <v>45748</v>
      </c>
      <c r="S1306">
        <v>5307.2</v>
      </c>
      <c r="T1306">
        <v>562010</v>
      </c>
      <c r="U1306" s="18">
        <v>45748</v>
      </c>
    </row>
    <row r="1307" spans="15:21" x14ac:dyDescent="0.35">
      <c r="O1307" s="18">
        <v>41380</v>
      </c>
      <c r="P1307">
        <v>272.11</v>
      </c>
      <c r="R1307" s="18">
        <v>45749</v>
      </c>
      <c r="S1307">
        <v>5355.5</v>
      </c>
      <c r="T1307">
        <v>365910</v>
      </c>
      <c r="U1307" s="18">
        <v>45749</v>
      </c>
    </row>
    <row r="1308" spans="15:21" x14ac:dyDescent="0.35">
      <c r="O1308" s="18">
        <v>41381</v>
      </c>
      <c r="P1308">
        <v>271.07</v>
      </c>
      <c r="R1308" s="18">
        <v>45750</v>
      </c>
      <c r="S1308">
        <v>5379.15</v>
      </c>
      <c r="T1308">
        <v>224290</v>
      </c>
      <c r="U1308" s="18">
        <v>45750</v>
      </c>
    </row>
    <row r="1309" spans="15:21" x14ac:dyDescent="0.35">
      <c r="O1309" s="18">
        <v>41382</v>
      </c>
      <c r="P1309">
        <v>268.69</v>
      </c>
      <c r="R1309" s="18">
        <v>45751</v>
      </c>
      <c r="S1309">
        <v>5247.9</v>
      </c>
      <c r="T1309">
        <v>261890</v>
      </c>
      <c r="U1309" s="18">
        <v>45751</v>
      </c>
    </row>
    <row r="1310" spans="15:21" x14ac:dyDescent="0.35">
      <c r="O1310" s="18">
        <v>41386</v>
      </c>
      <c r="P1310">
        <v>287.31</v>
      </c>
      <c r="R1310" s="18">
        <v>45754</v>
      </c>
      <c r="S1310">
        <v>5065.25</v>
      </c>
      <c r="T1310">
        <v>519169.99999999988</v>
      </c>
      <c r="U1310" s="18">
        <v>45754</v>
      </c>
    </row>
    <row r="1311" spans="15:21" x14ac:dyDescent="0.35">
      <c r="O1311" s="18">
        <v>41387</v>
      </c>
      <c r="P1311">
        <v>282.42</v>
      </c>
      <c r="R1311" s="18">
        <v>45755</v>
      </c>
      <c r="S1311">
        <v>5231.3500000000004</v>
      </c>
      <c r="T1311">
        <v>355200</v>
      </c>
      <c r="U1311" s="18">
        <v>45755</v>
      </c>
    </row>
    <row r="1312" spans="15:21" x14ac:dyDescent="0.35">
      <c r="O1312" s="18">
        <v>41389</v>
      </c>
      <c r="P1312">
        <v>291.35000000000002</v>
      </c>
      <c r="R1312" s="18">
        <v>45756</v>
      </c>
      <c r="S1312">
        <v>5258.3</v>
      </c>
      <c r="T1312">
        <v>472300</v>
      </c>
      <c r="U1312" s="18">
        <v>45756</v>
      </c>
    </row>
    <row r="1313" spans="15:21" x14ac:dyDescent="0.35">
      <c r="O1313" s="18">
        <v>41390</v>
      </c>
      <c r="P1313">
        <v>289.41000000000003</v>
      </c>
      <c r="R1313" s="18">
        <v>45758</v>
      </c>
      <c r="S1313">
        <v>5350.9</v>
      </c>
      <c r="T1313">
        <v>500530.00000000006</v>
      </c>
      <c r="U1313" s="18">
        <v>45758</v>
      </c>
    </row>
    <row r="1314" spans="15:21" x14ac:dyDescent="0.35">
      <c r="O1314" s="18">
        <v>41393</v>
      </c>
      <c r="P1314">
        <v>292.39999999999998</v>
      </c>
      <c r="R1314" s="18">
        <v>45762</v>
      </c>
      <c r="S1314">
        <v>5529</v>
      </c>
      <c r="T1314">
        <v>542320</v>
      </c>
      <c r="U1314" s="18">
        <v>45762</v>
      </c>
    </row>
    <row r="1315" spans="15:21" x14ac:dyDescent="0.35">
      <c r="O1315" s="18">
        <v>41394</v>
      </c>
      <c r="P1315">
        <v>295.83999999999997</v>
      </c>
      <c r="R1315" s="18">
        <v>45763</v>
      </c>
      <c r="S1315">
        <v>5615.5</v>
      </c>
      <c r="T1315">
        <v>734280</v>
      </c>
      <c r="U1315" s="18">
        <v>45763</v>
      </c>
    </row>
    <row r="1316" spans="15:21" x14ac:dyDescent="0.35">
      <c r="O1316" s="18">
        <v>41396</v>
      </c>
      <c r="P1316">
        <v>306.19</v>
      </c>
      <c r="R1316" s="18">
        <v>45764</v>
      </c>
      <c r="S1316">
        <v>5678.5</v>
      </c>
      <c r="T1316">
        <v>564360</v>
      </c>
      <c r="U1316" s="18">
        <v>45764</v>
      </c>
    </row>
    <row r="1317" spans="15:21" x14ac:dyDescent="0.35">
      <c r="O1317" s="18">
        <v>41397</v>
      </c>
      <c r="P1317">
        <v>313.25</v>
      </c>
      <c r="R1317" s="18">
        <v>45768</v>
      </c>
      <c r="S1317">
        <v>5810.5</v>
      </c>
      <c r="T1317">
        <v>551550</v>
      </c>
      <c r="U1317" s="18">
        <v>45768</v>
      </c>
    </row>
    <row r="1318" spans="15:21" x14ac:dyDescent="0.35">
      <c r="O1318" s="18">
        <v>41400</v>
      </c>
      <c r="P1318">
        <v>317.66000000000003</v>
      </c>
      <c r="R1318" s="18">
        <v>45769</v>
      </c>
      <c r="S1318">
        <v>5784</v>
      </c>
      <c r="T1318">
        <v>459540</v>
      </c>
      <c r="U1318" s="18">
        <v>45769</v>
      </c>
    </row>
    <row r="1319" spans="15:21" x14ac:dyDescent="0.35">
      <c r="O1319" s="18">
        <v>41401</v>
      </c>
      <c r="P1319">
        <v>313.97000000000003</v>
      </c>
      <c r="R1319" s="18">
        <v>45770</v>
      </c>
      <c r="S1319">
        <v>5740</v>
      </c>
      <c r="T1319">
        <v>582610</v>
      </c>
      <c r="U1319" s="18">
        <v>45770</v>
      </c>
    </row>
    <row r="1320" spans="15:21" x14ac:dyDescent="0.35">
      <c r="O1320" s="18">
        <v>41402</v>
      </c>
      <c r="P1320">
        <v>313.52</v>
      </c>
      <c r="R1320" s="18">
        <v>45771</v>
      </c>
      <c r="S1320">
        <v>5650.5</v>
      </c>
      <c r="T1320">
        <v>503660</v>
      </c>
      <c r="U1320" s="18">
        <v>45771</v>
      </c>
    </row>
    <row r="1321" spans="15:21" x14ac:dyDescent="0.35">
      <c r="O1321" s="18">
        <v>41403</v>
      </c>
      <c r="P1321">
        <v>307.85000000000002</v>
      </c>
      <c r="R1321" s="18">
        <v>45772</v>
      </c>
      <c r="S1321">
        <v>5575.5</v>
      </c>
      <c r="T1321">
        <v>457510</v>
      </c>
      <c r="U1321" s="18">
        <v>45772</v>
      </c>
    </row>
    <row r="1322" spans="15:21" x14ac:dyDescent="0.35">
      <c r="O1322" s="18">
        <v>41404</v>
      </c>
      <c r="P1322">
        <v>306.49</v>
      </c>
      <c r="R1322" s="18">
        <v>45775</v>
      </c>
      <c r="S1322">
        <v>5622</v>
      </c>
      <c r="T1322">
        <v>403570</v>
      </c>
      <c r="U1322" s="18">
        <v>45775</v>
      </c>
    </row>
    <row r="1323" spans="15:21" x14ac:dyDescent="0.35">
      <c r="O1323" s="18">
        <v>41405</v>
      </c>
      <c r="P1323">
        <v>306.51</v>
      </c>
      <c r="R1323" s="18">
        <v>45776</v>
      </c>
      <c r="S1323">
        <v>5579</v>
      </c>
      <c r="T1323">
        <v>309550</v>
      </c>
      <c r="U1323" s="18">
        <v>45776</v>
      </c>
    </row>
    <row r="1324" spans="15:21" x14ac:dyDescent="0.35">
      <c r="O1324" s="18">
        <v>41407</v>
      </c>
      <c r="P1324">
        <v>306.7</v>
      </c>
      <c r="R1324" s="18">
        <v>45777</v>
      </c>
      <c r="S1324">
        <v>5567</v>
      </c>
      <c r="T1324">
        <v>509789.99999999994</v>
      </c>
      <c r="U1324" s="18">
        <v>45777</v>
      </c>
    </row>
    <row r="1325" spans="15:21" x14ac:dyDescent="0.35">
      <c r="O1325" s="18">
        <v>41408</v>
      </c>
      <c r="P1325">
        <v>327.94</v>
      </c>
      <c r="R1325" s="18">
        <v>45779</v>
      </c>
      <c r="S1325">
        <v>5437.5</v>
      </c>
      <c r="T1325">
        <v>695560</v>
      </c>
      <c r="U1325" s="18">
        <v>45779</v>
      </c>
    </row>
    <row r="1326" spans="15:21" x14ac:dyDescent="0.35">
      <c r="O1326" s="18">
        <v>41409</v>
      </c>
      <c r="P1326">
        <v>340.07</v>
      </c>
      <c r="R1326" s="18">
        <v>45782</v>
      </c>
      <c r="S1326">
        <v>5460.5</v>
      </c>
      <c r="T1326">
        <v>320470</v>
      </c>
      <c r="U1326" s="18">
        <v>45782</v>
      </c>
    </row>
    <row r="1327" spans="15:21" x14ac:dyDescent="0.35">
      <c r="O1327" s="18">
        <v>41410</v>
      </c>
      <c r="P1327">
        <v>345.21</v>
      </c>
      <c r="R1327" s="18">
        <v>45783</v>
      </c>
      <c r="S1327">
        <v>5515</v>
      </c>
      <c r="T1327">
        <v>514700.00000000006</v>
      </c>
      <c r="U1327" s="18">
        <v>45783</v>
      </c>
    </row>
    <row r="1328" spans="15:21" x14ac:dyDescent="0.35">
      <c r="O1328" s="18">
        <v>41411</v>
      </c>
      <c r="P1328">
        <v>344.93</v>
      </c>
      <c r="R1328" s="18">
        <v>45784</v>
      </c>
      <c r="S1328">
        <v>5489</v>
      </c>
      <c r="T1328">
        <v>349960</v>
      </c>
      <c r="U1328" s="18">
        <v>45784</v>
      </c>
    </row>
    <row r="1329" spans="15:21" x14ac:dyDescent="0.35">
      <c r="O1329" s="18">
        <v>41414</v>
      </c>
      <c r="P1329">
        <v>349.57</v>
      </c>
      <c r="R1329" s="18">
        <v>45785</v>
      </c>
      <c r="S1329">
        <v>5372.5</v>
      </c>
      <c r="T1329">
        <v>609860</v>
      </c>
      <c r="U1329" s="18">
        <v>45785</v>
      </c>
    </row>
    <row r="1330" spans="15:21" x14ac:dyDescent="0.35">
      <c r="O1330" s="18">
        <v>41415</v>
      </c>
      <c r="P1330">
        <v>349.69</v>
      </c>
      <c r="R1330" s="18">
        <v>45786</v>
      </c>
      <c r="S1330">
        <v>5324</v>
      </c>
      <c r="T1330">
        <v>412060</v>
      </c>
      <c r="U1330" s="18">
        <v>45786</v>
      </c>
    </row>
    <row r="1331" spans="15:21" x14ac:dyDescent="0.35">
      <c r="O1331" s="18">
        <v>41416</v>
      </c>
      <c r="P1331">
        <v>351.04</v>
      </c>
      <c r="R1331" s="18">
        <v>45789</v>
      </c>
      <c r="S1331">
        <v>5520</v>
      </c>
      <c r="T1331">
        <v>327630</v>
      </c>
      <c r="U1331" s="18">
        <v>45789</v>
      </c>
    </row>
    <row r="1332" spans="15:21" x14ac:dyDescent="0.35">
      <c r="O1332" s="18">
        <v>41417</v>
      </c>
      <c r="P1332">
        <v>345.37</v>
      </c>
      <c r="R1332" s="18">
        <v>45790</v>
      </c>
      <c r="S1332">
        <v>5419</v>
      </c>
      <c r="T1332">
        <v>416280</v>
      </c>
      <c r="U1332" s="18">
        <v>45790</v>
      </c>
    </row>
    <row r="1333" spans="15:21" x14ac:dyDescent="0.35">
      <c r="O1333" s="18">
        <v>41418</v>
      </c>
      <c r="P1333">
        <v>358.25</v>
      </c>
      <c r="R1333" s="18">
        <v>45791</v>
      </c>
      <c r="S1333">
        <v>5446.5</v>
      </c>
      <c r="T1333">
        <v>315870</v>
      </c>
      <c r="U1333" s="18">
        <v>45791</v>
      </c>
    </row>
    <row r="1334" spans="15:21" x14ac:dyDescent="0.35">
      <c r="O1334" s="18">
        <v>41421</v>
      </c>
      <c r="P1334">
        <v>365.62</v>
      </c>
      <c r="R1334" s="18">
        <v>45792</v>
      </c>
      <c r="S1334">
        <v>5466</v>
      </c>
      <c r="T1334">
        <v>1930000</v>
      </c>
      <c r="U1334" s="18">
        <v>45792</v>
      </c>
    </row>
    <row r="1335" spans="15:21" x14ac:dyDescent="0.35">
      <c r="O1335" s="18">
        <v>41422</v>
      </c>
      <c r="P1335">
        <v>378.15</v>
      </c>
      <c r="R1335" s="18">
        <v>45793</v>
      </c>
      <c r="S1335">
        <v>5509.5</v>
      </c>
      <c r="T1335">
        <v>638330</v>
      </c>
      <c r="U1335" s="18">
        <v>45793</v>
      </c>
    </row>
    <row r="1336" spans="15:21" x14ac:dyDescent="0.35">
      <c r="O1336" s="18">
        <v>41423</v>
      </c>
      <c r="P1336">
        <v>378.66</v>
      </c>
      <c r="R1336" s="18">
        <v>45796</v>
      </c>
      <c r="S1336">
        <v>5530</v>
      </c>
      <c r="T1336">
        <v>654070</v>
      </c>
      <c r="U1336" s="18">
        <v>45796</v>
      </c>
    </row>
    <row r="1337" spans="15:21" x14ac:dyDescent="0.35">
      <c r="O1337" s="18">
        <v>41424</v>
      </c>
      <c r="P1337">
        <v>377.95</v>
      </c>
      <c r="R1337" s="18">
        <v>45797</v>
      </c>
      <c r="S1337">
        <v>5387.5</v>
      </c>
      <c r="T1337">
        <v>402780</v>
      </c>
      <c r="U1337" s="18">
        <v>45797</v>
      </c>
    </row>
    <row r="1338" spans="15:21" x14ac:dyDescent="0.35">
      <c r="O1338" s="18">
        <v>41425</v>
      </c>
      <c r="P1338">
        <v>370.16</v>
      </c>
      <c r="R1338" s="18">
        <v>45798</v>
      </c>
      <c r="S1338">
        <v>5409</v>
      </c>
      <c r="T1338">
        <v>300890</v>
      </c>
      <c r="U1338" s="18">
        <v>45798</v>
      </c>
    </row>
    <row r="1339" spans="15:21" x14ac:dyDescent="0.35">
      <c r="O1339" s="18">
        <v>41428</v>
      </c>
      <c r="P1339">
        <v>369.04</v>
      </c>
      <c r="R1339" s="18">
        <v>45799</v>
      </c>
      <c r="S1339">
        <v>5387</v>
      </c>
      <c r="T1339">
        <v>461740</v>
      </c>
      <c r="U1339" s="18">
        <v>45799</v>
      </c>
    </row>
    <row r="1340" spans="15:21" x14ac:dyDescent="0.35">
      <c r="O1340" s="18">
        <v>41429</v>
      </c>
      <c r="P1340">
        <v>359.42</v>
      </c>
      <c r="R1340" s="18">
        <v>45800</v>
      </c>
      <c r="S1340">
        <v>5400</v>
      </c>
      <c r="T1340">
        <v>282290</v>
      </c>
      <c r="U1340" s="18">
        <v>45800</v>
      </c>
    </row>
    <row r="1341" spans="15:21" x14ac:dyDescent="0.35">
      <c r="O1341" s="18">
        <v>41430</v>
      </c>
      <c r="P1341">
        <v>354.07</v>
      </c>
      <c r="R1341" s="18">
        <v>45803</v>
      </c>
      <c r="S1341">
        <v>5427.5</v>
      </c>
      <c r="T1341">
        <v>337100</v>
      </c>
      <c r="U1341" s="18">
        <v>45803</v>
      </c>
    </row>
    <row r="1342" spans="15:21" x14ac:dyDescent="0.35">
      <c r="O1342" s="18">
        <v>41431</v>
      </c>
      <c r="P1342">
        <v>345.65</v>
      </c>
      <c r="R1342" s="18">
        <v>45804</v>
      </c>
      <c r="S1342">
        <v>5389.5</v>
      </c>
      <c r="T1342">
        <v>452770</v>
      </c>
      <c r="U1342" s="18">
        <v>45804</v>
      </c>
    </row>
    <row r="1343" spans="15:21" x14ac:dyDescent="0.35">
      <c r="O1343" s="18">
        <v>41432</v>
      </c>
      <c r="P1343">
        <v>355.04</v>
      </c>
      <c r="R1343" s="18">
        <v>45805</v>
      </c>
      <c r="S1343">
        <v>5326.5</v>
      </c>
      <c r="T1343">
        <v>380070</v>
      </c>
      <c r="U1343" s="18">
        <v>45805</v>
      </c>
    </row>
    <row r="1344" spans="15:21" x14ac:dyDescent="0.35">
      <c r="O1344" s="18">
        <v>41435</v>
      </c>
      <c r="P1344">
        <v>359.8</v>
      </c>
      <c r="R1344" s="18">
        <v>45806</v>
      </c>
      <c r="S1344">
        <v>5379</v>
      </c>
      <c r="T1344">
        <v>704800</v>
      </c>
      <c r="U1344" s="18">
        <v>45806</v>
      </c>
    </row>
    <row r="1345" spans="15:21" x14ac:dyDescent="0.35">
      <c r="O1345" s="18">
        <v>41436</v>
      </c>
      <c r="P1345">
        <v>352.76</v>
      </c>
      <c r="R1345" s="18">
        <v>45807</v>
      </c>
      <c r="S1345">
        <v>5333.5</v>
      </c>
      <c r="T1345">
        <v>915800</v>
      </c>
      <c r="U1345" s="18">
        <v>45807</v>
      </c>
    </row>
    <row r="1346" spans="15:21" x14ac:dyDescent="0.35">
      <c r="O1346" s="18">
        <v>41437</v>
      </c>
      <c r="P1346">
        <v>349.58</v>
      </c>
      <c r="R1346" s="18">
        <v>45810</v>
      </c>
      <c r="S1346">
        <v>5361</v>
      </c>
      <c r="T1346">
        <v>475700</v>
      </c>
      <c r="U1346" s="18">
        <v>45810</v>
      </c>
    </row>
    <row r="1347" spans="15:21" x14ac:dyDescent="0.35">
      <c r="O1347" s="18">
        <v>41438</v>
      </c>
      <c r="P1347">
        <v>348.29</v>
      </c>
      <c r="R1347" s="18">
        <v>45811</v>
      </c>
      <c r="S1347">
        <v>5354</v>
      </c>
      <c r="T1347">
        <v>479570</v>
      </c>
      <c r="U1347" s="18">
        <v>45811</v>
      </c>
    </row>
    <row r="1348" spans="15:21" x14ac:dyDescent="0.35">
      <c r="O1348" s="18">
        <v>41439</v>
      </c>
      <c r="P1348">
        <v>351.44</v>
      </c>
      <c r="R1348" s="18">
        <v>45812</v>
      </c>
      <c r="S1348">
        <v>5319.5</v>
      </c>
      <c r="T1348">
        <v>321910</v>
      </c>
      <c r="U1348" s="18">
        <v>45812</v>
      </c>
    </row>
    <row r="1349" spans="15:21" x14ac:dyDescent="0.35">
      <c r="O1349" s="18">
        <v>41442</v>
      </c>
      <c r="P1349">
        <v>355.5</v>
      </c>
      <c r="R1349" s="18">
        <v>45813</v>
      </c>
      <c r="S1349">
        <v>5308.5</v>
      </c>
      <c r="T1349">
        <v>459910</v>
      </c>
      <c r="U1349" s="18">
        <v>45813</v>
      </c>
    </row>
    <row r="1350" spans="15:21" x14ac:dyDescent="0.35">
      <c r="O1350" s="18">
        <v>41443</v>
      </c>
      <c r="P1350">
        <v>361.87</v>
      </c>
      <c r="R1350" s="18">
        <v>45814</v>
      </c>
      <c r="S1350">
        <v>5394</v>
      </c>
      <c r="T1350">
        <v>538090</v>
      </c>
      <c r="U1350" s="18">
        <v>45814</v>
      </c>
    </row>
    <row r="1351" spans="15:21" x14ac:dyDescent="0.35">
      <c r="O1351" s="18">
        <v>41444</v>
      </c>
      <c r="P1351">
        <v>366.85</v>
      </c>
      <c r="R1351" s="18">
        <v>45817</v>
      </c>
      <c r="S1351">
        <v>5391</v>
      </c>
      <c r="T1351">
        <v>270950</v>
      </c>
      <c r="U1351" s="18">
        <v>45817</v>
      </c>
    </row>
    <row r="1352" spans="15:21" x14ac:dyDescent="0.35">
      <c r="O1352" s="18">
        <v>41445</v>
      </c>
      <c r="P1352">
        <v>366.06</v>
      </c>
      <c r="R1352" s="18">
        <v>45818</v>
      </c>
      <c r="S1352">
        <v>5377.5</v>
      </c>
      <c r="T1352">
        <v>330660</v>
      </c>
      <c r="U1352" s="18">
        <v>45818</v>
      </c>
    </row>
    <row r="1353" spans="15:21" x14ac:dyDescent="0.35">
      <c r="O1353" s="18">
        <v>41446</v>
      </c>
      <c r="P1353">
        <v>356.17</v>
      </c>
      <c r="R1353" s="18">
        <v>45819</v>
      </c>
      <c r="S1353">
        <v>5352</v>
      </c>
      <c r="T1353">
        <v>366790</v>
      </c>
      <c r="U1353" s="18">
        <v>45819</v>
      </c>
    </row>
    <row r="1354" spans="15:21" x14ac:dyDescent="0.35">
      <c r="O1354" s="18">
        <v>41449</v>
      </c>
      <c r="P1354">
        <v>339.96</v>
      </c>
      <c r="R1354" s="18">
        <v>45820</v>
      </c>
      <c r="S1354">
        <v>5315.5</v>
      </c>
      <c r="T1354">
        <v>337220</v>
      </c>
      <c r="U1354" s="18">
        <v>45820</v>
      </c>
    </row>
    <row r="1355" spans="15:21" x14ac:dyDescent="0.35">
      <c r="O1355" s="18">
        <v>41450</v>
      </c>
      <c r="P1355">
        <v>335.11</v>
      </c>
      <c r="R1355" s="18">
        <v>45821</v>
      </c>
      <c r="S1355">
        <v>5319</v>
      </c>
      <c r="T1355">
        <v>414670</v>
      </c>
      <c r="U1355" s="18">
        <v>45821</v>
      </c>
    </row>
    <row r="1356" spans="15:21" x14ac:dyDescent="0.35">
      <c r="O1356" s="18">
        <v>41451</v>
      </c>
      <c r="P1356">
        <v>336.8</v>
      </c>
      <c r="R1356" s="18">
        <v>45824</v>
      </c>
      <c r="S1356">
        <v>5365</v>
      </c>
      <c r="T1356">
        <v>294930</v>
      </c>
      <c r="U1356" s="18">
        <v>45824</v>
      </c>
    </row>
    <row r="1357" spans="15:21" x14ac:dyDescent="0.35">
      <c r="O1357" s="18">
        <v>41452</v>
      </c>
      <c r="P1357">
        <v>330.68</v>
      </c>
      <c r="R1357" s="18">
        <v>45825</v>
      </c>
      <c r="S1357">
        <v>5341</v>
      </c>
      <c r="T1357">
        <v>710730</v>
      </c>
      <c r="U1357" s="18">
        <v>45825</v>
      </c>
    </row>
    <row r="1358" spans="15:21" x14ac:dyDescent="0.35">
      <c r="O1358" s="18">
        <v>41453</v>
      </c>
      <c r="P1358">
        <v>327.69</v>
      </c>
      <c r="R1358" s="18">
        <v>45826</v>
      </c>
      <c r="S1358">
        <v>5393</v>
      </c>
      <c r="T1358">
        <v>774670</v>
      </c>
      <c r="U1358" s="18">
        <v>45826</v>
      </c>
    </row>
    <row r="1359" spans="15:21" x14ac:dyDescent="0.35">
      <c r="O1359" s="18">
        <v>41456</v>
      </c>
      <c r="P1359">
        <v>346.46</v>
      </c>
      <c r="R1359" s="18">
        <v>45827</v>
      </c>
      <c r="S1359">
        <v>5493.5</v>
      </c>
      <c r="T1359">
        <v>923400</v>
      </c>
      <c r="U1359" s="18">
        <v>45827</v>
      </c>
    </row>
    <row r="1360" spans="15:21" x14ac:dyDescent="0.35">
      <c r="O1360" s="18">
        <v>41457</v>
      </c>
      <c r="P1360">
        <v>353.48</v>
      </c>
      <c r="R1360" s="18">
        <v>45828</v>
      </c>
      <c r="S1360">
        <v>5525</v>
      </c>
      <c r="T1360">
        <v>776880</v>
      </c>
      <c r="U1360" s="18">
        <v>45828</v>
      </c>
    </row>
    <row r="1361" spans="15:21" x14ac:dyDescent="0.35">
      <c r="O1361" s="18">
        <v>41458</v>
      </c>
      <c r="P1361">
        <v>359.15</v>
      </c>
      <c r="R1361" s="18">
        <v>45831</v>
      </c>
      <c r="S1361">
        <v>5552.5</v>
      </c>
      <c r="T1361">
        <v>247520</v>
      </c>
      <c r="U1361" s="18">
        <v>45831</v>
      </c>
    </row>
    <row r="1362" spans="15:21" x14ac:dyDescent="0.35">
      <c r="O1362" s="18">
        <v>41459</v>
      </c>
      <c r="P1362">
        <v>356.11</v>
      </c>
      <c r="R1362" s="18">
        <v>45832</v>
      </c>
      <c r="S1362">
        <v>5629</v>
      </c>
      <c r="T1362">
        <v>579370</v>
      </c>
      <c r="U1362" s="18">
        <v>45832</v>
      </c>
    </row>
    <row r="1363" spans="15:21" x14ac:dyDescent="0.35">
      <c r="O1363" s="18">
        <v>41460</v>
      </c>
      <c r="P1363">
        <v>361.46</v>
      </c>
      <c r="R1363" s="18">
        <v>45833</v>
      </c>
      <c r="S1363">
        <v>5576</v>
      </c>
      <c r="T1363">
        <v>449220</v>
      </c>
      <c r="U1363" s="18">
        <v>45833</v>
      </c>
    </row>
    <row r="1364" spans="15:21" x14ac:dyDescent="0.35">
      <c r="O1364" s="18">
        <v>41463</v>
      </c>
      <c r="P1364">
        <v>365.84</v>
      </c>
      <c r="R1364" s="18">
        <v>45834</v>
      </c>
      <c r="S1364">
        <v>5611.5</v>
      </c>
      <c r="T1364">
        <v>788150</v>
      </c>
      <c r="U1364" s="18">
        <v>45834</v>
      </c>
    </row>
    <row r="1365" spans="15:21" x14ac:dyDescent="0.35">
      <c r="O1365" s="18">
        <v>41464</v>
      </c>
      <c r="P1365">
        <v>369.94</v>
      </c>
      <c r="R1365" s="18">
        <v>45835</v>
      </c>
      <c r="S1365">
        <v>5660</v>
      </c>
      <c r="T1365">
        <v>413720</v>
      </c>
      <c r="U1365" s="18">
        <v>45835</v>
      </c>
    </row>
    <row r="1366" spans="15:21" x14ac:dyDescent="0.35">
      <c r="O1366" s="18">
        <v>41465</v>
      </c>
      <c r="P1366">
        <v>373.55</v>
      </c>
      <c r="R1366" s="18">
        <v>45838</v>
      </c>
      <c r="S1366">
        <v>5656.5</v>
      </c>
      <c r="T1366">
        <v>340050</v>
      </c>
      <c r="U1366" s="18">
        <v>45838</v>
      </c>
    </row>
    <row r="1367" spans="15:21" x14ac:dyDescent="0.35">
      <c r="O1367" s="18">
        <v>41466</v>
      </c>
      <c r="P1367">
        <v>376.7</v>
      </c>
      <c r="R1367" s="18">
        <v>45839</v>
      </c>
      <c r="S1367">
        <v>5715.5</v>
      </c>
      <c r="T1367">
        <v>534030</v>
      </c>
      <c r="U1367" s="18">
        <v>45839</v>
      </c>
    </row>
    <row r="1368" spans="15:21" x14ac:dyDescent="0.35">
      <c r="O1368" s="18">
        <v>41467</v>
      </c>
      <c r="P1368">
        <v>378.35</v>
      </c>
      <c r="R1368" s="18">
        <v>45840</v>
      </c>
      <c r="S1368">
        <v>5722.5</v>
      </c>
      <c r="T1368">
        <v>299930</v>
      </c>
      <c r="U1368" s="18">
        <v>45840</v>
      </c>
    </row>
    <row r="1369" spans="15:21" x14ac:dyDescent="0.35">
      <c r="O1369" s="18">
        <v>41470</v>
      </c>
      <c r="P1369">
        <v>380.75</v>
      </c>
      <c r="R1369" s="18">
        <v>45841</v>
      </c>
      <c r="S1369">
        <v>5716</v>
      </c>
      <c r="T1369">
        <v>335540</v>
      </c>
      <c r="U1369" s="18">
        <v>45841</v>
      </c>
    </row>
    <row r="1370" spans="15:21" x14ac:dyDescent="0.35">
      <c r="O1370" s="18">
        <v>41471</v>
      </c>
      <c r="P1370">
        <v>377.62</v>
      </c>
      <c r="R1370" s="18">
        <v>45842</v>
      </c>
      <c r="S1370">
        <v>5629</v>
      </c>
      <c r="T1370">
        <v>185010</v>
      </c>
      <c r="U1370" s="18">
        <v>45842</v>
      </c>
    </row>
    <row r="1371" spans="15:21" x14ac:dyDescent="0.35">
      <c r="O1371" s="18">
        <v>41472</v>
      </c>
      <c r="P1371">
        <v>386.14</v>
      </c>
      <c r="R1371" s="18">
        <v>45845</v>
      </c>
      <c r="S1371">
        <v>5682.5</v>
      </c>
      <c r="T1371">
        <v>227080</v>
      </c>
      <c r="U1371" s="18">
        <v>45845</v>
      </c>
    </row>
    <row r="1372" spans="15:21" x14ac:dyDescent="0.35">
      <c r="O1372" s="18">
        <v>41473</v>
      </c>
      <c r="P1372">
        <v>387.74</v>
      </c>
      <c r="R1372" s="18">
        <v>45846</v>
      </c>
      <c r="S1372">
        <v>5679.5</v>
      </c>
      <c r="T1372">
        <v>180630</v>
      </c>
      <c r="U1372" s="18">
        <v>45846</v>
      </c>
    </row>
    <row r="1373" spans="15:21" x14ac:dyDescent="0.35">
      <c r="O1373" s="18">
        <v>41474</v>
      </c>
      <c r="P1373">
        <v>383.96</v>
      </c>
      <c r="R1373" s="18">
        <v>45847</v>
      </c>
      <c r="S1373">
        <v>5695</v>
      </c>
      <c r="T1373">
        <v>177980</v>
      </c>
      <c r="U1373" s="18">
        <v>45847</v>
      </c>
    </row>
    <row r="1374" spans="15:21" x14ac:dyDescent="0.35">
      <c r="O1374" s="18">
        <v>41477</v>
      </c>
      <c r="P1374">
        <v>380.6</v>
      </c>
      <c r="R1374" s="18">
        <v>45848</v>
      </c>
      <c r="S1374">
        <v>5652</v>
      </c>
      <c r="T1374">
        <v>189070</v>
      </c>
      <c r="U1374" s="18">
        <v>45848</v>
      </c>
    </row>
    <row r="1375" spans="15:21" x14ac:dyDescent="0.35">
      <c r="O1375" s="18">
        <v>41478</v>
      </c>
      <c r="P1375">
        <v>372.61</v>
      </c>
      <c r="R1375" s="18">
        <v>45849</v>
      </c>
      <c r="S1375">
        <v>5612.5</v>
      </c>
      <c r="T1375">
        <v>522929.99999999988</v>
      </c>
      <c r="U1375" s="18">
        <v>45849</v>
      </c>
    </row>
    <row r="1376" spans="15:21" x14ac:dyDescent="0.35">
      <c r="O1376" s="18">
        <v>41479</v>
      </c>
      <c r="P1376">
        <v>373.12</v>
      </c>
      <c r="R1376" s="18">
        <v>45852</v>
      </c>
      <c r="S1376">
        <v>5540.5</v>
      </c>
      <c r="T1376">
        <v>503680</v>
      </c>
      <c r="U1376" s="18">
        <v>45852</v>
      </c>
    </row>
    <row r="1377" spans="15:21" x14ac:dyDescent="0.35">
      <c r="O1377" s="18">
        <v>41480</v>
      </c>
      <c r="P1377">
        <v>364.92</v>
      </c>
      <c r="R1377" s="18">
        <v>45853</v>
      </c>
      <c r="S1377">
        <v>5591</v>
      </c>
      <c r="T1377">
        <v>715070</v>
      </c>
      <c r="U1377" s="18">
        <v>45853</v>
      </c>
    </row>
    <row r="1378" spans="15:21" x14ac:dyDescent="0.35">
      <c r="O1378" s="18">
        <v>41481</v>
      </c>
      <c r="P1378">
        <v>370.17</v>
      </c>
      <c r="R1378" s="18">
        <v>45854</v>
      </c>
      <c r="S1378">
        <v>5626.5</v>
      </c>
      <c r="T1378">
        <v>226540</v>
      </c>
      <c r="U1378" s="18">
        <v>45854</v>
      </c>
    </row>
    <row r="1379" spans="15:21" x14ac:dyDescent="0.35">
      <c r="O1379" s="18">
        <v>41484</v>
      </c>
      <c r="P1379">
        <v>364.86</v>
      </c>
      <c r="R1379" s="18">
        <v>45855</v>
      </c>
      <c r="S1379">
        <v>5650</v>
      </c>
      <c r="T1379">
        <v>391600</v>
      </c>
      <c r="U1379" s="18">
        <v>45855</v>
      </c>
    </row>
    <row r="1380" spans="15:21" x14ac:dyDescent="0.35">
      <c r="O1380" s="18">
        <v>41485</v>
      </c>
      <c r="P1380">
        <v>349.14</v>
      </c>
      <c r="R1380" s="18">
        <v>45856</v>
      </c>
      <c r="S1380">
        <v>5627.5</v>
      </c>
      <c r="T1380">
        <v>254830</v>
      </c>
      <c r="U1380" s="18">
        <v>45856</v>
      </c>
    </row>
    <row r="1381" spans="15:21" x14ac:dyDescent="0.35">
      <c r="O1381" s="18">
        <v>41486</v>
      </c>
      <c r="P1381">
        <v>348.93</v>
      </c>
      <c r="R1381" s="18">
        <v>45859</v>
      </c>
      <c r="S1381">
        <v>5558</v>
      </c>
      <c r="T1381">
        <v>190720</v>
      </c>
      <c r="U1381" s="18">
        <v>45859</v>
      </c>
    </row>
    <row r="1382" spans="15:21" x14ac:dyDescent="0.35">
      <c r="O1382" s="18">
        <v>41487</v>
      </c>
      <c r="P1382">
        <v>347.19</v>
      </c>
      <c r="R1382" s="18">
        <v>45860</v>
      </c>
      <c r="S1382">
        <v>5439.5</v>
      </c>
      <c r="T1382">
        <v>517940.00000000006</v>
      </c>
      <c r="U1382" s="18">
        <v>45860</v>
      </c>
    </row>
    <row r="1383" spans="15:21" x14ac:dyDescent="0.35">
      <c r="O1383" s="18">
        <v>41488</v>
      </c>
      <c r="P1383">
        <v>349.72</v>
      </c>
      <c r="R1383" s="18">
        <v>45861</v>
      </c>
      <c r="S1383">
        <v>5441.5</v>
      </c>
      <c r="T1383">
        <v>344240</v>
      </c>
      <c r="U1383" s="18">
        <v>45861</v>
      </c>
    </row>
    <row r="1384" spans="15:21" x14ac:dyDescent="0.35">
      <c r="O1384" s="18">
        <v>41491</v>
      </c>
      <c r="P1384">
        <v>346.03</v>
      </c>
      <c r="R1384" s="18">
        <v>45862</v>
      </c>
      <c r="S1384">
        <v>5469</v>
      </c>
      <c r="T1384">
        <v>284450</v>
      </c>
      <c r="U1384" s="18">
        <v>45862</v>
      </c>
    </row>
    <row r="1385" spans="15:21" x14ac:dyDescent="0.35">
      <c r="O1385" s="18">
        <v>41492</v>
      </c>
      <c r="P1385">
        <v>330.39</v>
      </c>
      <c r="R1385" s="18">
        <v>45863</v>
      </c>
      <c r="S1385">
        <v>5433</v>
      </c>
      <c r="T1385">
        <v>292880</v>
      </c>
      <c r="U1385" s="18">
        <v>45863</v>
      </c>
    </row>
    <row r="1386" spans="15:21" x14ac:dyDescent="0.35">
      <c r="O1386" s="18">
        <v>41493</v>
      </c>
      <c r="P1386">
        <v>320.17</v>
      </c>
      <c r="R1386" s="18">
        <v>45866</v>
      </c>
      <c r="S1386">
        <v>5386</v>
      </c>
      <c r="T1386">
        <v>322290</v>
      </c>
      <c r="U1386" s="18">
        <v>45866</v>
      </c>
    </row>
    <row r="1387" spans="15:21" x14ac:dyDescent="0.35">
      <c r="O1387" s="18">
        <v>41494</v>
      </c>
      <c r="P1387">
        <v>331.9</v>
      </c>
      <c r="R1387" s="18">
        <v>45867</v>
      </c>
      <c r="S1387">
        <v>5470.5</v>
      </c>
      <c r="T1387">
        <v>217260</v>
      </c>
      <c r="U1387" s="18">
        <v>45867</v>
      </c>
    </row>
    <row r="1388" spans="15:21" x14ac:dyDescent="0.35">
      <c r="O1388" s="18">
        <v>41498</v>
      </c>
      <c r="P1388">
        <v>328.04</v>
      </c>
      <c r="R1388" s="18">
        <v>45868</v>
      </c>
      <c r="S1388">
        <v>5481</v>
      </c>
      <c r="T1388">
        <v>266220</v>
      </c>
      <c r="U1388" s="18">
        <v>45868</v>
      </c>
    </row>
    <row r="1389" spans="15:21" x14ac:dyDescent="0.35">
      <c r="O1389" s="18">
        <v>41499</v>
      </c>
      <c r="P1389">
        <v>326.98</v>
      </c>
      <c r="R1389" s="18">
        <v>45869</v>
      </c>
      <c r="S1389">
        <v>5468.5</v>
      </c>
      <c r="T1389">
        <v>307020</v>
      </c>
      <c r="U1389" s="18">
        <v>45869</v>
      </c>
    </row>
    <row r="1390" spans="15:21" x14ac:dyDescent="0.35">
      <c r="O1390" s="18">
        <v>41500</v>
      </c>
      <c r="P1390">
        <v>329.99</v>
      </c>
      <c r="R1390" s="18">
        <v>45870</v>
      </c>
      <c r="S1390">
        <v>5528</v>
      </c>
      <c r="T1390">
        <v>1410000</v>
      </c>
      <c r="U1390" s="18">
        <v>45870</v>
      </c>
    </row>
    <row r="1391" spans="15:21" x14ac:dyDescent="0.35">
      <c r="O1391" s="18">
        <v>41502</v>
      </c>
      <c r="P1391">
        <v>316.77</v>
      </c>
      <c r="R1391" s="18">
        <v>45873</v>
      </c>
      <c r="S1391">
        <v>5621</v>
      </c>
      <c r="T1391">
        <v>505410</v>
      </c>
      <c r="U1391" s="18">
        <v>45873</v>
      </c>
    </row>
    <row r="1392" spans="15:21" x14ac:dyDescent="0.35">
      <c r="O1392" s="18">
        <v>41505</v>
      </c>
      <c r="P1392">
        <v>309.97000000000003</v>
      </c>
      <c r="R1392" s="18">
        <v>45874</v>
      </c>
      <c r="S1392">
        <v>5681</v>
      </c>
      <c r="T1392">
        <v>458310</v>
      </c>
      <c r="U1392" s="18">
        <v>45874</v>
      </c>
    </row>
    <row r="1393" spans="15:21" x14ac:dyDescent="0.35">
      <c r="O1393" s="18">
        <v>41506</v>
      </c>
      <c r="P1393">
        <v>308.95</v>
      </c>
      <c r="R1393" s="18">
        <v>45875</v>
      </c>
      <c r="S1393">
        <v>5668</v>
      </c>
      <c r="T1393">
        <v>202540</v>
      </c>
      <c r="U1393" s="18">
        <v>45875</v>
      </c>
    </row>
    <row r="1394" spans="15:21" x14ac:dyDescent="0.35">
      <c r="O1394" s="18">
        <v>41507</v>
      </c>
      <c r="P1394">
        <v>305.10000000000002</v>
      </c>
      <c r="R1394" s="18">
        <v>45876</v>
      </c>
      <c r="S1394">
        <v>5681.5</v>
      </c>
      <c r="T1394">
        <v>266900</v>
      </c>
      <c r="U1394" s="18">
        <v>45876</v>
      </c>
    </row>
    <row r="1395" spans="15:21" x14ac:dyDescent="0.35">
      <c r="O1395" s="18">
        <v>41508</v>
      </c>
      <c r="P1395">
        <v>308.87</v>
      </c>
      <c r="R1395" s="18">
        <v>45877</v>
      </c>
      <c r="S1395">
        <v>5663</v>
      </c>
      <c r="T1395">
        <v>373870</v>
      </c>
      <c r="U1395" s="18">
        <v>45877</v>
      </c>
    </row>
    <row r="1396" spans="15:21" x14ac:dyDescent="0.35">
      <c r="O1396" s="18">
        <v>41509</v>
      </c>
      <c r="P1396">
        <v>319.95999999999998</v>
      </c>
      <c r="R1396" s="18">
        <v>45880</v>
      </c>
      <c r="S1396">
        <v>5671.5</v>
      </c>
      <c r="T1396">
        <v>475810</v>
      </c>
      <c r="U1396" s="18">
        <v>45880</v>
      </c>
    </row>
    <row r="1397" spans="15:21" x14ac:dyDescent="0.35">
      <c r="O1397" s="18">
        <v>41512</v>
      </c>
      <c r="P1397">
        <v>332.69</v>
      </c>
      <c r="R1397" s="18">
        <v>45881</v>
      </c>
      <c r="S1397">
        <v>5658</v>
      </c>
      <c r="T1397">
        <v>429570</v>
      </c>
      <c r="U1397" s="18">
        <v>45881</v>
      </c>
    </row>
    <row r="1398" spans="15:21" x14ac:dyDescent="0.35">
      <c r="O1398" s="18">
        <v>41513</v>
      </c>
      <c r="P1398">
        <v>327.82</v>
      </c>
      <c r="R1398" s="18">
        <v>45882</v>
      </c>
      <c r="S1398">
        <v>5714.5</v>
      </c>
      <c r="T1398">
        <v>427560</v>
      </c>
      <c r="U1398" s="18">
        <v>45882</v>
      </c>
    </row>
    <row r="1399" spans="15:21" x14ac:dyDescent="0.35">
      <c r="O1399" s="18">
        <v>41514</v>
      </c>
      <c r="P1399">
        <v>316.44</v>
      </c>
      <c r="R1399" s="18">
        <v>45883</v>
      </c>
      <c r="S1399">
        <v>5764</v>
      </c>
      <c r="T1399">
        <v>415010</v>
      </c>
      <c r="U1399" s="18">
        <v>45883</v>
      </c>
    </row>
    <row r="1400" spans="15:21" x14ac:dyDescent="0.35">
      <c r="O1400" s="18">
        <v>41515</v>
      </c>
      <c r="P1400">
        <v>315.27</v>
      </c>
      <c r="R1400" s="18">
        <v>45887</v>
      </c>
      <c r="S1400">
        <v>5912</v>
      </c>
      <c r="T1400">
        <v>1290000</v>
      </c>
      <c r="U1400" s="18">
        <v>45887</v>
      </c>
    </row>
    <row r="1401" spans="15:21" x14ac:dyDescent="0.35">
      <c r="O1401" s="18">
        <v>41516</v>
      </c>
      <c r="P1401">
        <v>318.98</v>
      </c>
      <c r="R1401" s="18">
        <v>45888</v>
      </c>
      <c r="S1401">
        <v>5938.5</v>
      </c>
      <c r="T1401">
        <v>843620</v>
      </c>
      <c r="U1401" s="18">
        <v>45888</v>
      </c>
    </row>
    <row r="1402" spans="15:21" x14ac:dyDescent="0.35">
      <c r="O1402" s="18">
        <v>41519</v>
      </c>
      <c r="P1402">
        <v>319.95999999999998</v>
      </c>
      <c r="R1402" s="18">
        <v>45889</v>
      </c>
      <c r="S1402">
        <v>5937.5</v>
      </c>
      <c r="T1402">
        <v>510630</v>
      </c>
      <c r="U1402" s="18">
        <v>45889</v>
      </c>
    </row>
    <row r="1403" spans="15:21" x14ac:dyDescent="0.35">
      <c r="O1403" s="18">
        <v>41520</v>
      </c>
      <c r="P1403">
        <v>318.11</v>
      </c>
      <c r="R1403" s="18">
        <v>45890</v>
      </c>
      <c r="S1403">
        <v>5975</v>
      </c>
      <c r="T1403">
        <v>499090</v>
      </c>
      <c r="U1403" s="18">
        <v>45890</v>
      </c>
    </row>
    <row r="1404" spans="15:21" x14ac:dyDescent="0.35">
      <c r="O1404" s="18">
        <v>41521</v>
      </c>
      <c r="P1404">
        <v>316.87</v>
      </c>
      <c r="R1404" s="18">
        <v>45891</v>
      </c>
      <c r="S1404">
        <v>5924.5</v>
      </c>
      <c r="T1404">
        <v>273420</v>
      </c>
      <c r="U1404" s="18">
        <v>45891</v>
      </c>
    </row>
    <row r="1405" spans="15:21" x14ac:dyDescent="0.35">
      <c r="O1405" s="18">
        <v>41522</v>
      </c>
      <c r="P1405">
        <v>318.64</v>
      </c>
      <c r="R1405" s="18">
        <v>45894</v>
      </c>
      <c r="S1405">
        <v>5990.5</v>
      </c>
      <c r="T1405">
        <v>822940</v>
      </c>
      <c r="U1405" s="18">
        <v>45894</v>
      </c>
    </row>
    <row r="1406" spans="15:21" x14ac:dyDescent="0.35">
      <c r="O1406" s="18">
        <v>41523</v>
      </c>
      <c r="P1406">
        <v>319.20999999999998</v>
      </c>
      <c r="R1406" s="18">
        <v>45895</v>
      </c>
      <c r="S1406">
        <v>6151</v>
      </c>
      <c r="T1406">
        <v>1470000</v>
      </c>
      <c r="U1406" s="18">
        <v>45895</v>
      </c>
    </row>
    <row r="1407" spans="15:21" x14ac:dyDescent="0.35">
      <c r="O1407" s="18">
        <v>41527</v>
      </c>
      <c r="P1407">
        <v>332.38</v>
      </c>
      <c r="R1407" s="18">
        <v>45897</v>
      </c>
      <c r="S1407">
        <v>6133</v>
      </c>
      <c r="T1407">
        <v>719050</v>
      </c>
      <c r="U1407" s="18">
        <v>45897</v>
      </c>
    </row>
    <row r="1408" spans="15:21" x14ac:dyDescent="0.35">
      <c r="O1408" s="18">
        <v>41528</v>
      </c>
      <c r="P1408">
        <v>345.19</v>
      </c>
      <c r="R1408" s="18">
        <v>45898</v>
      </c>
      <c r="S1408">
        <v>6103</v>
      </c>
      <c r="T1408">
        <v>496300</v>
      </c>
      <c r="U1408" s="18">
        <v>45898</v>
      </c>
    </row>
    <row r="1409" spans="15:21" x14ac:dyDescent="0.35">
      <c r="O1409" s="18">
        <v>41529</v>
      </c>
      <c r="P1409">
        <v>360.06</v>
      </c>
      <c r="R1409" s="18">
        <v>45901</v>
      </c>
      <c r="S1409">
        <v>6280</v>
      </c>
      <c r="T1409">
        <v>698180</v>
      </c>
      <c r="U1409" s="18">
        <v>45901</v>
      </c>
    </row>
    <row r="1410" spans="15:21" x14ac:dyDescent="0.35">
      <c r="O1410" s="18">
        <v>41530</v>
      </c>
      <c r="P1410">
        <v>361.35</v>
      </c>
      <c r="R1410" s="18">
        <v>45902</v>
      </c>
      <c r="S1410">
        <v>6349</v>
      </c>
      <c r="T1410">
        <v>701160</v>
      </c>
      <c r="U1410" s="18">
        <v>45902</v>
      </c>
    </row>
    <row r="1411" spans="15:21" x14ac:dyDescent="0.35">
      <c r="O1411" s="18">
        <v>41533</v>
      </c>
      <c r="P1411">
        <v>366.67</v>
      </c>
      <c r="R1411" s="18">
        <v>45903</v>
      </c>
      <c r="S1411">
        <v>6371.5</v>
      </c>
      <c r="T1411">
        <v>536110</v>
      </c>
      <c r="U1411" s="18">
        <v>45903</v>
      </c>
    </row>
    <row r="1412" spans="15:21" x14ac:dyDescent="0.35">
      <c r="O1412" s="18">
        <v>41534</v>
      </c>
      <c r="P1412">
        <v>357.18</v>
      </c>
      <c r="R1412" s="18">
        <v>45904</v>
      </c>
      <c r="S1412">
        <v>6425</v>
      </c>
      <c r="T1412">
        <v>1180000</v>
      </c>
      <c r="U1412" s="18">
        <v>45904</v>
      </c>
    </row>
    <row r="1413" spans="15:21" x14ac:dyDescent="0.35">
      <c r="O1413" s="18">
        <v>41535</v>
      </c>
      <c r="P1413">
        <v>358.26</v>
      </c>
      <c r="R1413" s="18">
        <v>45905</v>
      </c>
      <c r="S1413">
        <v>6580.5</v>
      </c>
      <c r="T1413">
        <v>610720</v>
      </c>
      <c r="U1413" s="18">
        <v>45905</v>
      </c>
    </row>
    <row r="1414" spans="15:21" x14ac:dyDescent="0.35">
      <c r="O1414" s="18">
        <v>41536</v>
      </c>
      <c r="P1414">
        <v>354.29</v>
      </c>
      <c r="R1414" s="18">
        <v>45908</v>
      </c>
      <c r="S1414">
        <v>6815</v>
      </c>
      <c r="T1414">
        <v>968120</v>
      </c>
      <c r="U1414" s="18">
        <v>45908</v>
      </c>
    </row>
    <row r="1415" spans="15:21" x14ac:dyDescent="0.35">
      <c r="O1415" s="18">
        <v>41537</v>
      </c>
      <c r="P1415">
        <v>347.45</v>
      </c>
      <c r="R1415" s="18">
        <v>45909</v>
      </c>
      <c r="S1415">
        <v>6874.5</v>
      </c>
      <c r="T1415">
        <v>983280</v>
      </c>
      <c r="U1415" s="18">
        <v>45909</v>
      </c>
    </row>
    <row r="1416" spans="15:21" x14ac:dyDescent="0.35">
      <c r="O1416" s="18">
        <v>41540</v>
      </c>
      <c r="P1416">
        <v>338.87</v>
      </c>
      <c r="R1416" s="18">
        <v>45910</v>
      </c>
      <c r="S1416">
        <v>6836.5</v>
      </c>
      <c r="T1416">
        <v>740610</v>
      </c>
      <c r="U1416" s="18">
        <v>45910</v>
      </c>
    </row>
    <row r="1417" spans="15:21" x14ac:dyDescent="0.35">
      <c r="O1417" s="18">
        <v>41541</v>
      </c>
      <c r="P1417">
        <v>359.51</v>
      </c>
      <c r="R1417" s="18">
        <v>45911</v>
      </c>
      <c r="S1417">
        <v>6758</v>
      </c>
      <c r="T1417">
        <v>719580</v>
      </c>
      <c r="U1417" s="18">
        <v>45911</v>
      </c>
    </row>
    <row r="1418" spans="15:21" x14ac:dyDescent="0.35">
      <c r="O1418" s="18">
        <v>41542</v>
      </c>
      <c r="P1418">
        <v>351.25</v>
      </c>
      <c r="R1418" s="18">
        <v>45912</v>
      </c>
      <c r="S1418">
        <v>6875</v>
      </c>
      <c r="T1418">
        <v>731800</v>
      </c>
      <c r="U1418" s="18">
        <v>45912</v>
      </c>
    </row>
    <row r="1419" spans="15:21" x14ac:dyDescent="0.35">
      <c r="O1419" s="18">
        <v>41543</v>
      </c>
      <c r="P1419">
        <v>347.6</v>
      </c>
      <c r="R1419" s="18">
        <v>45915</v>
      </c>
      <c r="S1419">
        <v>6801</v>
      </c>
      <c r="T1419">
        <v>380690</v>
      </c>
      <c r="U1419" s="18">
        <v>45915</v>
      </c>
    </row>
    <row r="1420" spans="15:21" x14ac:dyDescent="0.35">
      <c r="O1420" s="18">
        <v>41544</v>
      </c>
      <c r="P1420">
        <v>355.44</v>
      </c>
      <c r="R1420" s="18">
        <v>45916</v>
      </c>
      <c r="S1420">
        <v>6927.5</v>
      </c>
      <c r="T1420">
        <v>579280</v>
      </c>
      <c r="U1420" s="18">
        <v>45916</v>
      </c>
    </row>
    <row r="1421" spans="15:21" x14ac:dyDescent="0.35">
      <c r="O1421" s="18">
        <v>41547</v>
      </c>
      <c r="P1421">
        <v>356.04</v>
      </c>
      <c r="R1421" s="18">
        <v>45917</v>
      </c>
      <c r="S1421">
        <v>6890.5</v>
      </c>
      <c r="T1421">
        <v>310530</v>
      </c>
      <c r="U1421" s="18">
        <v>45917</v>
      </c>
    </row>
    <row r="1422" spans="15:21" x14ac:dyDescent="0.35">
      <c r="O1422" s="18">
        <v>41548</v>
      </c>
      <c r="P1422">
        <v>366.62</v>
      </c>
      <c r="R1422" s="18">
        <v>45918</v>
      </c>
      <c r="S1422">
        <v>6924.5</v>
      </c>
      <c r="T1422">
        <v>224360</v>
      </c>
      <c r="U1422" s="18">
        <v>45918</v>
      </c>
    </row>
    <row r="1423" spans="15:21" x14ac:dyDescent="0.35">
      <c r="O1423" s="18">
        <v>41550</v>
      </c>
      <c r="P1423">
        <v>360.62</v>
      </c>
      <c r="R1423" s="18">
        <v>45919</v>
      </c>
      <c r="S1423">
        <v>6973.5</v>
      </c>
      <c r="T1423">
        <v>550550</v>
      </c>
      <c r="U1423" s="18">
        <v>45919</v>
      </c>
    </row>
    <row r="1424" spans="15:21" x14ac:dyDescent="0.35">
      <c r="O1424" s="18">
        <v>41551</v>
      </c>
      <c r="P1424">
        <v>368.7</v>
      </c>
      <c r="R1424" s="18">
        <v>45922</v>
      </c>
      <c r="S1424">
        <v>6946</v>
      </c>
      <c r="T1424">
        <v>332790</v>
      </c>
      <c r="U1424" s="18">
        <v>45922</v>
      </c>
    </row>
    <row r="1425" spans="15:21" x14ac:dyDescent="0.35">
      <c r="O1425" s="18">
        <v>41554</v>
      </c>
      <c r="P1425">
        <v>378.05</v>
      </c>
      <c r="R1425" s="18">
        <v>45923</v>
      </c>
      <c r="S1425">
        <v>6990.5</v>
      </c>
      <c r="T1425">
        <v>679060</v>
      </c>
      <c r="U1425" s="18">
        <v>45923</v>
      </c>
    </row>
    <row r="1426" spans="15:21" x14ac:dyDescent="0.35">
      <c r="O1426" s="18">
        <v>41555</v>
      </c>
      <c r="P1426">
        <v>379.55</v>
      </c>
      <c r="R1426" s="18">
        <v>45924</v>
      </c>
      <c r="S1426">
        <v>7011.5</v>
      </c>
      <c r="T1426">
        <v>323000</v>
      </c>
      <c r="U1426" s="18">
        <v>45924</v>
      </c>
    </row>
    <row r="1427" spans="15:21" x14ac:dyDescent="0.35">
      <c r="O1427" s="18">
        <v>41556</v>
      </c>
      <c r="P1427">
        <v>389.81</v>
      </c>
      <c r="R1427" s="18">
        <v>45925</v>
      </c>
      <c r="S1427">
        <v>6986</v>
      </c>
      <c r="T1427">
        <v>375860</v>
      </c>
      <c r="U1427" s="18">
        <v>45925</v>
      </c>
    </row>
    <row r="1428" spans="15:21" x14ac:dyDescent="0.35">
      <c r="O1428" s="18">
        <v>41557</v>
      </c>
      <c r="P1428">
        <v>393.86</v>
      </c>
      <c r="R1428" s="18">
        <v>45926</v>
      </c>
      <c r="S1428">
        <v>7047</v>
      </c>
      <c r="T1428">
        <v>679360</v>
      </c>
      <c r="U1428" s="18">
        <v>45926</v>
      </c>
    </row>
    <row r="1429" spans="15:21" x14ac:dyDescent="0.35">
      <c r="O1429" s="18">
        <v>41558</v>
      </c>
      <c r="P1429">
        <v>395.25</v>
      </c>
      <c r="R1429" s="18">
        <v>45929</v>
      </c>
      <c r="S1429">
        <v>6985</v>
      </c>
      <c r="T1429">
        <v>612980</v>
      </c>
      <c r="U1429" s="18">
        <v>45929</v>
      </c>
    </row>
    <row r="1430" spans="15:21" x14ac:dyDescent="0.35">
      <c r="O1430" s="18">
        <v>41561</v>
      </c>
      <c r="P1430">
        <v>393.3</v>
      </c>
      <c r="R1430" s="18">
        <v>45930</v>
      </c>
      <c r="S1430">
        <v>7005.5</v>
      </c>
      <c r="T1430">
        <v>363930</v>
      </c>
      <c r="U1430" s="18">
        <v>45930</v>
      </c>
    </row>
    <row r="1431" spans="15:21" x14ac:dyDescent="0.35">
      <c r="O1431" s="18">
        <v>41562</v>
      </c>
      <c r="P1431">
        <v>389.56</v>
      </c>
      <c r="R1431" s="18">
        <v>45931</v>
      </c>
      <c r="S1431">
        <v>7021.5</v>
      </c>
      <c r="T1431">
        <v>313730</v>
      </c>
      <c r="U1431" s="18">
        <v>45931</v>
      </c>
    </row>
    <row r="1432" spans="15:21" x14ac:dyDescent="0.35">
      <c r="O1432" s="18">
        <v>41564</v>
      </c>
      <c r="P1432">
        <v>387.59</v>
      </c>
      <c r="R1432" s="18">
        <v>45933</v>
      </c>
      <c r="S1432">
        <v>6941</v>
      </c>
      <c r="T1432">
        <v>669740</v>
      </c>
      <c r="U1432" s="18">
        <v>45933</v>
      </c>
    </row>
    <row r="1433" spans="15:21" x14ac:dyDescent="0.35">
      <c r="O1433" s="18">
        <v>41565</v>
      </c>
      <c r="P1433">
        <v>387.68</v>
      </c>
      <c r="R1433" s="18">
        <v>45936</v>
      </c>
      <c r="S1433">
        <v>6880</v>
      </c>
      <c r="T1433">
        <v>218200</v>
      </c>
      <c r="U1433" s="18">
        <v>45936</v>
      </c>
    </row>
    <row r="1434" spans="15:21" x14ac:dyDescent="0.35">
      <c r="O1434" s="18">
        <v>41568</v>
      </c>
      <c r="P1434">
        <v>384.46</v>
      </c>
      <c r="R1434" s="18">
        <v>45937</v>
      </c>
      <c r="S1434">
        <v>6957</v>
      </c>
      <c r="T1434">
        <v>286590</v>
      </c>
      <c r="U1434" s="18">
        <v>45937</v>
      </c>
    </row>
    <row r="1435" spans="15:21" x14ac:dyDescent="0.35">
      <c r="O1435" s="18">
        <v>41569</v>
      </c>
      <c r="P1435">
        <v>395.79</v>
      </c>
      <c r="R1435" s="18">
        <v>45938</v>
      </c>
      <c r="S1435">
        <v>6902.5</v>
      </c>
      <c r="T1435">
        <v>476290</v>
      </c>
      <c r="U1435" s="18">
        <v>45938</v>
      </c>
    </row>
    <row r="1436" spans="15:21" x14ac:dyDescent="0.35">
      <c r="O1436" s="18">
        <v>41570</v>
      </c>
      <c r="P1436">
        <v>399.11</v>
      </c>
      <c r="R1436" s="18">
        <v>45939</v>
      </c>
      <c r="S1436">
        <v>6896.5</v>
      </c>
      <c r="T1436">
        <v>405890</v>
      </c>
      <c r="U1436" s="18">
        <v>45939</v>
      </c>
    </row>
    <row r="1437" spans="15:21" x14ac:dyDescent="0.35">
      <c r="O1437" s="18">
        <v>41571</v>
      </c>
      <c r="P1437">
        <v>397.18</v>
      </c>
      <c r="R1437" s="18">
        <v>45940</v>
      </c>
      <c r="S1437">
        <v>6965</v>
      </c>
      <c r="T1437">
        <v>282880</v>
      </c>
      <c r="U1437" s="18">
        <v>45940</v>
      </c>
    </row>
    <row r="1438" spans="15:21" x14ac:dyDescent="0.35">
      <c r="O1438" s="18">
        <v>41572</v>
      </c>
      <c r="P1438">
        <v>393.25</v>
      </c>
      <c r="R1438" s="18">
        <v>45943</v>
      </c>
      <c r="S1438">
        <v>6912</v>
      </c>
      <c r="T1438">
        <v>342990</v>
      </c>
      <c r="U1438" s="18">
        <v>45943</v>
      </c>
    </row>
    <row r="1439" spans="15:21" x14ac:dyDescent="0.35">
      <c r="O1439" s="18">
        <v>41575</v>
      </c>
      <c r="P1439">
        <v>388.17</v>
      </c>
      <c r="R1439" s="18">
        <v>45944</v>
      </c>
      <c r="S1439">
        <v>6887</v>
      </c>
      <c r="T1439">
        <v>309420</v>
      </c>
      <c r="U1439" s="18">
        <v>45944</v>
      </c>
    </row>
    <row r="1440" spans="15:21" x14ac:dyDescent="0.35">
      <c r="O1440" s="18">
        <v>41576</v>
      </c>
      <c r="P1440">
        <v>390.2</v>
      </c>
      <c r="R1440" s="18">
        <v>45945</v>
      </c>
      <c r="S1440">
        <v>6895</v>
      </c>
      <c r="T1440">
        <v>237370</v>
      </c>
      <c r="U1440" s="18">
        <v>45945</v>
      </c>
    </row>
    <row r="1441" spans="15:21" x14ac:dyDescent="0.35">
      <c r="O1441" s="18">
        <v>41577</v>
      </c>
      <c r="P1441">
        <v>389.28</v>
      </c>
      <c r="R1441" s="18">
        <v>45946</v>
      </c>
      <c r="S1441">
        <v>6988</v>
      </c>
      <c r="T1441">
        <v>319050</v>
      </c>
      <c r="U1441" s="18">
        <v>45946</v>
      </c>
    </row>
    <row r="1442" spans="15:21" x14ac:dyDescent="0.35">
      <c r="O1442" s="18">
        <v>41578</v>
      </c>
      <c r="P1442">
        <v>395.79</v>
      </c>
      <c r="R1442" s="18">
        <v>45947</v>
      </c>
      <c r="S1442">
        <v>7042.5</v>
      </c>
      <c r="T1442">
        <v>402010</v>
      </c>
      <c r="U1442" s="18">
        <v>45947</v>
      </c>
    </row>
    <row r="1443" spans="15:21" x14ac:dyDescent="0.35">
      <c r="O1443" s="18">
        <v>41579</v>
      </c>
      <c r="P1443">
        <v>398.28</v>
      </c>
      <c r="R1443" s="18">
        <v>45950</v>
      </c>
      <c r="S1443">
        <v>7013.5</v>
      </c>
      <c r="T1443">
        <v>326180</v>
      </c>
      <c r="U1443" s="18">
        <v>45950</v>
      </c>
    </row>
    <row r="1444" spans="15:21" x14ac:dyDescent="0.35">
      <c r="O1444" s="18">
        <v>41581</v>
      </c>
      <c r="P1444">
        <v>394.81</v>
      </c>
      <c r="R1444" s="18">
        <v>45951</v>
      </c>
      <c r="S1444">
        <v>7018.5</v>
      </c>
      <c r="T1444">
        <v>14380</v>
      </c>
      <c r="U1444" s="18">
        <v>45951</v>
      </c>
    </row>
    <row r="1445" spans="15:21" x14ac:dyDescent="0.35">
      <c r="O1445" s="18">
        <v>41583</v>
      </c>
      <c r="P1445">
        <v>398.69</v>
      </c>
      <c r="R1445" s="18">
        <v>45953</v>
      </c>
      <c r="S1445">
        <v>6884.5</v>
      </c>
      <c r="T1445">
        <v>419750</v>
      </c>
      <c r="U1445" s="18">
        <v>45953</v>
      </c>
    </row>
    <row r="1446" spans="15:21" x14ac:dyDescent="0.35">
      <c r="O1446" s="18">
        <v>41584</v>
      </c>
      <c r="P1446">
        <v>398.44</v>
      </c>
      <c r="R1446" s="18">
        <v>45954</v>
      </c>
      <c r="S1446">
        <v>6840</v>
      </c>
      <c r="T1446">
        <v>243740</v>
      </c>
      <c r="U1446" s="18">
        <v>45954</v>
      </c>
    </row>
    <row r="1447" spans="15:21" x14ac:dyDescent="0.35">
      <c r="O1447" s="18">
        <v>41585</v>
      </c>
      <c r="P1447">
        <v>401.95</v>
      </c>
      <c r="R1447" s="18">
        <v>45957</v>
      </c>
      <c r="S1447">
        <v>6906.5</v>
      </c>
      <c r="T1447">
        <v>228140</v>
      </c>
      <c r="U1447" s="18">
        <v>45957</v>
      </c>
    </row>
    <row r="1448" spans="15:21" x14ac:dyDescent="0.35">
      <c r="O1448" s="18">
        <v>41586</v>
      </c>
      <c r="P1448">
        <v>413.6</v>
      </c>
      <c r="R1448" s="18">
        <v>45958</v>
      </c>
      <c r="S1448">
        <v>7002.5</v>
      </c>
      <c r="T1448">
        <v>485230</v>
      </c>
      <c r="U1448" s="18">
        <v>45958</v>
      </c>
    </row>
    <row r="1449" spans="15:21" x14ac:dyDescent="0.35">
      <c r="O1449" s="18">
        <v>41589</v>
      </c>
      <c r="P1449">
        <v>418.6</v>
      </c>
      <c r="R1449" s="18">
        <v>45959</v>
      </c>
      <c r="S1449">
        <v>6952</v>
      </c>
      <c r="T1449">
        <v>343500</v>
      </c>
      <c r="U1449" s="18">
        <v>45959</v>
      </c>
    </row>
    <row r="1450" spans="15:21" x14ac:dyDescent="0.35">
      <c r="O1450" s="18">
        <v>41590</v>
      </c>
      <c r="P1450">
        <v>420.63</v>
      </c>
      <c r="R1450" s="18">
        <v>45960</v>
      </c>
      <c r="S1450">
        <v>6889</v>
      </c>
      <c r="T1450">
        <v>412180</v>
      </c>
      <c r="U1450" s="18">
        <v>45960</v>
      </c>
    </row>
    <row r="1451" spans="15:21" x14ac:dyDescent="0.35">
      <c r="O1451" s="18">
        <v>41591</v>
      </c>
      <c r="P1451">
        <v>420.3</v>
      </c>
      <c r="R1451" s="18">
        <v>45961</v>
      </c>
      <c r="S1451">
        <v>7007</v>
      </c>
      <c r="T1451">
        <v>670790</v>
      </c>
      <c r="U1451" s="18">
        <v>45961</v>
      </c>
    </row>
    <row r="1452" spans="15:21" x14ac:dyDescent="0.35">
      <c r="O1452" s="18">
        <v>41592</v>
      </c>
      <c r="P1452">
        <v>420.18</v>
      </c>
      <c r="R1452" s="18">
        <v>45964</v>
      </c>
      <c r="S1452">
        <v>7023.5</v>
      </c>
      <c r="T1452">
        <v>334960</v>
      </c>
      <c r="U1452" s="18">
        <v>45964</v>
      </c>
    </row>
    <row r="1453" spans="15:21" x14ac:dyDescent="0.35">
      <c r="O1453" s="18">
        <v>41596</v>
      </c>
      <c r="P1453">
        <v>421.1</v>
      </c>
      <c r="R1453" s="18">
        <v>45965</v>
      </c>
      <c r="S1453">
        <v>6930</v>
      </c>
      <c r="T1453">
        <v>494330</v>
      </c>
      <c r="U1453" s="18">
        <v>45965</v>
      </c>
    </row>
    <row r="1454" spans="15:21" x14ac:dyDescent="0.35">
      <c r="O1454" s="18">
        <v>41597</v>
      </c>
      <c r="P1454">
        <v>421.92</v>
      </c>
      <c r="R1454" s="18">
        <v>45967</v>
      </c>
      <c r="S1454">
        <v>6806.5</v>
      </c>
      <c r="T1454">
        <v>435650</v>
      </c>
      <c r="U1454" s="18">
        <v>45967</v>
      </c>
    </row>
    <row r="1455" spans="15:21" x14ac:dyDescent="0.35">
      <c r="O1455" s="18">
        <v>41598</v>
      </c>
      <c r="P1455">
        <v>423.2</v>
      </c>
      <c r="R1455" s="18">
        <v>45968</v>
      </c>
      <c r="S1455">
        <v>6886</v>
      </c>
      <c r="T1455">
        <v>465150</v>
      </c>
      <c r="U1455" s="18">
        <v>45968</v>
      </c>
    </row>
    <row r="1456" spans="15:21" x14ac:dyDescent="0.35">
      <c r="O1456" s="18">
        <v>41599</v>
      </c>
      <c r="P1456">
        <v>420.58</v>
      </c>
      <c r="R1456" s="18">
        <v>45971</v>
      </c>
      <c r="S1456">
        <v>6866.5</v>
      </c>
      <c r="T1456">
        <v>514370</v>
      </c>
      <c r="U1456" s="18">
        <v>45971</v>
      </c>
    </row>
    <row r="1457" spans="15:21" x14ac:dyDescent="0.35">
      <c r="O1457" s="18">
        <v>41600</v>
      </c>
      <c r="P1457">
        <v>420.2</v>
      </c>
      <c r="R1457" s="18">
        <v>45972</v>
      </c>
      <c r="S1457">
        <v>6873</v>
      </c>
      <c r="T1457">
        <v>409680</v>
      </c>
      <c r="U1457" s="18">
        <v>45972</v>
      </c>
    </row>
    <row r="1458" spans="15:21" x14ac:dyDescent="0.35">
      <c r="O1458" s="18">
        <v>41603</v>
      </c>
      <c r="P1458">
        <v>420.26</v>
      </c>
      <c r="R1458" s="18">
        <v>45973</v>
      </c>
      <c r="S1458">
        <v>6879</v>
      </c>
      <c r="T1458">
        <v>300610</v>
      </c>
      <c r="U1458" s="18">
        <v>45973</v>
      </c>
    </row>
    <row r="1459" spans="15:21" x14ac:dyDescent="0.35">
      <c r="O1459" s="18">
        <v>41604</v>
      </c>
      <c r="P1459">
        <v>432.51</v>
      </c>
      <c r="R1459" s="18">
        <v>45974</v>
      </c>
      <c r="S1459">
        <v>6855</v>
      </c>
      <c r="T1459">
        <v>842030</v>
      </c>
      <c r="U1459" s="18">
        <v>45974</v>
      </c>
    </row>
    <row r="1460" spans="15:21" x14ac:dyDescent="0.35">
      <c r="O1460" s="18">
        <v>41605</v>
      </c>
      <c r="P1460">
        <v>449.06</v>
      </c>
      <c r="R1460" s="18">
        <v>45975</v>
      </c>
      <c r="S1460">
        <v>6695</v>
      </c>
      <c r="T1460">
        <v>739160</v>
      </c>
      <c r="U1460" s="18">
        <v>45975</v>
      </c>
    </row>
    <row r="1461" spans="15:21" x14ac:dyDescent="0.35">
      <c r="O1461" s="18">
        <v>41606</v>
      </c>
      <c r="P1461">
        <v>464.48</v>
      </c>
      <c r="R1461" s="18">
        <v>45978</v>
      </c>
      <c r="S1461">
        <v>6799</v>
      </c>
      <c r="T1461">
        <v>789640</v>
      </c>
      <c r="U1461" s="18">
        <v>45978</v>
      </c>
    </row>
    <row r="1462" spans="15:21" x14ac:dyDescent="0.35">
      <c r="O1462" s="18">
        <v>41607</v>
      </c>
      <c r="P1462">
        <v>468.73</v>
      </c>
      <c r="R1462" s="18">
        <v>45979</v>
      </c>
      <c r="S1462">
        <v>6814.5</v>
      </c>
      <c r="T1462">
        <v>517130</v>
      </c>
      <c r="U1462" s="18">
        <v>45979</v>
      </c>
    </row>
    <row r="1463" spans="15:21" x14ac:dyDescent="0.35">
      <c r="O1463" s="18">
        <v>41610</v>
      </c>
      <c r="P1463">
        <v>499.87</v>
      </c>
      <c r="R1463" s="18">
        <v>45980</v>
      </c>
      <c r="S1463">
        <v>6896.5</v>
      </c>
      <c r="T1463">
        <v>416170</v>
      </c>
      <c r="U1463" s="18">
        <v>45980</v>
      </c>
    </row>
    <row r="1464" spans="15:21" x14ac:dyDescent="0.35">
      <c r="O1464" s="18">
        <v>41611</v>
      </c>
      <c r="P1464">
        <v>513.77</v>
      </c>
      <c r="R1464" s="18">
        <v>45981</v>
      </c>
      <c r="S1464">
        <v>7125.5</v>
      </c>
      <c r="T1464">
        <v>857230</v>
      </c>
      <c r="U1464" s="18">
        <v>45981</v>
      </c>
    </row>
    <row r="1465" spans="15:21" x14ac:dyDescent="0.35">
      <c r="O1465" s="18">
        <v>41612</v>
      </c>
      <c r="P1465">
        <v>492.67</v>
      </c>
      <c r="R1465" s="18">
        <v>45982</v>
      </c>
      <c r="S1465">
        <v>7134.5</v>
      </c>
      <c r="T1465">
        <v>654160</v>
      </c>
      <c r="U1465" s="18">
        <v>45982</v>
      </c>
    </row>
    <row r="1466" spans="15:21" x14ac:dyDescent="0.35">
      <c r="O1466" s="18">
        <v>41613</v>
      </c>
      <c r="P1466">
        <v>475.56</v>
      </c>
      <c r="R1466" s="18">
        <v>45985</v>
      </c>
      <c r="S1466">
        <v>7258.5</v>
      </c>
      <c r="T1466">
        <v>1230000</v>
      </c>
      <c r="U1466" s="18">
        <v>45985</v>
      </c>
    </row>
    <row r="1467" spans="15:21" x14ac:dyDescent="0.35">
      <c r="O1467" s="18">
        <v>41614</v>
      </c>
      <c r="P1467">
        <v>482.88</v>
      </c>
      <c r="R1467" s="18">
        <v>45986</v>
      </c>
      <c r="S1467">
        <v>7218.5</v>
      </c>
      <c r="T1467">
        <v>521989.99999999994</v>
      </c>
      <c r="U1467" s="18">
        <v>45986</v>
      </c>
    </row>
    <row r="1468" spans="15:21" x14ac:dyDescent="0.35">
      <c r="O1468" s="18">
        <v>41617</v>
      </c>
      <c r="P1468">
        <v>468.14</v>
      </c>
      <c r="R1468" s="18">
        <v>45987</v>
      </c>
      <c r="S1468">
        <v>7198.5</v>
      </c>
      <c r="T1468">
        <v>313550</v>
      </c>
      <c r="U1468" s="18">
        <v>45987</v>
      </c>
    </row>
    <row r="1469" spans="15:21" x14ac:dyDescent="0.35">
      <c r="O1469" s="18">
        <v>41618</v>
      </c>
      <c r="P1469">
        <v>470.03</v>
      </c>
      <c r="R1469" s="18">
        <v>45988</v>
      </c>
      <c r="S1469">
        <v>6999</v>
      </c>
      <c r="T1469">
        <v>480100</v>
      </c>
      <c r="U1469" s="18">
        <v>45988</v>
      </c>
    </row>
    <row r="1470" spans="15:21" x14ac:dyDescent="0.35">
      <c r="O1470" s="18">
        <v>41619</v>
      </c>
      <c r="P1470">
        <v>485.54</v>
      </c>
      <c r="R1470" s="18">
        <v>45989</v>
      </c>
      <c r="S1470">
        <v>7053.5</v>
      </c>
      <c r="T1470">
        <v>449710</v>
      </c>
      <c r="U1470" s="18">
        <v>45989</v>
      </c>
    </row>
    <row r="1471" spans="15:21" x14ac:dyDescent="0.35">
      <c r="O1471" s="18">
        <v>41620</v>
      </c>
      <c r="P1471">
        <v>494.81</v>
      </c>
      <c r="R1471" s="18">
        <v>45992</v>
      </c>
      <c r="S1471">
        <v>7125.5</v>
      </c>
      <c r="T1471">
        <v>974710</v>
      </c>
      <c r="U1471" s="18">
        <v>45992</v>
      </c>
    </row>
    <row r="1472" spans="15:21" x14ac:dyDescent="0.35">
      <c r="O1472" s="18">
        <v>41621</v>
      </c>
      <c r="P1472">
        <v>491.52</v>
      </c>
      <c r="R1472" s="18">
        <v>45993</v>
      </c>
      <c r="S1472">
        <v>7112.5</v>
      </c>
      <c r="T1472">
        <v>448170</v>
      </c>
      <c r="U1472" s="18">
        <v>45993</v>
      </c>
    </row>
    <row r="1473" spans="15:21" x14ac:dyDescent="0.35">
      <c r="O1473" s="18">
        <v>41624</v>
      </c>
      <c r="P1473">
        <v>485.33</v>
      </c>
      <c r="R1473" s="18">
        <v>45994</v>
      </c>
      <c r="S1473">
        <v>7081.5</v>
      </c>
      <c r="T1473">
        <v>333670</v>
      </c>
      <c r="U1473" s="18">
        <v>45994</v>
      </c>
    </row>
    <row r="1474" spans="15:21" x14ac:dyDescent="0.35">
      <c r="O1474" s="18">
        <v>41625</v>
      </c>
      <c r="P1474">
        <v>477.72</v>
      </c>
      <c r="R1474" s="18">
        <v>45995</v>
      </c>
      <c r="S1474">
        <v>7100</v>
      </c>
      <c r="T1474">
        <v>364670</v>
      </c>
      <c r="U1474" s="18">
        <v>45995</v>
      </c>
    </row>
    <row r="1475" spans="15:21" x14ac:dyDescent="0.35">
      <c r="O1475" s="18">
        <v>41626</v>
      </c>
      <c r="P1475">
        <v>495.98</v>
      </c>
      <c r="R1475" s="18">
        <v>45996</v>
      </c>
      <c r="S1475">
        <v>7208</v>
      </c>
      <c r="T1475">
        <v>501040.00000000006</v>
      </c>
      <c r="U1475" s="18">
        <v>45996</v>
      </c>
    </row>
    <row r="1476" spans="15:21" x14ac:dyDescent="0.35">
      <c r="O1476" s="18">
        <v>41627</v>
      </c>
      <c r="P1476">
        <v>491.01</v>
      </c>
      <c r="R1476" s="18">
        <v>45999</v>
      </c>
      <c r="S1476">
        <v>7142</v>
      </c>
      <c r="T1476">
        <v>273510</v>
      </c>
      <c r="U1476" s="18">
        <v>45999</v>
      </c>
    </row>
    <row r="1477" spans="15:21" x14ac:dyDescent="0.35">
      <c r="O1477" s="18">
        <v>41628</v>
      </c>
      <c r="P1477">
        <v>507.35</v>
      </c>
      <c r="R1477" s="18">
        <v>46000</v>
      </c>
      <c r="S1477">
        <v>7123</v>
      </c>
      <c r="T1477">
        <v>436440</v>
      </c>
      <c r="U1477" s="18">
        <v>46000</v>
      </c>
    </row>
    <row r="1478" spans="15:21" x14ac:dyDescent="0.35">
      <c r="O1478" s="18">
        <v>41631</v>
      </c>
      <c r="P1478">
        <v>496.6</v>
      </c>
      <c r="R1478" s="18">
        <v>46001</v>
      </c>
      <c r="S1478">
        <v>7228.5</v>
      </c>
      <c r="T1478">
        <v>626510</v>
      </c>
      <c r="U1478" s="18">
        <v>46001</v>
      </c>
    </row>
    <row r="1479" spans="15:21" x14ac:dyDescent="0.35">
      <c r="O1479" s="18">
        <v>41632</v>
      </c>
      <c r="P1479">
        <v>497.55</v>
      </c>
      <c r="R1479" s="18">
        <v>46002</v>
      </c>
      <c r="S1479">
        <v>7256</v>
      </c>
      <c r="T1479">
        <v>502050</v>
      </c>
      <c r="U1479" s="18">
        <v>46002</v>
      </c>
    </row>
    <row r="1480" spans="15:21" x14ac:dyDescent="0.35">
      <c r="O1480" s="18">
        <v>41634</v>
      </c>
      <c r="P1480">
        <v>497.68</v>
      </c>
      <c r="R1480" s="18">
        <v>46003</v>
      </c>
      <c r="S1480">
        <v>7229</v>
      </c>
      <c r="T1480">
        <v>324680</v>
      </c>
      <c r="U1480" s="18">
        <v>46003</v>
      </c>
    </row>
    <row r="1481" spans="15:21" x14ac:dyDescent="0.35">
      <c r="O1481" s="18">
        <v>41635</v>
      </c>
      <c r="P1481">
        <v>499.26</v>
      </c>
      <c r="R1481" s="18">
        <v>46006</v>
      </c>
      <c r="S1481">
        <v>7121.5</v>
      </c>
      <c r="T1481">
        <v>391820</v>
      </c>
      <c r="U1481" s="18">
        <v>46006</v>
      </c>
    </row>
    <row r="1482" spans="15:21" x14ac:dyDescent="0.35">
      <c r="O1482" s="18">
        <v>41638</v>
      </c>
      <c r="P1482">
        <v>497.48</v>
      </c>
      <c r="R1482" s="18">
        <v>46007</v>
      </c>
      <c r="S1482">
        <v>7061.5</v>
      </c>
      <c r="T1482">
        <v>505909.99999999994</v>
      </c>
      <c r="U1482" s="18">
        <v>46007</v>
      </c>
    </row>
    <row r="1483" spans="15:21" x14ac:dyDescent="0.35">
      <c r="O1483" s="18">
        <v>41639</v>
      </c>
      <c r="P1483">
        <v>497.58</v>
      </c>
      <c r="R1483" s="18">
        <v>46008</v>
      </c>
      <c r="S1483">
        <v>7134.5</v>
      </c>
      <c r="T1483">
        <v>594260</v>
      </c>
      <c r="U1483" s="18">
        <v>46008</v>
      </c>
    </row>
    <row r="1484" spans="15:21" x14ac:dyDescent="0.35">
      <c r="O1484" s="18">
        <v>41640</v>
      </c>
      <c r="P1484">
        <v>500.19</v>
      </c>
      <c r="R1484" s="18">
        <v>46009</v>
      </c>
      <c r="S1484">
        <v>7106.5</v>
      </c>
      <c r="T1484">
        <v>327760</v>
      </c>
      <c r="U1484" s="18">
        <v>46009</v>
      </c>
    </row>
    <row r="1485" spans="15:21" x14ac:dyDescent="0.35">
      <c r="O1485" s="18">
        <v>41641</v>
      </c>
      <c r="P1485">
        <v>498.29</v>
      </c>
      <c r="R1485" s="18">
        <v>46010</v>
      </c>
      <c r="S1485">
        <v>7217</v>
      </c>
      <c r="T1485">
        <v>423440</v>
      </c>
      <c r="U1485" s="18">
        <v>46010</v>
      </c>
    </row>
    <row r="1486" spans="15:21" x14ac:dyDescent="0.35">
      <c r="O1486" s="18">
        <v>41642</v>
      </c>
      <c r="P1486">
        <v>496.89</v>
      </c>
      <c r="R1486" s="18">
        <v>46013</v>
      </c>
      <c r="S1486">
        <v>7291.5</v>
      </c>
      <c r="T1486">
        <v>233970</v>
      </c>
      <c r="U1486" s="18">
        <v>46013</v>
      </c>
    </row>
    <row r="1487" spans="15:21" x14ac:dyDescent="0.35">
      <c r="O1487" s="18">
        <v>41645</v>
      </c>
      <c r="P1487">
        <v>498.6</v>
      </c>
      <c r="R1487" s="18">
        <v>46014</v>
      </c>
      <c r="S1487">
        <v>7303</v>
      </c>
      <c r="T1487">
        <v>249190</v>
      </c>
      <c r="U1487" s="18">
        <v>46014</v>
      </c>
    </row>
    <row r="1488" spans="15:21" x14ac:dyDescent="0.35">
      <c r="O1488" s="18">
        <v>41646</v>
      </c>
      <c r="P1488">
        <v>499.31</v>
      </c>
      <c r="R1488" s="18">
        <v>46015</v>
      </c>
      <c r="S1488">
        <v>7312.5</v>
      </c>
      <c r="T1488">
        <v>205300</v>
      </c>
      <c r="U1488" s="18">
        <v>46015</v>
      </c>
    </row>
    <row r="1489" spans="15:21" x14ac:dyDescent="0.35">
      <c r="O1489" s="18">
        <v>41647</v>
      </c>
      <c r="P1489">
        <v>507.49</v>
      </c>
      <c r="R1489" s="18">
        <v>46017</v>
      </c>
      <c r="S1489">
        <v>7324</v>
      </c>
      <c r="T1489">
        <v>157710</v>
      </c>
      <c r="U1489" s="18">
        <v>46017</v>
      </c>
    </row>
    <row r="1490" spans="15:21" x14ac:dyDescent="0.35">
      <c r="O1490" s="18">
        <v>41648</v>
      </c>
      <c r="P1490">
        <v>504.25</v>
      </c>
      <c r="R1490" s="18">
        <v>46020</v>
      </c>
      <c r="S1490">
        <v>7272</v>
      </c>
      <c r="T1490">
        <v>282570</v>
      </c>
      <c r="U1490" s="18">
        <v>46020</v>
      </c>
    </row>
    <row r="1491" spans="15:21" x14ac:dyDescent="0.35">
      <c r="O1491" s="18">
        <v>41649</v>
      </c>
      <c r="P1491">
        <v>500.9</v>
      </c>
      <c r="R1491" s="18">
        <v>46021</v>
      </c>
      <c r="S1491">
        <v>7192.5</v>
      </c>
      <c r="T1491">
        <v>1980000</v>
      </c>
      <c r="U1491" s="18">
        <v>46021</v>
      </c>
    </row>
    <row r="1492" spans="15:21" x14ac:dyDescent="0.35">
      <c r="O1492" s="18">
        <v>41652</v>
      </c>
      <c r="P1492">
        <v>505.5</v>
      </c>
      <c r="R1492" s="18">
        <v>46022</v>
      </c>
      <c r="S1492">
        <v>7312.5</v>
      </c>
      <c r="T1492">
        <v>357380</v>
      </c>
      <c r="U1492" s="18">
        <v>46022</v>
      </c>
    </row>
    <row r="1493" spans="15:21" x14ac:dyDescent="0.35">
      <c r="O1493" s="18">
        <v>41653</v>
      </c>
      <c r="P1493">
        <v>501.25</v>
      </c>
      <c r="R1493" s="18">
        <v>46023</v>
      </c>
      <c r="S1493">
        <v>7348</v>
      </c>
      <c r="T1493">
        <v>155330</v>
      </c>
      <c r="U1493" s="18">
        <v>46023</v>
      </c>
    </row>
    <row r="1494" spans="15:21" x14ac:dyDescent="0.35">
      <c r="O1494" s="18">
        <v>41654</v>
      </c>
      <c r="P1494">
        <v>493.74</v>
      </c>
      <c r="R1494" s="18">
        <v>46024</v>
      </c>
      <c r="S1494">
        <v>7334.5</v>
      </c>
      <c r="T1494">
        <v>227470</v>
      </c>
      <c r="U1494" s="18">
        <v>46024</v>
      </c>
    </row>
    <row r="1495" spans="15:21" x14ac:dyDescent="0.35">
      <c r="O1495" s="18">
        <v>41655</v>
      </c>
      <c r="P1495">
        <v>495.31</v>
      </c>
      <c r="R1495" s="18">
        <v>46027</v>
      </c>
      <c r="S1495">
        <v>7482.5</v>
      </c>
      <c r="T1495">
        <v>426800</v>
      </c>
      <c r="U1495" s="18">
        <v>46027</v>
      </c>
    </row>
    <row r="1496" spans="15:21" x14ac:dyDescent="0.35">
      <c r="O1496" s="18">
        <v>41656</v>
      </c>
      <c r="P1496">
        <v>494.57</v>
      </c>
      <c r="R1496" s="18">
        <v>46028</v>
      </c>
      <c r="S1496">
        <v>7522.5</v>
      </c>
      <c r="T1496">
        <v>396100</v>
      </c>
      <c r="U1496" s="18">
        <v>46028</v>
      </c>
    </row>
    <row r="1497" spans="15:21" x14ac:dyDescent="0.35">
      <c r="O1497" s="18">
        <v>41659</v>
      </c>
      <c r="P1497">
        <v>505.92</v>
      </c>
      <c r="R1497" s="18">
        <v>46029</v>
      </c>
      <c r="S1497">
        <v>7582.5</v>
      </c>
      <c r="T1497">
        <v>380760</v>
      </c>
      <c r="U1497" s="18">
        <v>46029</v>
      </c>
    </row>
    <row r="1498" spans="15:21" x14ac:dyDescent="0.35">
      <c r="O1498" s="18">
        <v>41660</v>
      </c>
      <c r="P1498">
        <v>508.57</v>
      </c>
      <c r="R1498" s="18">
        <v>46030</v>
      </c>
      <c r="S1498">
        <v>7551</v>
      </c>
      <c r="T1498">
        <v>459730</v>
      </c>
      <c r="U1498" s="18">
        <v>46030</v>
      </c>
    </row>
    <row r="1499" spans="15:21" x14ac:dyDescent="0.35">
      <c r="O1499" s="18">
        <v>41661</v>
      </c>
      <c r="P1499">
        <v>504.14</v>
      </c>
      <c r="R1499" s="18">
        <v>46031</v>
      </c>
      <c r="S1499">
        <v>7507</v>
      </c>
      <c r="T1499">
        <v>474630</v>
      </c>
      <c r="U1499" s="18">
        <v>46031</v>
      </c>
    </row>
    <row r="1500" spans="15:21" x14ac:dyDescent="0.35">
      <c r="O1500" s="18">
        <v>41662</v>
      </c>
      <c r="P1500">
        <v>504.49</v>
      </c>
      <c r="R1500" s="18">
        <v>46034</v>
      </c>
      <c r="S1500">
        <v>7436</v>
      </c>
      <c r="T1500">
        <v>315580</v>
      </c>
      <c r="U1500" s="18">
        <v>46034</v>
      </c>
    </row>
    <row r="1501" spans="15:21" x14ac:dyDescent="0.35">
      <c r="O1501" s="18">
        <v>41663</v>
      </c>
      <c r="P1501">
        <v>492.18</v>
      </c>
      <c r="R1501" s="18">
        <v>46035</v>
      </c>
      <c r="S1501">
        <v>7404</v>
      </c>
      <c r="T1501">
        <v>262640</v>
      </c>
      <c r="U1501" s="18">
        <v>46035</v>
      </c>
    </row>
    <row r="1502" spans="15:21" x14ac:dyDescent="0.35">
      <c r="O1502" s="18">
        <v>41666</v>
      </c>
      <c r="P1502">
        <v>484.01</v>
      </c>
      <c r="R1502" s="18">
        <v>46036</v>
      </c>
      <c r="S1502">
        <v>7358</v>
      </c>
      <c r="T1502">
        <v>426080</v>
      </c>
      <c r="U1502" s="18">
        <v>46036</v>
      </c>
    </row>
    <row r="1503" spans="15:21" x14ac:dyDescent="0.35">
      <c r="O1503" s="18">
        <v>41667</v>
      </c>
      <c r="P1503">
        <v>480.81</v>
      </c>
      <c r="R1503" s="18">
        <v>46038</v>
      </c>
      <c r="S1503">
        <v>7315</v>
      </c>
      <c r="T1503">
        <v>441020</v>
      </c>
      <c r="U1503" s="18">
        <v>46038</v>
      </c>
    </row>
    <row r="1504" spans="15:21" x14ac:dyDescent="0.35">
      <c r="O1504" s="18">
        <v>41668</v>
      </c>
      <c r="P1504">
        <v>472.52</v>
      </c>
      <c r="R1504" s="18">
        <v>46041</v>
      </c>
      <c r="S1504">
        <v>7323.5</v>
      </c>
      <c r="T1504">
        <v>211680</v>
      </c>
      <c r="U1504" s="18">
        <v>46041</v>
      </c>
    </row>
    <row r="1505" spans="15:21" x14ac:dyDescent="0.35">
      <c r="O1505" s="18">
        <v>41669</v>
      </c>
      <c r="P1505">
        <v>468.89</v>
      </c>
      <c r="R1505" s="18">
        <v>46042</v>
      </c>
      <c r="S1505">
        <v>7173.5</v>
      </c>
      <c r="T1505">
        <v>302200</v>
      </c>
      <c r="U1505" s="18">
        <v>46042</v>
      </c>
    </row>
    <row r="1506" spans="15:21" x14ac:dyDescent="0.35">
      <c r="O1506" s="18">
        <v>41670</v>
      </c>
      <c r="P1506">
        <v>464.61</v>
      </c>
      <c r="R1506" s="18">
        <v>46043</v>
      </c>
      <c r="S1506">
        <v>7140</v>
      </c>
      <c r="T1506">
        <v>480750</v>
      </c>
      <c r="U1506" s="18">
        <v>46043</v>
      </c>
    </row>
    <row r="1507" spans="15:21" x14ac:dyDescent="0.35">
      <c r="O1507" s="18">
        <v>41673</v>
      </c>
      <c r="P1507">
        <v>456.34</v>
      </c>
      <c r="R1507" s="18">
        <v>46044</v>
      </c>
      <c r="S1507">
        <v>7049</v>
      </c>
      <c r="T1507">
        <v>366500</v>
      </c>
      <c r="U1507" s="18">
        <v>46044</v>
      </c>
    </row>
    <row r="1508" spans="15:21" x14ac:dyDescent="0.35">
      <c r="O1508" s="18">
        <v>41674</v>
      </c>
      <c r="P1508">
        <v>455.53</v>
      </c>
      <c r="R1508" s="18">
        <v>46045</v>
      </c>
      <c r="S1508">
        <v>6973</v>
      </c>
      <c r="T1508">
        <v>366000</v>
      </c>
      <c r="U1508" s="18">
        <v>46045</v>
      </c>
    </row>
    <row r="1509" spans="15:21" x14ac:dyDescent="0.35">
      <c r="O1509" s="18">
        <v>41675</v>
      </c>
      <c r="P1509">
        <v>454.3</v>
      </c>
      <c r="R1509" s="18">
        <v>46049</v>
      </c>
      <c r="S1509">
        <v>7164.5</v>
      </c>
      <c r="T1509">
        <v>498370</v>
      </c>
      <c r="U1509" s="18">
        <v>46049</v>
      </c>
    </row>
    <row r="1510" spans="15:21" x14ac:dyDescent="0.35">
      <c r="O1510" s="18">
        <v>41676</v>
      </c>
      <c r="P1510">
        <v>450.4</v>
      </c>
      <c r="R1510" s="18">
        <v>46050</v>
      </c>
      <c r="S1510">
        <v>7071</v>
      </c>
      <c r="T1510">
        <v>856380</v>
      </c>
      <c r="U1510" s="18">
        <v>46050</v>
      </c>
    </row>
    <row r="1511" spans="15:21" x14ac:dyDescent="0.35">
      <c r="O1511" s="18">
        <v>41677</v>
      </c>
      <c r="P1511">
        <v>442.6</v>
      </c>
      <c r="R1511" s="18">
        <v>46051</v>
      </c>
      <c r="S1511">
        <v>7056.5</v>
      </c>
      <c r="T1511">
        <v>632900</v>
      </c>
      <c r="U1511" s="18">
        <v>46051</v>
      </c>
    </row>
    <row r="1512" spans="15:21" x14ac:dyDescent="0.35">
      <c r="O1512" s="18">
        <v>41680</v>
      </c>
      <c r="P1512">
        <v>443.09</v>
      </c>
      <c r="R1512" s="18">
        <v>46052</v>
      </c>
      <c r="S1512">
        <v>7122.5</v>
      </c>
      <c r="T1512">
        <v>454540</v>
      </c>
      <c r="U1512" s="18">
        <v>46052</v>
      </c>
    </row>
    <row r="1513" spans="15:21" x14ac:dyDescent="0.35">
      <c r="O1513" s="18">
        <v>41681</v>
      </c>
      <c r="P1513">
        <v>441.78</v>
      </c>
      <c r="R1513" s="18">
        <v>46054</v>
      </c>
      <c r="S1513">
        <v>6889.5</v>
      </c>
      <c r="T1513">
        <v>297690</v>
      </c>
      <c r="U1513" s="18">
        <v>46054</v>
      </c>
    </row>
    <row r="1514" spans="15:21" x14ac:dyDescent="0.35">
      <c r="O1514" s="18">
        <v>41682</v>
      </c>
      <c r="P1514">
        <v>443.75</v>
      </c>
      <c r="R1514" s="18">
        <v>46055</v>
      </c>
      <c r="S1514">
        <v>6985.5</v>
      </c>
      <c r="T1514">
        <v>490850</v>
      </c>
      <c r="U1514" s="18">
        <v>46055</v>
      </c>
    </row>
    <row r="1515" spans="15:21" x14ac:dyDescent="0.35">
      <c r="O1515" s="18">
        <v>41683</v>
      </c>
      <c r="P1515">
        <v>481.87</v>
      </c>
      <c r="R1515" s="18">
        <v>46056</v>
      </c>
      <c r="S1515">
        <v>7215</v>
      </c>
      <c r="T1515">
        <v>689970</v>
      </c>
      <c r="U1515" s="18">
        <v>46056</v>
      </c>
    </row>
    <row r="1516" spans="15:21" x14ac:dyDescent="0.35">
      <c r="O1516" s="18">
        <v>41684</v>
      </c>
      <c r="P1516">
        <v>484.95</v>
      </c>
      <c r="R1516" s="18">
        <v>46057</v>
      </c>
      <c r="S1516">
        <v>7277.5</v>
      </c>
      <c r="T1516">
        <v>260279.99999999994</v>
      </c>
      <c r="U1516" s="18">
        <v>46057</v>
      </c>
    </row>
    <row r="1517" spans="15:21" x14ac:dyDescent="0.35">
      <c r="O1517" s="18">
        <v>41687</v>
      </c>
      <c r="P1517">
        <v>490.44</v>
      </c>
      <c r="R1517" s="18">
        <v>46058</v>
      </c>
      <c r="S1517">
        <v>7209.5</v>
      </c>
      <c r="T1517">
        <v>254210</v>
      </c>
      <c r="U1517" s="18">
        <v>46058</v>
      </c>
    </row>
    <row r="1518" spans="15:21" x14ac:dyDescent="0.35">
      <c r="O1518" s="18">
        <v>41688</v>
      </c>
      <c r="P1518">
        <v>492</v>
      </c>
      <c r="R1518" s="18">
        <v>46059</v>
      </c>
      <c r="S1518">
        <v>7177.5</v>
      </c>
      <c r="T1518">
        <v>251800.00000000003</v>
      </c>
      <c r="U1518" s="18">
        <v>46059</v>
      </c>
    </row>
    <row r="1519" spans="15:21" x14ac:dyDescent="0.35">
      <c r="O1519" s="18">
        <v>41689</v>
      </c>
      <c r="P1519">
        <v>489.99</v>
      </c>
      <c r="R1519" s="18">
        <v>46062</v>
      </c>
      <c r="S1519">
        <v>7195.5</v>
      </c>
      <c r="T1519">
        <v>314220</v>
      </c>
      <c r="U1519" s="18">
        <v>46062</v>
      </c>
    </row>
    <row r="1520" spans="15:21" x14ac:dyDescent="0.35">
      <c r="O1520" s="18">
        <v>41690</v>
      </c>
      <c r="P1520">
        <v>490.18</v>
      </c>
      <c r="R1520" s="18">
        <v>46063</v>
      </c>
      <c r="S1520">
        <v>7296</v>
      </c>
      <c r="T1520">
        <v>467660</v>
      </c>
      <c r="U1520" s="18">
        <v>46063</v>
      </c>
    </row>
    <row r="1521" spans="15:21" x14ac:dyDescent="0.35">
      <c r="O1521" s="18">
        <v>41691</v>
      </c>
      <c r="P1521">
        <v>488.4</v>
      </c>
      <c r="R1521" s="18">
        <v>46064</v>
      </c>
      <c r="S1521">
        <v>7771</v>
      </c>
      <c r="T1521">
        <v>2290000</v>
      </c>
      <c r="U1521" s="18">
        <v>46064</v>
      </c>
    </row>
    <row r="1522" spans="15:21" x14ac:dyDescent="0.35">
      <c r="O1522" s="18">
        <v>41694</v>
      </c>
      <c r="P1522">
        <v>482.02</v>
      </c>
      <c r="R1522" s="18">
        <v>46065</v>
      </c>
      <c r="S1522">
        <v>7943</v>
      </c>
      <c r="T1522">
        <v>1110000</v>
      </c>
      <c r="U1522" s="18">
        <v>46065</v>
      </c>
    </row>
    <row r="1523" spans="15:21" x14ac:dyDescent="0.35">
      <c r="O1523" s="18">
        <v>41695</v>
      </c>
      <c r="P1523">
        <v>491.62</v>
      </c>
      <c r="R1523" s="18">
        <v>46066</v>
      </c>
      <c r="S1523">
        <v>8065</v>
      </c>
      <c r="T1523">
        <v>967940</v>
      </c>
      <c r="U1523" s="18">
        <v>46066</v>
      </c>
    </row>
    <row r="1524" spans="15:21" x14ac:dyDescent="0.35">
      <c r="O1524" s="18">
        <v>41696</v>
      </c>
      <c r="P1524">
        <v>501.26</v>
      </c>
    </row>
    <row r="1525" spans="15:21" x14ac:dyDescent="0.35">
      <c r="O1525" s="18">
        <v>41698</v>
      </c>
      <c r="P1525">
        <v>514.03</v>
      </c>
    </row>
    <row r="1526" spans="15:21" x14ac:dyDescent="0.35">
      <c r="O1526" s="18">
        <v>41701</v>
      </c>
      <c r="P1526">
        <v>518.71</v>
      </c>
    </row>
    <row r="1527" spans="15:21" x14ac:dyDescent="0.35">
      <c r="O1527" s="18">
        <v>41702</v>
      </c>
      <c r="P1527">
        <v>542.61</v>
      </c>
    </row>
    <row r="1528" spans="15:21" x14ac:dyDescent="0.35">
      <c r="O1528" s="18">
        <v>41703</v>
      </c>
      <c r="P1528">
        <v>559.91</v>
      </c>
    </row>
    <row r="1529" spans="15:21" x14ac:dyDescent="0.35">
      <c r="O1529" s="18">
        <v>41704</v>
      </c>
      <c r="P1529">
        <v>551.03</v>
      </c>
    </row>
    <row r="1530" spans="15:21" x14ac:dyDescent="0.35">
      <c r="O1530" s="18">
        <v>41705</v>
      </c>
      <c r="P1530">
        <v>543.41</v>
      </c>
    </row>
    <row r="1531" spans="15:21" x14ac:dyDescent="0.35">
      <c r="O1531" s="18">
        <v>41708</v>
      </c>
      <c r="P1531">
        <v>556</v>
      </c>
    </row>
    <row r="1532" spans="15:21" x14ac:dyDescent="0.35">
      <c r="O1532" s="18">
        <v>41709</v>
      </c>
      <c r="P1532">
        <v>550.44000000000005</v>
      </c>
    </row>
    <row r="1533" spans="15:21" x14ac:dyDescent="0.35">
      <c r="O1533" s="18">
        <v>41710</v>
      </c>
      <c r="P1533">
        <v>549.4</v>
      </c>
    </row>
    <row r="1534" spans="15:21" x14ac:dyDescent="0.35">
      <c r="O1534" s="18">
        <v>41711</v>
      </c>
      <c r="P1534">
        <v>554.75</v>
      </c>
    </row>
    <row r="1535" spans="15:21" x14ac:dyDescent="0.35">
      <c r="O1535" s="18">
        <v>41712</v>
      </c>
      <c r="P1535">
        <v>557.13</v>
      </c>
    </row>
    <row r="1536" spans="15:21" x14ac:dyDescent="0.35">
      <c r="O1536" s="18">
        <v>41716</v>
      </c>
      <c r="P1536">
        <v>556.44000000000005</v>
      </c>
    </row>
    <row r="1537" spans="15:16" x14ac:dyDescent="0.35">
      <c r="O1537" s="18">
        <v>41717</v>
      </c>
      <c r="P1537">
        <v>574.04999999999995</v>
      </c>
    </row>
    <row r="1538" spans="15:16" x14ac:dyDescent="0.35">
      <c r="O1538" s="18">
        <v>41718</v>
      </c>
      <c r="P1538">
        <v>572.64</v>
      </c>
    </row>
    <row r="1539" spans="15:16" x14ac:dyDescent="0.35">
      <c r="O1539" s="18">
        <v>41719</v>
      </c>
      <c r="P1539">
        <v>576.34</v>
      </c>
    </row>
    <row r="1540" spans="15:16" x14ac:dyDescent="0.35">
      <c r="O1540" s="18">
        <v>41720</v>
      </c>
      <c r="P1540">
        <v>571.79999999999995</v>
      </c>
    </row>
    <row r="1541" spans="15:16" x14ac:dyDescent="0.35">
      <c r="O1541" s="18">
        <v>41722</v>
      </c>
      <c r="P1541">
        <v>579.53</v>
      </c>
    </row>
    <row r="1542" spans="15:16" x14ac:dyDescent="0.35">
      <c r="O1542" s="18">
        <v>41723</v>
      </c>
      <c r="P1542">
        <v>595.15</v>
      </c>
    </row>
    <row r="1543" spans="15:16" x14ac:dyDescent="0.35">
      <c r="O1543" s="18">
        <v>41724</v>
      </c>
      <c r="P1543">
        <v>577.66999999999996</v>
      </c>
    </row>
    <row r="1544" spans="15:16" x14ac:dyDescent="0.35">
      <c r="O1544" s="18">
        <v>41725</v>
      </c>
      <c r="P1544">
        <v>591.91</v>
      </c>
    </row>
    <row r="1545" spans="15:16" x14ac:dyDescent="0.35">
      <c r="O1545" s="18">
        <v>41726</v>
      </c>
      <c r="P1545">
        <v>583.21</v>
      </c>
    </row>
    <row r="1546" spans="15:16" x14ac:dyDescent="0.35">
      <c r="O1546" s="18">
        <v>41729</v>
      </c>
      <c r="P1546">
        <v>596.15</v>
      </c>
    </row>
    <row r="1547" spans="15:16" x14ac:dyDescent="0.35">
      <c r="O1547" s="18">
        <v>41730</v>
      </c>
      <c r="P1547">
        <v>604.95000000000005</v>
      </c>
    </row>
    <row r="1548" spans="15:16" x14ac:dyDescent="0.35">
      <c r="O1548" s="18">
        <v>41731</v>
      </c>
      <c r="P1548">
        <v>613.59</v>
      </c>
    </row>
    <row r="1549" spans="15:16" x14ac:dyDescent="0.35">
      <c r="O1549" s="18">
        <v>41732</v>
      </c>
      <c r="P1549">
        <v>615.48</v>
      </c>
    </row>
    <row r="1550" spans="15:16" x14ac:dyDescent="0.35">
      <c r="O1550" s="18">
        <v>41733</v>
      </c>
      <c r="P1550">
        <v>604.98</v>
      </c>
    </row>
    <row r="1551" spans="15:16" x14ac:dyDescent="0.35">
      <c r="O1551" s="18">
        <v>41736</v>
      </c>
      <c r="P1551">
        <v>604.33000000000004</v>
      </c>
    </row>
    <row r="1552" spans="15:16" x14ac:dyDescent="0.35">
      <c r="O1552" s="18">
        <v>41738</v>
      </c>
      <c r="P1552">
        <v>621.52</v>
      </c>
    </row>
    <row r="1553" spans="15:16" x14ac:dyDescent="0.35">
      <c r="O1553" s="18">
        <v>41739</v>
      </c>
      <c r="P1553">
        <v>632.83000000000004</v>
      </c>
    </row>
    <row r="1554" spans="15:16" x14ac:dyDescent="0.35">
      <c r="O1554" s="18">
        <v>41740</v>
      </c>
      <c r="P1554">
        <v>610.54999999999995</v>
      </c>
    </row>
    <row r="1555" spans="15:16" x14ac:dyDescent="0.35">
      <c r="O1555" s="18">
        <v>41744</v>
      </c>
      <c r="P1555">
        <v>601.75</v>
      </c>
    </row>
    <row r="1556" spans="15:16" x14ac:dyDescent="0.35">
      <c r="O1556" s="18">
        <v>41745</v>
      </c>
      <c r="P1556">
        <v>600.22</v>
      </c>
    </row>
    <row r="1557" spans="15:16" x14ac:dyDescent="0.35">
      <c r="O1557" s="18">
        <v>41746</v>
      </c>
      <c r="P1557">
        <v>587.09</v>
      </c>
    </row>
    <row r="1558" spans="15:16" x14ac:dyDescent="0.35">
      <c r="O1558" s="18">
        <v>41750</v>
      </c>
      <c r="P1558">
        <v>597.42999999999995</v>
      </c>
    </row>
    <row r="1559" spans="15:16" x14ac:dyDescent="0.35">
      <c r="O1559" s="18">
        <v>41751</v>
      </c>
      <c r="P1559">
        <v>606.66</v>
      </c>
    </row>
    <row r="1560" spans="15:16" x14ac:dyDescent="0.35">
      <c r="O1560" s="18">
        <v>41752</v>
      </c>
      <c r="P1560">
        <v>628.59</v>
      </c>
    </row>
    <row r="1561" spans="15:16" x14ac:dyDescent="0.35">
      <c r="O1561" s="18">
        <v>41754</v>
      </c>
      <c r="P1561">
        <v>610.78</v>
      </c>
    </row>
    <row r="1562" spans="15:16" x14ac:dyDescent="0.35">
      <c r="O1562" s="18">
        <v>41757</v>
      </c>
      <c r="P1562">
        <v>612.73</v>
      </c>
    </row>
    <row r="1563" spans="15:16" x14ac:dyDescent="0.35">
      <c r="O1563" s="18">
        <v>41758</v>
      </c>
      <c r="P1563">
        <v>610.01</v>
      </c>
    </row>
    <row r="1564" spans="15:16" x14ac:dyDescent="0.35">
      <c r="O1564" s="18">
        <v>41759</v>
      </c>
      <c r="P1564">
        <v>620.12</v>
      </c>
    </row>
    <row r="1565" spans="15:16" x14ac:dyDescent="0.35">
      <c r="O1565" s="18">
        <v>41761</v>
      </c>
      <c r="P1565">
        <v>624.84</v>
      </c>
    </row>
    <row r="1566" spans="15:16" x14ac:dyDescent="0.35">
      <c r="O1566" s="18">
        <v>41764</v>
      </c>
      <c r="P1566">
        <v>643.25</v>
      </c>
    </row>
    <row r="1567" spans="15:16" x14ac:dyDescent="0.35">
      <c r="O1567" s="18">
        <v>41765</v>
      </c>
      <c r="P1567">
        <v>639.66999999999996</v>
      </c>
    </row>
    <row r="1568" spans="15:16" x14ac:dyDescent="0.35">
      <c r="O1568" s="18">
        <v>41766</v>
      </c>
      <c r="P1568">
        <v>647.66999999999996</v>
      </c>
    </row>
    <row r="1569" spans="15:16" x14ac:dyDescent="0.35">
      <c r="O1569" s="18">
        <v>41767</v>
      </c>
      <c r="P1569">
        <v>649.1</v>
      </c>
    </row>
    <row r="1570" spans="15:16" x14ac:dyDescent="0.35">
      <c r="O1570" s="18">
        <v>41768</v>
      </c>
      <c r="P1570">
        <v>647.86</v>
      </c>
    </row>
    <row r="1571" spans="15:16" x14ac:dyDescent="0.35">
      <c r="O1571" s="18">
        <v>41771</v>
      </c>
      <c r="P1571">
        <v>646.1</v>
      </c>
    </row>
    <row r="1572" spans="15:16" x14ac:dyDescent="0.35">
      <c r="O1572" s="18">
        <v>41772</v>
      </c>
      <c r="P1572">
        <v>649.23</v>
      </c>
    </row>
    <row r="1573" spans="15:16" x14ac:dyDescent="0.35">
      <c r="O1573" s="18">
        <v>41773</v>
      </c>
      <c r="P1573">
        <v>648.82000000000005</v>
      </c>
    </row>
    <row r="1574" spans="15:16" x14ac:dyDescent="0.35">
      <c r="O1574" s="18">
        <v>41774</v>
      </c>
      <c r="P1574">
        <v>635.16</v>
      </c>
    </row>
    <row r="1575" spans="15:16" x14ac:dyDescent="0.35">
      <c r="O1575" s="18">
        <v>41775</v>
      </c>
      <c r="P1575">
        <v>634.66999999999996</v>
      </c>
    </row>
    <row r="1576" spans="15:16" x14ac:dyDescent="0.35">
      <c r="O1576" s="18">
        <v>41778</v>
      </c>
      <c r="P1576">
        <v>635.71</v>
      </c>
    </row>
    <row r="1577" spans="15:16" x14ac:dyDescent="0.35">
      <c r="O1577" s="18">
        <v>41779</v>
      </c>
      <c r="P1577">
        <v>670.49</v>
      </c>
    </row>
    <row r="1578" spans="15:16" x14ac:dyDescent="0.35">
      <c r="O1578" s="18">
        <v>41780</v>
      </c>
      <c r="P1578">
        <v>726.62</v>
      </c>
    </row>
    <row r="1579" spans="15:16" x14ac:dyDescent="0.35">
      <c r="O1579" s="18">
        <v>41781</v>
      </c>
      <c r="P1579">
        <v>729.18</v>
      </c>
    </row>
    <row r="1580" spans="15:16" x14ac:dyDescent="0.35">
      <c r="O1580" s="18">
        <v>41782</v>
      </c>
      <c r="P1580">
        <v>744.28</v>
      </c>
    </row>
    <row r="1581" spans="15:16" x14ac:dyDescent="0.35">
      <c r="O1581" s="18">
        <v>41785</v>
      </c>
      <c r="P1581">
        <v>715.34</v>
      </c>
    </row>
    <row r="1582" spans="15:16" x14ac:dyDescent="0.35">
      <c r="O1582" s="18">
        <v>41786</v>
      </c>
      <c r="P1582">
        <v>708.77</v>
      </c>
    </row>
    <row r="1583" spans="15:16" x14ac:dyDescent="0.35">
      <c r="O1583" s="18">
        <v>41787</v>
      </c>
      <c r="P1583">
        <v>693.95</v>
      </c>
    </row>
    <row r="1584" spans="15:16" x14ac:dyDescent="0.35">
      <c r="O1584" s="18">
        <v>41788</v>
      </c>
      <c r="P1584">
        <v>690.23</v>
      </c>
    </row>
    <row r="1585" spans="15:16" x14ac:dyDescent="0.35">
      <c r="O1585" s="18">
        <v>41789</v>
      </c>
      <c r="P1585">
        <v>667.54</v>
      </c>
    </row>
    <row r="1586" spans="15:16" x14ac:dyDescent="0.35">
      <c r="O1586" s="18">
        <v>41792</v>
      </c>
      <c r="P1586">
        <v>688.18</v>
      </c>
    </row>
    <row r="1587" spans="15:16" x14ac:dyDescent="0.35">
      <c r="O1587" s="18">
        <v>41793</v>
      </c>
      <c r="P1587">
        <v>722.96</v>
      </c>
    </row>
    <row r="1588" spans="15:16" x14ac:dyDescent="0.35">
      <c r="O1588" s="18">
        <v>41794</v>
      </c>
      <c r="P1588">
        <v>719.24</v>
      </c>
    </row>
    <row r="1589" spans="15:16" x14ac:dyDescent="0.35">
      <c r="O1589" s="18">
        <v>41795</v>
      </c>
      <c r="P1589">
        <v>714.22</v>
      </c>
    </row>
    <row r="1590" spans="15:16" x14ac:dyDescent="0.35">
      <c r="O1590" s="18">
        <v>41796</v>
      </c>
      <c r="P1590">
        <v>719.28</v>
      </c>
    </row>
    <row r="1591" spans="15:16" x14ac:dyDescent="0.35">
      <c r="O1591" s="18">
        <v>41799</v>
      </c>
      <c r="P1591">
        <v>729.11</v>
      </c>
    </row>
    <row r="1592" spans="15:16" x14ac:dyDescent="0.35">
      <c r="O1592" s="18">
        <v>41800</v>
      </c>
      <c r="P1592">
        <v>719.06</v>
      </c>
    </row>
    <row r="1593" spans="15:16" x14ac:dyDescent="0.35">
      <c r="O1593" s="18">
        <v>41801</v>
      </c>
      <c r="P1593">
        <v>718.38</v>
      </c>
    </row>
    <row r="1594" spans="15:16" x14ac:dyDescent="0.35">
      <c r="O1594" s="18">
        <v>41802</v>
      </c>
      <c r="P1594">
        <v>728.79</v>
      </c>
    </row>
    <row r="1595" spans="15:16" x14ac:dyDescent="0.35">
      <c r="O1595" s="18">
        <v>41803</v>
      </c>
      <c r="P1595">
        <v>733.93</v>
      </c>
    </row>
    <row r="1596" spans="15:16" x14ac:dyDescent="0.35">
      <c r="O1596" s="18">
        <v>41806</v>
      </c>
      <c r="P1596">
        <v>725.12</v>
      </c>
    </row>
    <row r="1597" spans="15:16" x14ac:dyDescent="0.35">
      <c r="O1597" s="18">
        <v>41807</v>
      </c>
      <c r="P1597">
        <v>727.41</v>
      </c>
    </row>
    <row r="1598" spans="15:16" x14ac:dyDescent="0.35">
      <c r="O1598" s="18">
        <v>41808</v>
      </c>
      <c r="P1598">
        <v>724.01</v>
      </c>
    </row>
    <row r="1599" spans="15:16" x14ac:dyDescent="0.35">
      <c r="O1599" s="18">
        <v>41809</v>
      </c>
      <c r="P1599">
        <v>720.42</v>
      </c>
    </row>
    <row r="1600" spans="15:16" x14ac:dyDescent="0.35">
      <c r="O1600" s="18">
        <v>41810</v>
      </c>
      <c r="P1600">
        <v>721.58</v>
      </c>
    </row>
    <row r="1601" spans="15:16" x14ac:dyDescent="0.35">
      <c r="O1601" s="18">
        <v>41813</v>
      </c>
      <c r="P1601">
        <v>713.93</v>
      </c>
    </row>
    <row r="1602" spans="15:16" x14ac:dyDescent="0.35">
      <c r="O1602" s="18">
        <v>41814</v>
      </c>
      <c r="P1602">
        <v>721.87</v>
      </c>
    </row>
    <row r="1603" spans="15:16" x14ac:dyDescent="0.35">
      <c r="O1603" s="18">
        <v>41815</v>
      </c>
      <c r="P1603">
        <v>721.84</v>
      </c>
    </row>
    <row r="1604" spans="15:16" x14ac:dyDescent="0.35">
      <c r="O1604" s="18">
        <v>41816</v>
      </c>
      <c r="P1604">
        <v>739.99</v>
      </c>
    </row>
    <row r="1605" spans="15:16" x14ac:dyDescent="0.35">
      <c r="O1605" s="18">
        <v>41817</v>
      </c>
      <c r="P1605">
        <v>772.89</v>
      </c>
    </row>
    <row r="1606" spans="15:16" x14ac:dyDescent="0.35">
      <c r="O1606" s="18">
        <v>41820</v>
      </c>
      <c r="P1606">
        <v>799.46</v>
      </c>
    </row>
    <row r="1607" spans="15:16" x14ac:dyDescent="0.35">
      <c r="O1607" s="18">
        <v>41821</v>
      </c>
      <c r="P1607">
        <v>804.94</v>
      </c>
    </row>
    <row r="1608" spans="15:16" x14ac:dyDescent="0.35">
      <c r="O1608" s="18">
        <v>41822</v>
      </c>
      <c r="P1608">
        <v>817.69</v>
      </c>
    </row>
    <row r="1609" spans="15:16" x14ac:dyDescent="0.35">
      <c r="O1609" s="18">
        <v>41823</v>
      </c>
      <c r="P1609">
        <v>858.28</v>
      </c>
    </row>
    <row r="1610" spans="15:16" x14ac:dyDescent="0.35">
      <c r="O1610" s="18">
        <v>41824</v>
      </c>
      <c r="P1610">
        <v>863.78</v>
      </c>
    </row>
    <row r="1611" spans="15:16" x14ac:dyDescent="0.35">
      <c r="O1611" s="18">
        <v>41827</v>
      </c>
      <c r="P1611">
        <v>843.39</v>
      </c>
    </row>
    <row r="1612" spans="15:16" x14ac:dyDescent="0.35">
      <c r="O1612" s="18">
        <v>41828</v>
      </c>
      <c r="P1612">
        <v>833.89</v>
      </c>
    </row>
    <row r="1613" spans="15:16" x14ac:dyDescent="0.35">
      <c r="O1613" s="18">
        <v>41829</v>
      </c>
      <c r="P1613">
        <v>818.9</v>
      </c>
    </row>
    <row r="1614" spans="15:16" x14ac:dyDescent="0.35">
      <c r="O1614" s="18">
        <v>41830</v>
      </c>
      <c r="P1614">
        <v>812.39</v>
      </c>
    </row>
    <row r="1615" spans="15:16" x14ac:dyDescent="0.35">
      <c r="O1615" s="18">
        <v>41831</v>
      </c>
      <c r="P1615">
        <v>826.09</v>
      </c>
    </row>
    <row r="1616" spans="15:16" x14ac:dyDescent="0.35">
      <c r="O1616" s="18">
        <v>41834</v>
      </c>
      <c r="P1616">
        <v>826.03</v>
      </c>
    </row>
    <row r="1617" spans="15:16" x14ac:dyDescent="0.35">
      <c r="O1617" s="18">
        <v>41835</v>
      </c>
      <c r="P1617">
        <v>852.85</v>
      </c>
    </row>
    <row r="1618" spans="15:16" x14ac:dyDescent="0.35">
      <c r="O1618" s="18">
        <v>41836</v>
      </c>
      <c r="P1618">
        <v>855.78</v>
      </c>
    </row>
    <row r="1619" spans="15:16" x14ac:dyDescent="0.35">
      <c r="O1619" s="18">
        <v>41837</v>
      </c>
      <c r="P1619">
        <v>869.3</v>
      </c>
    </row>
    <row r="1620" spans="15:16" x14ac:dyDescent="0.35">
      <c r="O1620" s="18">
        <v>41838</v>
      </c>
      <c r="P1620">
        <v>856.5</v>
      </c>
    </row>
    <row r="1621" spans="15:16" x14ac:dyDescent="0.35">
      <c r="O1621" s="18">
        <v>41841</v>
      </c>
      <c r="P1621">
        <v>855.62</v>
      </c>
    </row>
    <row r="1622" spans="15:16" x14ac:dyDescent="0.35">
      <c r="O1622" s="18">
        <v>41842</v>
      </c>
      <c r="P1622">
        <v>853.63</v>
      </c>
    </row>
    <row r="1623" spans="15:16" x14ac:dyDescent="0.35">
      <c r="O1623" s="18">
        <v>41843</v>
      </c>
      <c r="P1623">
        <v>854.55</v>
      </c>
    </row>
    <row r="1624" spans="15:16" x14ac:dyDescent="0.35">
      <c r="O1624" s="18">
        <v>41844</v>
      </c>
      <c r="P1624">
        <v>848.78</v>
      </c>
    </row>
    <row r="1625" spans="15:16" x14ac:dyDescent="0.35">
      <c r="O1625" s="18">
        <v>41845</v>
      </c>
      <c r="P1625">
        <v>858.66</v>
      </c>
    </row>
    <row r="1626" spans="15:16" x14ac:dyDescent="0.35">
      <c r="O1626" s="18">
        <v>41848</v>
      </c>
      <c r="P1626">
        <v>864.2</v>
      </c>
    </row>
    <row r="1627" spans="15:16" x14ac:dyDescent="0.35">
      <c r="O1627" s="18">
        <v>41850</v>
      </c>
      <c r="P1627">
        <v>851.88</v>
      </c>
    </row>
    <row r="1628" spans="15:16" x14ac:dyDescent="0.35">
      <c r="O1628" s="18">
        <v>41851</v>
      </c>
      <c r="P1628">
        <v>849.89</v>
      </c>
    </row>
    <row r="1629" spans="15:16" x14ac:dyDescent="0.35">
      <c r="O1629" s="18">
        <v>41852</v>
      </c>
      <c r="P1629">
        <v>840.8</v>
      </c>
    </row>
    <row r="1630" spans="15:16" x14ac:dyDescent="0.35">
      <c r="O1630" s="18">
        <v>41855</v>
      </c>
      <c r="P1630">
        <v>842.65</v>
      </c>
    </row>
    <row r="1631" spans="15:16" x14ac:dyDescent="0.35">
      <c r="O1631" s="18">
        <v>41856</v>
      </c>
      <c r="P1631">
        <v>844.78</v>
      </c>
    </row>
    <row r="1632" spans="15:16" x14ac:dyDescent="0.35">
      <c r="O1632" s="18">
        <v>41857</v>
      </c>
      <c r="P1632">
        <v>847.2</v>
      </c>
    </row>
    <row r="1633" spans="15:16" x14ac:dyDescent="0.35">
      <c r="O1633" s="18">
        <v>41858</v>
      </c>
      <c r="P1633">
        <v>851.09</v>
      </c>
    </row>
    <row r="1634" spans="15:16" x14ac:dyDescent="0.35">
      <c r="O1634" s="18">
        <v>41859</v>
      </c>
      <c r="P1634">
        <v>847.75</v>
      </c>
    </row>
    <row r="1635" spans="15:16" x14ac:dyDescent="0.35">
      <c r="O1635" s="18">
        <v>41862</v>
      </c>
      <c r="P1635">
        <v>858.78</v>
      </c>
    </row>
    <row r="1636" spans="15:16" x14ac:dyDescent="0.35">
      <c r="O1636" s="18">
        <v>41863</v>
      </c>
      <c r="P1636">
        <v>929.16</v>
      </c>
    </row>
    <row r="1637" spans="15:16" x14ac:dyDescent="0.35">
      <c r="O1637" s="18">
        <v>41864</v>
      </c>
      <c r="P1637">
        <v>1035.92</v>
      </c>
    </row>
    <row r="1638" spans="15:16" x14ac:dyDescent="0.35">
      <c r="O1638" s="18">
        <v>41865</v>
      </c>
      <c r="P1638">
        <v>1002.49</v>
      </c>
    </row>
    <row r="1639" spans="15:16" x14ac:dyDescent="0.35">
      <c r="O1639" s="18">
        <v>41869</v>
      </c>
      <c r="P1639">
        <v>998.72</v>
      </c>
    </row>
    <row r="1640" spans="15:16" x14ac:dyDescent="0.35">
      <c r="O1640" s="18">
        <v>41870</v>
      </c>
      <c r="P1640">
        <v>998.98</v>
      </c>
    </row>
    <row r="1641" spans="15:16" x14ac:dyDescent="0.35">
      <c r="O1641" s="18">
        <v>41871</v>
      </c>
      <c r="P1641">
        <v>999.11</v>
      </c>
    </row>
    <row r="1642" spans="15:16" x14ac:dyDescent="0.35">
      <c r="O1642" s="18">
        <v>41872</v>
      </c>
      <c r="P1642">
        <v>999.22</v>
      </c>
    </row>
    <row r="1643" spans="15:16" x14ac:dyDescent="0.35">
      <c r="O1643" s="18">
        <v>41873</v>
      </c>
      <c r="P1643">
        <v>1001.4</v>
      </c>
    </row>
    <row r="1644" spans="15:16" x14ac:dyDescent="0.35">
      <c r="O1644" s="18">
        <v>41876</v>
      </c>
      <c r="P1644">
        <v>990.5</v>
      </c>
    </row>
    <row r="1645" spans="15:16" x14ac:dyDescent="0.35">
      <c r="O1645" s="18">
        <v>41877</v>
      </c>
      <c r="P1645">
        <v>984.38</v>
      </c>
    </row>
    <row r="1646" spans="15:16" x14ac:dyDescent="0.35">
      <c r="O1646" s="18">
        <v>41878</v>
      </c>
      <c r="P1646">
        <v>981.09</v>
      </c>
    </row>
    <row r="1647" spans="15:16" x14ac:dyDescent="0.35">
      <c r="O1647" s="18">
        <v>41879</v>
      </c>
      <c r="P1647">
        <v>975.6</v>
      </c>
    </row>
    <row r="1648" spans="15:16" x14ac:dyDescent="0.35">
      <c r="O1648" s="18">
        <v>41883</v>
      </c>
      <c r="P1648">
        <v>1005.18</v>
      </c>
    </row>
    <row r="1649" spans="15:16" x14ac:dyDescent="0.35">
      <c r="O1649" s="18">
        <v>41884</v>
      </c>
      <c r="P1649">
        <v>1022.48</v>
      </c>
    </row>
    <row r="1650" spans="15:16" x14ac:dyDescent="0.35">
      <c r="O1650" s="18">
        <v>41885</v>
      </c>
      <c r="P1650">
        <v>1110.19</v>
      </c>
    </row>
    <row r="1651" spans="15:16" x14ac:dyDescent="0.35">
      <c r="O1651" s="18">
        <v>41886</v>
      </c>
      <c r="P1651">
        <v>1093.81</v>
      </c>
    </row>
    <row r="1652" spans="15:16" x14ac:dyDescent="0.35">
      <c r="O1652" s="18">
        <v>41887</v>
      </c>
      <c r="P1652">
        <v>1082.9000000000001</v>
      </c>
    </row>
    <row r="1653" spans="15:16" x14ac:dyDescent="0.35">
      <c r="O1653" s="18">
        <v>41890</v>
      </c>
      <c r="P1653">
        <v>1096.3800000000001</v>
      </c>
    </row>
    <row r="1654" spans="15:16" x14ac:dyDescent="0.35">
      <c r="O1654" s="18">
        <v>41891</v>
      </c>
      <c r="P1654">
        <v>1095.94</v>
      </c>
    </row>
    <row r="1655" spans="15:16" x14ac:dyDescent="0.35">
      <c r="O1655" s="18">
        <v>41892</v>
      </c>
      <c r="P1655">
        <v>1104.05</v>
      </c>
    </row>
    <row r="1656" spans="15:16" x14ac:dyDescent="0.35">
      <c r="O1656" s="18">
        <v>41893</v>
      </c>
      <c r="P1656">
        <v>1162.3800000000001</v>
      </c>
    </row>
    <row r="1657" spans="15:16" x14ac:dyDescent="0.35">
      <c r="O1657" s="18">
        <v>41894</v>
      </c>
      <c r="P1657">
        <v>1202.3800000000001</v>
      </c>
    </row>
    <row r="1658" spans="15:16" x14ac:dyDescent="0.35">
      <c r="O1658" s="18">
        <v>41897</v>
      </c>
      <c r="P1658">
        <v>1220.51</v>
      </c>
    </row>
    <row r="1659" spans="15:16" x14ac:dyDescent="0.35">
      <c r="O1659" s="18">
        <v>41898</v>
      </c>
      <c r="P1659">
        <v>1148.47</v>
      </c>
    </row>
    <row r="1660" spans="15:16" x14ac:dyDescent="0.35">
      <c r="O1660" s="18">
        <v>41899</v>
      </c>
      <c r="P1660">
        <v>1140.55</v>
      </c>
    </row>
    <row r="1661" spans="15:16" x14ac:dyDescent="0.35">
      <c r="O1661" s="18">
        <v>41900</v>
      </c>
      <c r="P1661">
        <v>1164.2</v>
      </c>
    </row>
    <row r="1662" spans="15:16" x14ac:dyDescent="0.35">
      <c r="O1662" s="18">
        <v>41901</v>
      </c>
      <c r="P1662">
        <v>1163.48</v>
      </c>
    </row>
    <row r="1663" spans="15:16" x14ac:dyDescent="0.35">
      <c r="O1663" s="18">
        <v>41904</v>
      </c>
      <c r="P1663">
        <v>1175.44</v>
      </c>
    </row>
    <row r="1664" spans="15:16" x14ac:dyDescent="0.35">
      <c r="O1664" s="18">
        <v>41905</v>
      </c>
      <c r="P1664">
        <v>1163.92</v>
      </c>
    </row>
    <row r="1665" spans="15:16" x14ac:dyDescent="0.35">
      <c r="O1665" s="18">
        <v>41906</v>
      </c>
      <c r="P1665">
        <v>1157.07</v>
      </c>
    </row>
    <row r="1666" spans="15:16" x14ac:dyDescent="0.35">
      <c r="O1666" s="18">
        <v>41907</v>
      </c>
      <c r="P1666">
        <v>1136.42</v>
      </c>
    </row>
    <row r="1667" spans="15:16" x14ac:dyDescent="0.35">
      <c r="O1667" s="18">
        <v>41908</v>
      </c>
      <c r="P1667">
        <v>1135.67</v>
      </c>
    </row>
    <row r="1668" spans="15:16" x14ac:dyDescent="0.35">
      <c r="O1668" s="18">
        <v>41911</v>
      </c>
      <c r="P1668">
        <v>1128.08</v>
      </c>
    </row>
    <row r="1669" spans="15:16" x14ac:dyDescent="0.35">
      <c r="O1669" s="18">
        <v>41912</v>
      </c>
      <c r="P1669">
        <v>1197.2</v>
      </c>
    </row>
    <row r="1670" spans="15:16" x14ac:dyDescent="0.35">
      <c r="O1670" s="18">
        <v>41913</v>
      </c>
      <c r="P1670">
        <v>1180.1600000000001</v>
      </c>
    </row>
    <row r="1671" spans="15:16" x14ac:dyDescent="0.35">
      <c r="O1671" s="18">
        <v>41919</v>
      </c>
      <c r="P1671">
        <v>1170.72</v>
      </c>
    </row>
    <row r="1672" spans="15:16" x14ac:dyDescent="0.35">
      <c r="O1672" s="18">
        <v>41920</v>
      </c>
      <c r="P1672">
        <v>1170.7</v>
      </c>
    </row>
    <row r="1673" spans="15:16" x14ac:dyDescent="0.35">
      <c r="O1673" s="18">
        <v>41921</v>
      </c>
      <c r="P1673">
        <v>1160.96</v>
      </c>
    </row>
    <row r="1674" spans="15:16" x14ac:dyDescent="0.35">
      <c r="O1674" s="18">
        <v>41922</v>
      </c>
      <c r="P1674">
        <v>1127.04</v>
      </c>
    </row>
    <row r="1675" spans="15:16" x14ac:dyDescent="0.35">
      <c r="O1675" s="18">
        <v>41925</v>
      </c>
      <c r="P1675">
        <v>1126.98</v>
      </c>
    </row>
    <row r="1676" spans="15:16" x14ac:dyDescent="0.35">
      <c r="O1676" s="18">
        <v>41926</v>
      </c>
      <c r="P1676">
        <v>1121.1600000000001</v>
      </c>
    </row>
    <row r="1677" spans="15:16" x14ac:dyDescent="0.35">
      <c r="O1677" s="18">
        <v>41928</v>
      </c>
      <c r="P1677">
        <v>1103.32</v>
      </c>
    </row>
    <row r="1678" spans="15:16" x14ac:dyDescent="0.35">
      <c r="O1678" s="18">
        <v>41929</v>
      </c>
      <c r="P1678">
        <v>1133.43</v>
      </c>
    </row>
    <row r="1679" spans="15:16" x14ac:dyDescent="0.35">
      <c r="O1679" s="18">
        <v>41932</v>
      </c>
      <c r="P1679">
        <v>1163.6400000000001</v>
      </c>
    </row>
    <row r="1680" spans="15:16" x14ac:dyDescent="0.35">
      <c r="O1680" s="18">
        <v>41933</v>
      </c>
      <c r="P1680">
        <v>1167.8499999999999</v>
      </c>
    </row>
    <row r="1681" spans="15:16" x14ac:dyDescent="0.35">
      <c r="O1681" s="18">
        <v>41934</v>
      </c>
      <c r="P1681">
        <v>1188.3499999999999</v>
      </c>
    </row>
    <row r="1682" spans="15:16" x14ac:dyDescent="0.35">
      <c r="O1682" s="18">
        <v>41935</v>
      </c>
      <c r="P1682">
        <v>1189.06</v>
      </c>
    </row>
    <row r="1683" spans="15:16" x14ac:dyDescent="0.35">
      <c r="O1683" s="18">
        <v>41939</v>
      </c>
      <c r="P1683">
        <v>1226.24</v>
      </c>
    </row>
    <row r="1684" spans="15:16" x14ac:dyDescent="0.35">
      <c r="O1684" s="18">
        <v>41940</v>
      </c>
      <c r="P1684">
        <v>1239.67</v>
      </c>
    </row>
    <row r="1685" spans="15:16" x14ac:dyDescent="0.35">
      <c r="O1685" s="18">
        <v>41941</v>
      </c>
      <c r="P1685">
        <v>1259.6300000000001</v>
      </c>
    </row>
    <row r="1686" spans="15:16" x14ac:dyDescent="0.35">
      <c r="O1686" s="18">
        <v>41942</v>
      </c>
      <c r="P1686">
        <v>1253.22</v>
      </c>
    </row>
    <row r="1687" spans="15:16" x14ac:dyDescent="0.35">
      <c r="O1687" s="18">
        <v>41943</v>
      </c>
      <c r="P1687">
        <v>1277.28</v>
      </c>
    </row>
    <row r="1688" spans="15:16" x14ac:dyDescent="0.35">
      <c r="O1688" s="18">
        <v>41946</v>
      </c>
      <c r="P1688">
        <v>1273.96</v>
      </c>
    </row>
    <row r="1689" spans="15:16" x14ac:dyDescent="0.35">
      <c r="O1689" s="18">
        <v>41948</v>
      </c>
      <c r="P1689">
        <v>1287.52</v>
      </c>
    </row>
    <row r="1690" spans="15:16" x14ac:dyDescent="0.35">
      <c r="O1690" s="18">
        <v>41950</v>
      </c>
      <c r="P1690">
        <v>1267.5899999999999</v>
      </c>
    </row>
    <row r="1691" spans="15:16" x14ac:dyDescent="0.35">
      <c r="O1691" s="18">
        <v>41953</v>
      </c>
      <c r="P1691">
        <v>1272.97</v>
      </c>
    </row>
    <row r="1692" spans="15:16" x14ac:dyDescent="0.35">
      <c r="O1692" s="18">
        <v>41954</v>
      </c>
      <c r="P1692">
        <v>1299.3699999999999</v>
      </c>
    </row>
    <row r="1693" spans="15:16" x14ac:dyDescent="0.35">
      <c r="O1693" s="18">
        <v>41955</v>
      </c>
      <c r="P1693">
        <v>1315.16</v>
      </c>
    </row>
    <row r="1694" spans="15:16" x14ac:dyDescent="0.35">
      <c r="O1694" s="18">
        <v>41956</v>
      </c>
      <c r="P1694">
        <v>1319.18</v>
      </c>
    </row>
    <row r="1695" spans="15:16" x14ac:dyDescent="0.35">
      <c r="O1695" s="18">
        <v>41957</v>
      </c>
      <c r="P1695">
        <v>1399.29</v>
      </c>
    </row>
    <row r="1696" spans="15:16" x14ac:dyDescent="0.35">
      <c r="O1696" s="18">
        <v>41960</v>
      </c>
      <c r="P1696">
        <v>1384.55</v>
      </c>
    </row>
    <row r="1697" spans="15:16" x14ac:dyDescent="0.35">
      <c r="O1697" s="18">
        <v>41961</v>
      </c>
      <c r="P1697">
        <v>1407.31</v>
      </c>
    </row>
    <row r="1698" spans="15:16" x14ac:dyDescent="0.35">
      <c r="O1698" s="18">
        <v>41962</v>
      </c>
      <c r="P1698">
        <v>1474.53</v>
      </c>
    </row>
    <row r="1699" spans="15:16" x14ac:dyDescent="0.35">
      <c r="O1699" s="18">
        <v>41963</v>
      </c>
      <c r="P1699">
        <v>1464.82</v>
      </c>
    </row>
    <row r="1700" spans="15:16" x14ac:dyDescent="0.35">
      <c r="O1700" s="18">
        <v>41964</v>
      </c>
      <c r="P1700">
        <v>1451.28</v>
      </c>
    </row>
    <row r="1701" spans="15:16" x14ac:dyDescent="0.35">
      <c r="O1701" s="18">
        <v>41967</v>
      </c>
      <c r="P1701">
        <v>1462.13</v>
      </c>
    </row>
    <row r="1702" spans="15:16" x14ac:dyDescent="0.35">
      <c r="O1702" s="18">
        <v>41968</v>
      </c>
      <c r="P1702">
        <v>1427.73</v>
      </c>
    </row>
    <row r="1703" spans="15:16" x14ac:dyDescent="0.35">
      <c r="O1703" s="18">
        <v>41969</v>
      </c>
      <c r="P1703">
        <v>1426.78</v>
      </c>
    </row>
    <row r="1704" spans="15:16" x14ac:dyDescent="0.35">
      <c r="O1704" s="18">
        <v>41970</v>
      </c>
      <c r="P1704">
        <v>1433.87</v>
      </c>
    </row>
    <row r="1705" spans="15:16" x14ac:dyDescent="0.35">
      <c r="O1705" s="18">
        <v>41971</v>
      </c>
      <c r="P1705">
        <v>1451.87</v>
      </c>
    </row>
    <row r="1706" spans="15:16" x14ac:dyDescent="0.35">
      <c r="O1706" s="18">
        <v>41974</v>
      </c>
      <c r="P1706">
        <v>1452.09</v>
      </c>
    </row>
    <row r="1707" spans="15:16" x14ac:dyDescent="0.35">
      <c r="O1707" s="18">
        <v>41975</v>
      </c>
      <c r="P1707">
        <v>1435.9</v>
      </c>
    </row>
    <row r="1708" spans="15:16" x14ac:dyDescent="0.35">
      <c r="O1708" s="18">
        <v>41976</v>
      </c>
      <c r="P1708">
        <v>1523.56</v>
      </c>
    </row>
    <row r="1709" spans="15:16" x14ac:dyDescent="0.35">
      <c r="O1709" s="18">
        <v>41977</v>
      </c>
      <c r="P1709">
        <v>1543.2</v>
      </c>
    </row>
    <row r="1710" spans="15:16" x14ac:dyDescent="0.35">
      <c r="O1710" s="18">
        <v>41978</v>
      </c>
      <c r="P1710">
        <v>1521.35</v>
      </c>
    </row>
    <row r="1711" spans="15:16" x14ac:dyDescent="0.35">
      <c r="O1711" s="18">
        <v>41981</v>
      </c>
      <c r="P1711">
        <v>1495.23</v>
      </c>
    </row>
    <row r="1712" spans="15:16" x14ac:dyDescent="0.35">
      <c r="O1712" s="18">
        <v>41982</v>
      </c>
      <c r="P1712">
        <v>1435.37</v>
      </c>
    </row>
    <row r="1713" spans="15:16" x14ac:dyDescent="0.35">
      <c r="O1713" s="18">
        <v>41983</v>
      </c>
      <c r="P1713">
        <v>1437.79</v>
      </c>
    </row>
    <row r="1714" spans="15:16" x14ac:dyDescent="0.35">
      <c r="O1714" s="18">
        <v>41984</v>
      </c>
      <c r="P1714">
        <v>1406.18</v>
      </c>
    </row>
    <row r="1715" spans="15:16" x14ac:dyDescent="0.35">
      <c r="O1715" s="18">
        <v>41985</v>
      </c>
      <c r="P1715">
        <v>1403.68</v>
      </c>
    </row>
    <row r="1716" spans="15:16" x14ac:dyDescent="0.35">
      <c r="O1716" s="18">
        <v>41988</v>
      </c>
      <c r="P1716">
        <v>1421.12</v>
      </c>
    </row>
    <row r="1717" spans="15:16" x14ac:dyDescent="0.35">
      <c r="O1717" s="18">
        <v>41989</v>
      </c>
      <c r="P1717">
        <v>1406.38</v>
      </c>
    </row>
    <row r="1718" spans="15:16" x14ac:dyDescent="0.35">
      <c r="O1718" s="18">
        <v>41990</v>
      </c>
      <c r="P1718">
        <v>1387.17</v>
      </c>
    </row>
    <row r="1719" spans="15:16" x14ac:dyDescent="0.35">
      <c r="O1719" s="18">
        <v>41991</v>
      </c>
      <c r="P1719">
        <v>1442.79</v>
      </c>
    </row>
    <row r="1720" spans="15:16" x14ac:dyDescent="0.35">
      <c r="O1720" s="18">
        <v>41992</v>
      </c>
      <c r="P1720">
        <v>1462.11</v>
      </c>
    </row>
    <row r="1721" spans="15:16" x14ac:dyDescent="0.35">
      <c r="O1721" s="18">
        <v>41995</v>
      </c>
      <c r="P1721">
        <v>1473.72</v>
      </c>
    </row>
    <row r="1722" spans="15:16" x14ac:dyDescent="0.35">
      <c r="O1722" s="18">
        <v>41996</v>
      </c>
      <c r="P1722">
        <v>1481.82</v>
      </c>
    </row>
    <row r="1723" spans="15:16" x14ac:dyDescent="0.35">
      <c r="O1723" s="18">
        <v>41997</v>
      </c>
      <c r="P1723">
        <v>1482.55</v>
      </c>
    </row>
    <row r="1724" spans="15:16" x14ac:dyDescent="0.35">
      <c r="O1724" s="18">
        <v>41999</v>
      </c>
      <c r="P1724">
        <v>1512.43</v>
      </c>
    </row>
    <row r="1725" spans="15:16" x14ac:dyDescent="0.35">
      <c r="O1725" s="18">
        <v>42002</v>
      </c>
      <c r="P1725">
        <v>1537.29</v>
      </c>
    </row>
    <row r="1726" spans="15:16" x14ac:dyDescent="0.35">
      <c r="O1726" s="18">
        <v>42003</v>
      </c>
      <c r="P1726">
        <v>1535.29</v>
      </c>
    </row>
    <row r="1727" spans="15:16" x14ac:dyDescent="0.35">
      <c r="O1727" s="18">
        <v>42004</v>
      </c>
      <c r="P1727">
        <v>1507.5</v>
      </c>
    </row>
    <row r="1728" spans="15:16" x14ac:dyDescent="0.35">
      <c r="O1728" s="18">
        <v>42005</v>
      </c>
      <c r="P1728">
        <v>1526.23</v>
      </c>
    </row>
    <row r="1729" spans="15:16" x14ac:dyDescent="0.35">
      <c r="O1729" s="18">
        <v>42006</v>
      </c>
      <c r="P1729">
        <v>1508.19</v>
      </c>
    </row>
    <row r="1730" spans="15:16" x14ac:dyDescent="0.35">
      <c r="O1730" s="18">
        <v>42009</v>
      </c>
      <c r="P1730">
        <v>1515.06</v>
      </c>
    </row>
    <row r="1731" spans="15:16" x14ac:dyDescent="0.35">
      <c r="O1731" s="18">
        <v>42010</v>
      </c>
      <c r="P1731">
        <v>1475.59</v>
      </c>
    </row>
    <row r="1732" spans="15:16" x14ac:dyDescent="0.35">
      <c r="O1732" s="18">
        <v>42011</v>
      </c>
      <c r="P1732">
        <v>1495.99</v>
      </c>
    </row>
    <row r="1733" spans="15:16" x14ac:dyDescent="0.35">
      <c r="O1733" s="18">
        <v>42012</v>
      </c>
      <c r="P1733">
        <v>1487.37</v>
      </c>
    </row>
    <row r="1734" spans="15:16" x14ac:dyDescent="0.35">
      <c r="O1734" s="18">
        <v>42013</v>
      </c>
      <c r="P1734">
        <v>1473.87</v>
      </c>
    </row>
    <row r="1735" spans="15:16" x14ac:dyDescent="0.35">
      <c r="O1735" s="18">
        <v>42016</v>
      </c>
      <c r="P1735">
        <v>1485.77</v>
      </c>
    </row>
    <row r="1736" spans="15:16" x14ac:dyDescent="0.35">
      <c r="O1736" s="18">
        <v>42017</v>
      </c>
      <c r="P1736">
        <v>1479.91</v>
      </c>
    </row>
    <row r="1737" spans="15:16" x14ac:dyDescent="0.35">
      <c r="O1737" s="18">
        <v>42018</v>
      </c>
      <c r="P1737">
        <v>1483.36</v>
      </c>
    </row>
    <row r="1738" spans="15:16" x14ac:dyDescent="0.35">
      <c r="O1738" s="18">
        <v>42019</v>
      </c>
      <c r="P1738">
        <v>1512.72</v>
      </c>
    </row>
    <row r="1739" spans="15:16" x14ac:dyDescent="0.35">
      <c r="O1739" s="18">
        <v>42020</v>
      </c>
      <c r="P1739">
        <v>1534.97</v>
      </c>
    </row>
    <row r="1740" spans="15:16" x14ac:dyDescent="0.35">
      <c r="O1740" s="18">
        <v>42023</v>
      </c>
      <c r="P1740">
        <v>1547.46</v>
      </c>
    </row>
    <row r="1741" spans="15:16" x14ac:dyDescent="0.35">
      <c r="O1741" s="18">
        <v>42024</v>
      </c>
      <c r="P1741">
        <v>1549.07</v>
      </c>
    </row>
    <row r="1742" spans="15:16" x14ac:dyDescent="0.35">
      <c r="O1742" s="18">
        <v>42025</v>
      </c>
      <c r="P1742">
        <v>1537.23</v>
      </c>
    </row>
    <row r="1743" spans="15:16" x14ac:dyDescent="0.35">
      <c r="O1743" s="18">
        <v>42026</v>
      </c>
      <c r="P1743">
        <v>1531.49</v>
      </c>
    </row>
    <row r="1744" spans="15:16" x14ac:dyDescent="0.35">
      <c r="O1744" s="18">
        <v>42027</v>
      </c>
      <c r="P1744">
        <v>1514.6</v>
      </c>
    </row>
    <row r="1745" spans="15:16" x14ac:dyDescent="0.35">
      <c r="O1745" s="18">
        <v>42031</v>
      </c>
      <c r="P1745">
        <v>1608.92</v>
      </c>
    </row>
    <row r="1746" spans="15:16" x14ac:dyDescent="0.35">
      <c r="O1746" s="18">
        <v>42032</v>
      </c>
      <c r="P1746">
        <v>1634.03</v>
      </c>
    </row>
    <row r="1747" spans="15:16" x14ac:dyDescent="0.35">
      <c r="O1747" s="18">
        <v>42033</v>
      </c>
      <c r="P1747">
        <v>1647.88</v>
      </c>
    </row>
    <row r="1748" spans="15:16" x14ac:dyDescent="0.35">
      <c r="O1748" s="18">
        <v>42034</v>
      </c>
      <c r="P1748">
        <v>1627.59</v>
      </c>
    </row>
    <row r="1749" spans="15:16" x14ac:dyDescent="0.35">
      <c r="O1749" s="18">
        <v>42037</v>
      </c>
      <c r="P1749">
        <v>1656.17</v>
      </c>
    </row>
    <row r="1750" spans="15:16" x14ac:dyDescent="0.35">
      <c r="O1750" s="18">
        <v>42038</v>
      </c>
      <c r="P1750">
        <v>1632.36</v>
      </c>
    </row>
    <row r="1751" spans="15:16" x14ac:dyDescent="0.35">
      <c r="O1751" s="18">
        <v>42039</v>
      </c>
      <c r="P1751">
        <v>1591.95</v>
      </c>
    </row>
    <row r="1752" spans="15:16" x14ac:dyDescent="0.35">
      <c r="O1752" s="18">
        <v>42040</v>
      </c>
      <c r="P1752">
        <v>1583.76</v>
      </c>
    </row>
    <row r="1753" spans="15:16" x14ac:dyDescent="0.35">
      <c r="O1753" s="18">
        <v>42041</v>
      </c>
      <c r="P1753">
        <v>1558.78</v>
      </c>
    </row>
    <row r="1754" spans="15:16" x14ac:dyDescent="0.35">
      <c r="O1754" s="18">
        <v>42044</v>
      </c>
      <c r="P1754">
        <v>1511.56</v>
      </c>
    </row>
    <row r="1755" spans="15:16" x14ac:dyDescent="0.35">
      <c r="O1755" s="18">
        <v>42045</v>
      </c>
      <c r="P1755">
        <v>1513.32</v>
      </c>
    </row>
    <row r="1756" spans="15:16" x14ac:dyDescent="0.35">
      <c r="O1756" s="18">
        <v>42046</v>
      </c>
      <c r="P1756">
        <v>1614.13</v>
      </c>
    </row>
    <row r="1757" spans="15:16" x14ac:dyDescent="0.35">
      <c r="O1757" s="18">
        <v>42047</v>
      </c>
      <c r="P1757">
        <v>1641.8</v>
      </c>
    </row>
    <row r="1758" spans="15:16" x14ac:dyDescent="0.35">
      <c r="O1758" s="18">
        <v>42048</v>
      </c>
      <c r="P1758">
        <v>1626.74</v>
      </c>
    </row>
    <row r="1759" spans="15:16" x14ac:dyDescent="0.35">
      <c r="O1759" s="18">
        <v>42051</v>
      </c>
      <c r="P1759">
        <v>1605.11</v>
      </c>
    </row>
    <row r="1760" spans="15:16" x14ac:dyDescent="0.35">
      <c r="O1760" s="18">
        <v>42053</v>
      </c>
      <c r="P1760">
        <v>1694.73</v>
      </c>
    </row>
    <row r="1761" spans="15:16" x14ac:dyDescent="0.35">
      <c r="O1761" s="18">
        <v>42054</v>
      </c>
      <c r="P1761">
        <v>1664.04</v>
      </c>
    </row>
    <row r="1762" spans="15:16" x14ac:dyDescent="0.35">
      <c r="O1762" s="18">
        <v>42055</v>
      </c>
      <c r="P1762">
        <v>1636.21</v>
      </c>
    </row>
    <row r="1763" spans="15:16" x14ac:dyDescent="0.35">
      <c r="O1763" s="18">
        <v>42058</v>
      </c>
      <c r="P1763">
        <v>1598.19</v>
      </c>
    </row>
    <row r="1764" spans="15:16" x14ac:dyDescent="0.35">
      <c r="O1764" s="18">
        <v>42059</v>
      </c>
      <c r="P1764">
        <v>1584.22</v>
      </c>
    </row>
    <row r="1765" spans="15:16" x14ac:dyDescent="0.35">
      <c r="O1765" s="18">
        <v>42060</v>
      </c>
      <c r="P1765">
        <v>1559.64</v>
      </c>
    </row>
    <row r="1766" spans="15:16" x14ac:dyDescent="0.35">
      <c r="O1766" s="18">
        <v>42061</v>
      </c>
      <c r="P1766">
        <v>1520.54</v>
      </c>
    </row>
    <row r="1767" spans="15:16" x14ac:dyDescent="0.35">
      <c r="O1767" s="18">
        <v>42062</v>
      </c>
      <c r="P1767">
        <v>1580.64</v>
      </c>
    </row>
    <row r="1768" spans="15:16" x14ac:dyDescent="0.35">
      <c r="O1768" s="18">
        <v>42063</v>
      </c>
      <c r="P1768">
        <v>1625.56</v>
      </c>
    </row>
    <row r="1769" spans="15:16" x14ac:dyDescent="0.35">
      <c r="O1769" s="18">
        <v>42065</v>
      </c>
      <c r="P1769">
        <v>1642.61</v>
      </c>
    </row>
    <row r="1770" spans="15:16" x14ac:dyDescent="0.35">
      <c r="O1770" s="18">
        <v>42066</v>
      </c>
      <c r="P1770">
        <v>1590.8</v>
      </c>
    </row>
    <row r="1771" spans="15:16" x14ac:dyDescent="0.35">
      <c r="O1771" s="18">
        <v>42067</v>
      </c>
      <c r="P1771">
        <v>1604.8</v>
      </c>
    </row>
    <row r="1772" spans="15:16" x14ac:dyDescent="0.35">
      <c r="O1772" s="18">
        <v>42068</v>
      </c>
      <c r="P1772">
        <v>1600.11</v>
      </c>
    </row>
    <row r="1773" spans="15:16" x14ac:dyDescent="0.35">
      <c r="O1773" s="18">
        <v>42072</v>
      </c>
      <c r="P1773">
        <v>1569.98</v>
      </c>
    </row>
    <row r="1774" spans="15:16" x14ac:dyDescent="0.35">
      <c r="O1774" s="18">
        <v>42073</v>
      </c>
      <c r="P1774">
        <v>1594.78</v>
      </c>
    </row>
    <row r="1775" spans="15:16" x14ac:dyDescent="0.35">
      <c r="O1775" s="18">
        <v>42074</v>
      </c>
      <c r="P1775">
        <v>1605.38</v>
      </c>
    </row>
    <row r="1776" spans="15:16" x14ac:dyDescent="0.35">
      <c r="O1776" s="18">
        <v>42075</v>
      </c>
      <c r="P1776">
        <v>1630.38</v>
      </c>
    </row>
    <row r="1777" spans="15:16" x14ac:dyDescent="0.35">
      <c r="O1777" s="18">
        <v>42076</v>
      </c>
      <c r="P1777">
        <v>1591.28</v>
      </c>
    </row>
    <row r="1778" spans="15:16" x14ac:dyDescent="0.35">
      <c r="O1778" s="18">
        <v>42079</v>
      </c>
      <c r="P1778">
        <v>1582.04</v>
      </c>
    </row>
    <row r="1779" spans="15:16" x14ac:dyDescent="0.35">
      <c r="O1779" s="18">
        <v>42080</v>
      </c>
      <c r="P1779">
        <v>1594.28</v>
      </c>
    </row>
    <row r="1780" spans="15:16" x14ac:dyDescent="0.35">
      <c r="O1780" s="18">
        <v>42081</v>
      </c>
      <c r="P1780">
        <v>1604.42</v>
      </c>
    </row>
    <row r="1781" spans="15:16" x14ac:dyDescent="0.35">
      <c r="O1781" s="18">
        <v>42082</v>
      </c>
      <c r="P1781">
        <v>1611.16</v>
      </c>
    </row>
    <row r="1782" spans="15:16" x14ac:dyDescent="0.35">
      <c r="O1782" s="18">
        <v>42083</v>
      </c>
      <c r="P1782">
        <v>1601.75</v>
      </c>
    </row>
    <row r="1783" spans="15:16" x14ac:dyDescent="0.35">
      <c r="O1783" s="18">
        <v>42086</v>
      </c>
      <c r="P1783">
        <v>1586.6</v>
      </c>
    </row>
    <row r="1784" spans="15:16" x14ac:dyDescent="0.35">
      <c r="O1784" s="18">
        <v>42087</v>
      </c>
      <c r="P1784">
        <v>1550.11</v>
      </c>
    </row>
    <row r="1785" spans="15:16" x14ac:dyDescent="0.35">
      <c r="O1785" s="18">
        <v>42088</v>
      </c>
      <c r="P1785">
        <v>1557.28</v>
      </c>
    </row>
    <row r="1786" spans="15:16" x14ac:dyDescent="0.35">
      <c r="O1786" s="18">
        <v>42089</v>
      </c>
      <c r="P1786">
        <v>1553.82</v>
      </c>
    </row>
    <row r="1787" spans="15:16" x14ac:dyDescent="0.35">
      <c r="O1787" s="18">
        <v>42090</v>
      </c>
      <c r="P1787">
        <v>1549.08</v>
      </c>
    </row>
    <row r="1788" spans="15:16" x14ac:dyDescent="0.35">
      <c r="O1788" s="18">
        <v>42093</v>
      </c>
      <c r="P1788">
        <v>1601.89</v>
      </c>
    </row>
    <row r="1789" spans="15:16" x14ac:dyDescent="0.35">
      <c r="O1789" s="18">
        <v>42094</v>
      </c>
      <c r="P1789">
        <v>1590.82</v>
      </c>
    </row>
    <row r="1790" spans="15:16" x14ac:dyDescent="0.35">
      <c r="O1790" s="18">
        <v>42095</v>
      </c>
      <c r="P1790">
        <v>1601.95</v>
      </c>
    </row>
    <row r="1791" spans="15:16" x14ac:dyDescent="0.35">
      <c r="O1791" s="18">
        <v>42100</v>
      </c>
      <c r="P1791">
        <v>1578.24</v>
      </c>
    </row>
    <row r="1792" spans="15:16" x14ac:dyDescent="0.35">
      <c r="O1792" s="18">
        <v>42101</v>
      </c>
      <c r="P1792">
        <v>1598.33</v>
      </c>
    </row>
    <row r="1793" spans="15:16" x14ac:dyDescent="0.35">
      <c r="O1793" s="18">
        <v>42102</v>
      </c>
      <c r="P1793">
        <v>1652.48</v>
      </c>
    </row>
    <row r="1794" spans="15:16" x14ac:dyDescent="0.35">
      <c r="O1794" s="18">
        <v>42103</v>
      </c>
      <c r="P1794">
        <v>1630.25</v>
      </c>
    </row>
    <row r="1795" spans="15:16" x14ac:dyDescent="0.35">
      <c r="O1795" s="18">
        <v>42104</v>
      </c>
      <c r="P1795">
        <v>1623.03</v>
      </c>
    </row>
    <row r="1796" spans="15:16" x14ac:dyDescent="0.35">
      <c r="O1796" s="18">
        <v>42107</v>
      </c>
      <c r="P1796">
        <v>1607.07</v>
      </c>
    </row>
    <row r="1797" spans="15:16" x14ac:dyDescent="0.35">
      <c r="O1797" s="18">
        <v>42109</v>
      </c>
      <c r="P1797">
        <v>1587.27</v>
      </c>
    </row>
    <row r="1798" spans="15:16" x14ac:dyDescent="0.35">
      <c r="O1798" s="18">
        <v>42110</v>
      </c>
      <c r="P1798">
        <v>1583.72</v>
      </c>
    </row>
    <row r="1799" spans="15:16" x14ac:dyDescent="0.35">
      <c r="O1799" s="18">
        <v>42111</v>
      </c>
      <c r="P1799">
        <v>1531.11</v>
      </c>
    </row>
    <row r="1800" spans="15:16" x14ac:dyDescent="0.35">
      <c r="O1800" s="18">
        <v>42114</v>
      </c>
      <c r="P1800">
        <v>1476.2</v>
      </c>
    </row>
    <row r="1801" spans="15:16" x14ac:dyDescent="0.35">
      <c r="O1801" s="18">
        <v>42115</v>
      </c>
      <c r="P1801">
        <v>1431.03</v>
      </c>
    </row>
    <row r="1802" spans="15:16" x14ac:dyDescent="0.35">
      <c r="O1802" s="18">
        <v>42116</v>
      </c>
      <c r="P1802">
        <v>1436.62</v>
      </c>
    </row>
    <row r="1803" spans="15:16" x14ac:dyDescent="0.35">
      <c r="O1803" s="18">
        <v>42117</v>
      </c>
      <c r="P1803">
        <v>1474.7</v>
      </c>
    </row>
    <row r="1804" spans="15:16" x14ac:dyDescent="0.35">
      <c r="O1804" s="18">
        <v>42118</v>
      </c>
      <c r="P1804">
        <v>1472.05</v>
      </c>
    </row>
    <row r="1805" spans="15:16" x14ac:dyDescent="0.35">
      <c r="O1805" s="18">
        <v>42121</v>
      </c>
      <c r="P1805">
        <v>1477.11</v>
      </c>
    </row>
    <row r="1806" spans="15:16" x14ac:dyDescent="0.35">
      <c r="O1806" s="18">
        <v>42122</v>
      </c>
      <c r="P1806">
        <v>1517.51</v>
      </c>
    </row>
    <row r="1807" spans="15:16" x14ac:dyDescent="0.35">
      <c r="O1807" s="18">
        <v>42123</v>
      </c>
      <c r="P1807">
        <v>1523.81</v>
      </c>
    </row>
    <row r="1808" spans="15:16" x14ac:dyDescent="0.35">
      <c r="O1808" s="18">
        <v>42124</v>
      </c>
      <c r="P1808">
        <v>1519.16</v>
      </c>
    </row>
    <row r="1809" spans="15:16" x14ac:dyDescent="0.35">
      <c r="O1809" s="18">
        <v>42128</v>
      </c>
      <c r="P1809">
        <v>1533.46</v>
      </c>
    </row>
    <row r="1810" spans="15:16" x14ac:dyDescent="0.35">
      <c r="O1810" s="18">
        <v>42129</v>
      </c>
      <c r="P1810">
        <v>1555.55</v>
      </c>
    </row>
    <row r="1811" spans="15:16" x14ac:dyDescent="0.35">
      <c r="O1811" s="18">
        <v>42130</v>
      </c>
      <c r="P1811">
        <v>1508.03</v>
      </c>
    </row>
    <row r="1812" spans="15:16" x14ac:dyDescent="0.35">
      <c r="O1812" s="18">
        <v>42131</v>
      </c>
      <c r="P1812">
        <v>1480.69</v>
      </c>
    </row>
    <row r="1813" spans="15:16" x14ac:dyDescent="0.35">
      <c r="O1813" s="18">
        <v>42132</v>
      </c>
      <c r="P1813">
        <v>1578.12</v>
      </c>
    </row>
    <row r="1814" spans="15:16" x14ac:dyDescent="0.35">
      <c r="O1814" s="18">
        <v>42135</v>
      </c>
      <c r="P1814">
        <v>1687.16</v>
      </c>
    </row>
    <row r="1815" spans="15:16" x14ac:dyDescent="0.35">
      <c r="O1815" s="18">
        <v>42136</v>
      </c>
      <c r="P1815">
        <v>1715.86</v>
      </c>
    </row>
    <row r="1816" spans="15:16" x14ac:dyDescent="0.35">
      <c r="O1816" s="18">
        <v>42137</v>
      </c>
      <c r="P1816">
        <v>1808.95</v>
      </c>
    </row>
    <row r="1817" spans="15:16" x14ac:dyDescent="0.35">
      <c r="O1817" s="18">
        <v>42138</v>
      </c>
      <c r="P1817">
        <v>1817.62</v>
      </c>
    </row>
    <row r="1818" spans="15:16" x14ac:dyDescent="0.35">
      <c r="O1818" s="18">
        <v>42139</v>
      </c>
      <c r="P1818">
        <v>1872.2</v>
      </c>
    </row>
    <row r="1819" spans="15:16" x14ac:dyDescent="0.35">
      <c r="O1819" s="18">
        <v>42142</v>
      </c>
      <c r="P1819">
        <v>1859.78</v>
      </c>
    </row>
    <row r="1820" spans="15:16" x14ac:dyDescent="0.35">
      <c r="O1820" s="18">
        <v>42143</v>
      </c>
      <c r="P1820">
        <v>1825.15</v>
      </c>
    </row>
    <row r="1821" spans="15:16" x14ac:dyDescent="0.35">
      <c r="O1821" s="18">
        <v>42144</v>
      </c>
      <c r="P1821">
        <v>1852.85</v>
      </c>
    </row>
    <row r="1822" spans="15:16" x14ac:dyDescent="0.35">
      <c r="O1822" s="18">
        <v>42145</v>
      </c>
      <c r="P1822">
        <v>1841.33</v>
      </c>
    </row>
    <row r="1823" spans="15:16" x14ac:dyDescent="0.35">
      <c r="O1823" s="18">
        <v>42146</v>
      </c>
      <c r="P1823">
        <v>1869.67</v>
      </c>
    </row>
    <row r="1824" spans="15:16" x14ac:dyDescent="0.35">
      <c r="O1824" s="18">
        <v>42149</v>
      </c>
      <c r="P1824">
        <v>1917.34</v>
      </c>
    </row>
    <row r="1825" spans="15:16" x14ac:dyDescent="0.35">
      <c r="O1825" s="18">
        <v>42150</v>
      </c>
      <c r="P1825">
        <v>1890.93</v>
      </c>
    </row>
    <row r="1826" spans="15:16" x14ac:dyDescent="0.35">
      <c r="O1826" s="18">
        <v>42151</v>
      </c>
      <c r="P1826">
        <v>1836.31</v>
      </c>
    </row>
    <row r="1827" spans="15:16" x14ac:dyDescent="0.35">
      <c r="O1827" s="18">
        <v>42152</v>
      </c>
      <c r="P1827">
        <v>1798.62</v>
      </c>
    </row>
    <row r="1828" spans="15:16" x14ac:dyDescent="0.35">
      <c r="O1828" s="18">
        <v>42153</v>
      </c>
      <c r="P1828">
        <v>1889.64</v>
      </c>
    </row>
    <row r="1829" spans="15:16" x14ac:dyDescent="0.35">
      <c r="O1829" s="18">
        <v>42156</v>
      </c>
      <c r="P1829">
        <v>1877.79</v>
      </c>
    </row>
    <row r="1830" spans="15:16" x14ac:dyDescent="0.35">
      <c r="O1830" s="18">
        <v>42157</v>
      </c>
      <c r="P1830">
        <v>1814.52</v>
      </c>
    </row>
    <row r="1831" spans="15:16" x14ac:dyDescent="0.35">
      <c r="O1831" s="18">
        <v>42158</v>
      </c>
      <c r="P1831">
        <v>1819.12</v>
      </c>
    </row>
    <row r="1832" spans="15:16" x14ac:dyDescent="0.35">
      <c r="O1832" s="18">
        <v>42159</v>
      </c>
      <c r="P1832">
        <v>1731.17</v>
      </c>
    </row>
    <row r="1833" spans="15:16" x14ac:dyDescent="0.35">
      <c r="O1833" s="18">
        <v>42160</v>
      </c>
      <c r="P1833">
        <v>1739.17</v>
      </c>
    </row>
    <row r="1834" spans="15:16" x14ac:dyDescent="0.35">
      <c r="O1834" s="18">
        <v>42163</v>
      </c>
      <c r="P1834">
        <v>1728.25</v>
      </c>
    </row>
    <row r="1835" spans="15:16" x14ac:dyDescent="0.35">
      <c r="O1835" s="18">
        <v>42164</v>
      </c>
      <c r="P1835">
        <v>1710.88</v>
      </c>
    </row>
    <row r="1836" spans="15:16" x14ac:dyDescent="0.35">
      <c r="O1836" s="18">
        <v>42165</v>
      </c>
      <c r="P1836">
        <v>1759.27</v>
      </c>
    </row>
    <row r="1837" spans="15:16" x14ac:dyDescent="0.35">
      <c r="O1837" s="18">
        <v>42166</v>
      </c>
      <c r="P1837">
        <v>1724.43</v>
      </c>
    </row>
    <row r="1838" spans="15:16" x14ac:dyDescent="0.35">
      <c r="O1838" s="18">
        <v>42167</v>
      </c>
      <c r="P1838">
        <v>1740.41</v>
      </c>
    </row>
    <row r="1839" spans="15:16" x14ac:dyDescent="0.35">
      <c r="O1839" s="18">
        <v>42170</v>
      </c>
      <c r="P1839">
        <v>1802.74</v>
      </c>
    </row>
    <row r="1840" spans="15:16" x14ac:dyDescent="0.35">
      <c r="O1840" s="18">
        <v>42171</v>
      </c>
      <c r="P1840">
        <v>1845.18</v>
      </c>
    </row>
    <row r="1841" spans="15:16" x14ac:dyDescent="0.35">
      <c r="O1841" s="18">
        <v>42172</v>
      </c>
      <c r="P1841">
        <v>1928.89</v>
      </c>
    </row>
    <row r="1842" spans="15:16" x14ac:dyDescent="0.35">
      <c r="O1842" s="18">
        <v>42173</v>
      </c>
      <c r="P1842">
        <v>1949.57</v>
      </c>
    </row>
    <row r="1843" spans="15:16" x14ac:dyDescent="0.35">
      <c r="O1843" s="18">
        <v>42174</v>
      </c>
      <c r="P1843">
        <v>1944.52</v>
      </c>
    </row>
    <row r="1844" spans="15:16" x14ac:dyDescent="0.35">
      <c r="O1844" s="18">
        <v>42177</v>
      </c>
      <c r="P1844">
        <v>1940.48</v>
      </c>
    </row>
    <row r="1845" spans="15:16" x14ac:dyDescent="0.35">
      <c r="O1845" s="18">
        <v>42178</v>
      </c>
      <c r="P1845">
        <v>1927.68</v>
      </c>
    </row>
    <row r="1846" spans="15:16" x14ac:dyDescent="0.35">
      <c r="O1846" s="18">
        <v>42179</v>
      </c>
      <c r="P1846">
        <v>1912.35</v>
      </c>
    </row>
    <row r="1847" spans="15:16" x14ac:dyDescent="0.35">
      <c r="O1847" s="18">
        <v>42180</v>
      </c>
      <c r="P1847">
        <v>1948.37</v>
      </c>
    </row>
    <row r="1848" spans="15:16" x14ac:dyDescent="0.35">
      <c r="O1848" s="18">
        <v>42181</v>
      </c>
      <c r="P1848">
        <v>1956.16</v>
      </c>
    </row>
    <row r="1849" spans="15:16" x14ac:dyDescent="0.35">
      <c r="O1849" s="18">
        <v>42184</v>
      </c>
      <c r="P1849">
        <v>1929.83</v>
      </c>
    </row>
    <row r="1850" spans="15:16" x14ac:dyDescent="0.35">
      <c r="O1850" s="18">
        <v>42185</v>
      </c>
      <c r="P1850">
        <v>1958.67</v>
      </c>
    </row>
    <row r="1851" spans="15:16" x14ac:dyDescent="0.35">
      <c r="O1851" s="18">
        <v>42186</v>
      </c>
      <c r="P1851">
        <v>2035.23</v>
      </c>
    </row>
    <row r="1852" spans="15:16" x14ac:dyDescent="0.35">
      <c r="O1852" s="18">
        <v>42187</v>
      </c>
      <c r="P1852">
        <v>2125.77</v>
      </c>
    </row>
    <row r="1853" spans="15:16" x14ac:dyDescent="0.35">
      <c r="O1853" s="18">
        <v>42188</v>
      </c>
      <c r="P1853">
        <v>2027.56</v>
      </c>
    </row>
    <row r="1854" spans="15:16" x14ac:dyDescent="0.35">
      <c r="O1854" s="18">
        <v>42191</v>
      </c>
      <c r="P1854">
        <v>2033.43</v>
      </c>
    </row>
    <row r="1855" spans="15:16" x14ac:dyDescent="0.35">
      <c r="O1855" s="18">
        <v>42192</v>
      </c>
      <c r="P1855">
        <v>2036.26</v>
      </c>
    </row>
    <row r="1856" spans="15:16" x14ac:dyDescent="0.35">
      <c r="O1856" s="18">
        <v>42193</v>
      </c>
      <c r="P1856">
        <v>2048.2600000000002</v>
      </c>
    </row>
    <row r="1857" spans="15:16" x14ac:dyDescent="0.35">
      <c r="O1857" s="18">
        <v>42194</v>
      </c>
      <c r="P1857">
        <v>2064.12</v>
      </c>
    </row>
    <row r="1858" spans="15:16" x14ac:dyDescent="0.35">
      <c r="O1858" s="18">
        <v>42195</v>
      </c>
      <c r="P1858">
        <v>2076.5100000000002</v>
      </c>
    </row>
    <row r="1859" spans="15:16" x14ac:dyDescent="0.35">
      <c r="O1859" s="18">
        <v>42198</v>
      </c>
      <c r="P1859">
        <v>2116.0100000000002</v>
      </c>
    </row>
    <row r="1860" spans="15:16" x14ac:dyDescent="0.35">
      <c r="O1860" s="18">
        <v>42199</v>
      </c>
      <c r="P1860">
        <v>2077.39</v>
      </c>
    </row>
    <row r="1861" spans="15:16" x14ac:dyDescent="0.35">
      <c r="O1861" s="18">
        <v>42200</v>
      </c>
      <c r="P1861">
        <v>2071.84</v>
      </c>
    </row>
    <row r="1862" spans="15:16" x14ac:dyDescent="0.35">
      <c r="O1862" s="18">
        <v>42201</v>
      </c>
      <c r="P1862">
        <v>2107.88</v>
      </c>
    </row>
    <row r="1863" spans="15:16" x14ac:dyDescent="0.35">
      <c r="O1863" s="18">
        <v>42202</v>
      </c>
      <c r="P1863">
        <v>2110.0700000000002</v>
      </c>
    </row>
    <row r="1864" spans="15:16" x14ac:dyDescent="0.35">
      <c r="O1864" s="18">
        <v>42205</v>
      </c>
      <c r="P1864">
        <v>2124.8000000000002</v>
      </c>
    </row>
    <row r="1865" spans="15:16" x14ac:dyDescent="0.35">
      <c r="O1865" s="18">
        <v>42206</v>
      </c>
      <c r="P1865">
        <v>2134.84</v>
      </c>
    </row>
    <row r="1866" spans="15:16" x14ac:dyDescent="0.35">
      <c r="O1866" s="18">
        <v>42207</v>
      </c>
      <c r="P1866">
        <v>2110.9699999999998</v>
      </c>
    </row>
    <row r="1867" spans="15:16" x14ac:dyDescent="0.35">
      <c r="O1867" s="18">
        <v>42208</v>
      </c>
      <c r="P1867">
        <v>2053.8200000000002</v>
      </c>
    </row>
    <row r="1868" spans="15:16" x14ac:dyDescent="0.35">
      <c r="O1868" s="18">
        <v>42209</v>
      </c>
      <c r="P1868">
        <v>2011.38</v>
      </c>
    </row>
    <row r="1869" spans="15:16" x14ac:dyDescent="0.35">
      <c r="O1869" s="18">
        <v>42212</v>
      </c>
      <c r="P1869">
        <v>1934.8</v>
      </c>
    </row>
    <row r="1870" spans="15:16" x14ac:dyDescent="0.35">
      <c r="O1870" s="18">
        <v>42213</v>
      </c>
      <c r="P1870">
        <v>1949.94</v>
      </c>
    </row>
    <row r="1871" spans="15:16" x14ac:dyDescent="0.35">
      <c r="O1871" s="18">
        <v>42214</v>
      </c>
      <c r="P1871">
        <v>1924.62</v>
      </c>
    </row>
    <row r="1872" spans="15:16" x14ac:dyDescent="0.35">
      <c r="O1872" s="18">
        <v>42215</v>
      </c>
      <c r="P1872">
        <v>1902.8</v>
      </c>
    </row>
    <row r="1873" spans="15:16" x14ac:dyDescent="0.35">
      <c r="O1873" s="18">
        <v>42216</v>
      </c>
      <c r="P1873">
        <v>1907.12</v>
      </c>
    </row>
    <row r="1874" spans="15:16" x14ac:dyDescent="0.35">
      <c r="O1874" s="18">
        <v>42219</v>
      </c>
      <c r="P1874">
        <v>1908.31</v>
      </c>
    </row>
    <row r="1875" spans="15:16" x14ac:dyDescent="0.35">
      <c r="O1875" s="18">
        <v>42220</v>
      </c>
      <c r="P1875">
        <v>2017.81</v>
      </c>
    </row>
    <row r="1876" spans="15:16" x14ac:dyDescent="0.35">
      <c r="O1876" s="18">
        <v>42221</v>
      </c>
      <c r="P1876">
        <v>2056.66</v>
      </c>
    </row>
    <row r="1877" spans="15:16" x14ac:dyDescent="0.35">
      <c r="O1877" s="18">
        <v>42222</v>
      </c>
      <c r="P1877">
        <v>2057.2399999999998</v>
      </c>
    </row>
    <row r="1878" spans="15:16" x14ac:dyDescent="0.35">
      <c r="O1878" s="18">
        <v>42223</v>
      </c>
      <c r="P1878">
        <v>2063.16</v>
      </c>
    </row>
    <row r="1879" spans="15:16" x14ac:dyDescent="0.35">
      <c r="O1879" s="18">
        <v>42226</v>
      </c>
      <c r="P1879">
        <v>2036.46</v>
      </c>
    </row>
    <row r="1880" spans="15:16" x14ac:dyDescent="0.35">
      <c r="O1880" s="18">
        <v>42227</v>
      </c>
      <c r="P1880">
        <v>2016.33</v>
      </c>
    </row>
    <row r="1881" spans="15:16" x14ac:dyDescent="0.35">
      <c r="O1881" s="18">
        <v>42228</v>
      </c>
      <c r="P1881">
        <v>1984.91</v>
      </c>
    </row>
    <row r="1882" spans="15:16" x14ac:dyDescent="0.35">
      <c r="O1882" s="18">
        <v>42229</v>
      </c>
      <c r="P1882">
        <v>1990.27</v>
      </c>
    </row>
    <row r="1883" spans="15:16" x14ac:dyDescent="0.35">
      <c r="O1883" s="18">
        <v>42230</v>
      </c>
      <c r="P1883">
        <v>2060.06</v>
      </c>
    </row>
    <row r="1884" spans="15:16" x14ac:dyDescent="0.35">
      <c r="O1884" s="18">
        <v>42233</v>
      </c>
      <c r="P1884">
        <v>2066.48</v>
      </c>
    </row>
    <row r="1885" spans="15:16" x14ac:dyDescent="0.35">
      <c r="O1885" s="18">
        <v>42234</v>
      </c>
      <c r="P1885">
        <v>2094.46</v>
      </c>
    </row>
    <row r="1886" spans="15:16" x14ac:dyDescent="0.35">
      <c r="O1886" s="18">
        <v>42235</v>
      </c>
      <c r="P1886">
        <v>2123.5500000000002</v>
      </c>
    </row>
    <row r="1887" spans="15:16" x14ac:dyDescent="0.35">
      <c r="O1887" s="18">
        <v>42236</v>
      </c>
      <c r="P1887">
        <v>2101.7600000000002</v>
      </c>
    </row>
    <row r="1888" spans="15:16" x14ac:dyDescent="0.35">
      <c r="O1888" s="18">
        <v>42237</v>
      </c>
      <c r="P1888">
        <v>2046.48</v>
      </c>
    </row>
    <row r="1889" spans="15:16" x14ac:dyDescent="0.35">
      <c r="O1889" s="18">
        <v>42240</v>
      </c>
      <c r="P1889">
        <v>1858.55</v>
      </c>
    </row>
    <row r="1890" spans="15:16" x14ac:dyDescent="0.35">
      <c r="O1890" s="18">
        <v>42241</v>
      </c>
      <c r="P1890">
        <v>1869.89</v>
      </c>
    </row>
    <row r="1891" spans="15:16" x14ac:dyDescent="0.35">
      <c r="O1891" s="18">
        <v>42242</v>
      </c>
      <c r="P1891">
        <v>1856.7</v>
      </c>
    </row>
    <row r="1892" spans="15:16" x14ac:dyDescent="0.35">
      <c r="O1892" s="18">
        <v>42243</v>
      </c>
      <c r="P1892">
        <v>1877.15</v>
      </c>
    </row>
    <row r="1893" spans="15:16" x14ac:dyDescent="0.35">
      <c r="O1893" s="18">
        <v>42244</v>
      </c>
      <c r="P1893">
        <v>1891.92</v>
      </c>
    </row>
    <row r="1894" spans="15:16" x14ac:dyDescent="0.35">
      <c r="O1894" s="18">
        <v>42247</v>
      </c>
      <c r="P1894">
        <v>1901.48</v>
      </c>
    </row>
    <row r="1895" spans="15:16" x14ac:dyDescent="0.35">
      <c r="O1895" s="18">
        <v>42248</v>
      </c>
      <c r="P1895">
        <v>1825.93</v>
      </c>
    </row>
    <row r="1896" spans="15:16" x14ac:dyDescent="0.35">
      <c r="O1896" s="18">
        <v>42249</v>
      </c>
      <c r="P1896">
        <v>1837.72</v>
      </c>
    </row>
    <row r="1897" spans="15:16" x14ac:dyDescent="0.35">
      <c r="O1897" s="18">
        <v>42250</v>
      </c>
      <c r="P1897">
        <v>1838.27</v>
      </c>
    </row>
    <row r="1898" spans="15:16" x14ac:dyDescent="0.35">
      <c r="O1898" s="18">
        <v>42251</v>
      </c>
      <c r="P1898">
        <v>1817.77</v>
      </c>
    </row>
    <row r="1899" spans="15:16" x14ac:dyDescent="0.35">
      <c r="O1899" s="18">
        <v>42254</v>
      </c>
      <c r="P1899">
        <v>1744.3</v>
      </c>
    </row>
    <row r="1900" spans="15:16" x14ac:dyDescent="0.35">
      <c r="O1900" s="18">
        <v>42255</v>
      </c>
      <c r="P1900">
        <v>1723.42</v>
      </c>
    </row>
    <row r="1901" spans="15:16" x14ac:dyDescent="0.35">
      <c r="O1901" s="18">
        <v>42256</v>
      </c>
      <c r="P1901">
        <v>1796.73</v>
      </c>
    </row>
    <row r="1902" spans="15:16" x14ac:dyDescent="0.35">
      <c r="O1902" s="18">
        <v>42257</v>
      </c>
      <c r="P1902">
        <v>1849.69</v>
      </c>
    </row>
    <row r="1903" spans="15:16" x14ac:dyDescent="0.35">
      <c r="O1903" s="18">
        <v>42258</v>
      </c>
      <c r="P1903">
        <v>1888.2</v>
      </c>
    </row>
    <row r="1904" spans="15:16" x14ac:dyDescent="0.35">
      <c r="O1904" s="18">
        <v>42261</v>
      </c>
      <c r="P1904">
        <v>1883.65</v>
      </c>
    </row>
    <row r="1905" spans="15:16" x14ac:dyDescent="0.35">
      <c r="O1905" s="18">
        <v>42262</v>
      </c>
      <c r="P1905">
        <v>1857.63</v>
      </c>
    </row>
    <row r="1906" spans="15:16" x14ac:dyDescent="0.35">
      <c r="O1906" s="18">
        <v>42263</v>
      </c>
      <c r="P1906">
        <v>1793.7</v>
      </c>
    </row>
    <row r="1907" spans="15:16" x14ac:dyDescent="0.35">
      <c r="O1907" s="18">
        <v>42265</v>
      </c>
      <c r="P1907">
        <v>1823.44</v>
      </c>
    </row>
    <row r="1908" spans="15:16" x14ac:dyDescent="0.35">
      <c r="O1908" s="18">
        <v>42268</v>
      </c>
      <c r="P1908">
        <v>1847.83</v>
      </c>
    </row>
    <row r="1909" spans="15:16" x14ac:dyDescent="0.35">
      <c r="O1909" s="18">
        <v>42269</v>
      </c>
      <c r="P1909">
        <v>1833.49</v>
      </c>
    </row>
    <row r="1910" spans="15:16" x14ac:dyDescent="0.35">
      <c r="O1910" s="18">
        <v>42270</v>
      </c>
      <c r="P1910">
        <v>1825.44</v>
      </c>
    </row>
    <row r="1911" spans="15:16" x14ac:dyDescent="0.35">
      <c r="O1911" s="18">
        <v>42271</v>
      </c>
      <c r="P1911">
        <v>1777.62</v>
      </c>
    </row>
    <row r="1912" spans="15:16" x14ac:dyDescent="0.35">
      <c r="O1912" s="18">
        <v>42275</v>
      </c>
      <c r="P1912">
        <v>1728.26</v>
      </c>
    </row>
    <row r="1913" spans="15:16" x14ac:dyDescent="0.35">
      <c r="O1913" s="18">
        <v>42276</v>
      </c>
      <c r="P1913">
        <v>1744.07</v>
      </c>
    </row>
    <row r="1914" spans="15:16" x14ac:dyDescent="0.35">
      <c r="O1914" s="18">
        <v>42277</v>
      </c>
      <c r="P1914">
        <v>1779.16</v>
      </c>
    </row>
    <row r="1915" spans="15:16" x14ac:dyDescent="0.35">
      <c r="O1915" s="18">
        <v>42278</v>
      </c>
      <c r="P1915">
        <v>1828.63</v>
      </c>
    </row>
    <row r="1916" spans="15:16" x14ac:dyDescent="0.35">
      <c r="O1916" s="18">
        <v>42282</v>
      </c>
      <c r="P1916">
        <v>1877.28</v>
      </c>
    </row>
    <row r="1917" spans="15:16" x14ac:dyDescent="0.35">
      <c r="O1917" s="18">
        <v>42283</v>
      </c>
      <c r="P1917">
        <v>1863.02</v>
      </c>
    </row>
    <row r="1918" spans="15:16" x14ac:dyDescent="0.35">
      <c r="O1918" s="18">
        <v>42284</v>
      </c>
      <c r="P1918">
        <v>1890.53</v>
      </c>
    </row>
    <row r="1919" spans="15:16" x14ac:dyDescent="0.35">
      <c r="O1919" s="18">
        <v>42285</v>
      </c>
      <c r="P1919">
        <v>1866.63</v>
      </c>
    </row>
    <row r="1920" spans="15:16" x14ac:dyDescent="0.35">
      <c r="O1920" s="18">
        <v>42286</v>
      </c>
      <c r="P1920">
        <v>1831.82</v>
      </c>
    </row>
    <row r="1921" spans="15:16" x14ac:dyDescent="0.35">
      <c r="O1921" s="18">
        <v>42289</v>
      </c>
      <c r="P1921">
        <v>1798.24</v>
      </c>
    </row>
    <row r="1922" spans="15:16" x14ac:dyDescent="0.35">
      <c r="O1922" s="18">
        <v>42290</v>
      </c>
      <c r="P1922">
        <v>1782.04</v>
      </c>
    </row>
    <row r="1923" spans="15:16" x14ac:dyDescent="0.35">
      <c r="O1923" s="18">
        <v>42291</v>
      </c>
      <c r="P1923">
        <v>1818.02</v>
      </c>
    </row>
    <row r="1924" spans="15:16" x14ac:dyDescent="0.35">
      <c r="O1924" s="18">
        <v>42292</v>
      </c>
      <c r="P1924">
        <v>1831.12</v>
      </c>
    </row>
    <row r="1925" spans="15:16" x14ac:dyDescent="0.35">
      <c r="O1925" s="18">
        <v>42293</v>
      </c>
      <c r="P1925">
        <v>1828.65</v>
      </c>
    </row>
    <row r="1926" spans="15:16" x14ac:dyDescent="0.35">
      <c r="O1926" s="18">
        <v>42296</v>
      </c>
      <c r="P1926">
        <v>1824.13</v>
      </c>
    </row>
    <row r="1927" spans="15:16" x14ac:dyDescent="0.35">
      <c r="O1927" s="18">
        <v>42297</v>
      </c>
      <c r="P1927">
        <v>1816.12</v>
      </c>
    </row>
    <row r="1928" spans="15:16" x14ac:dyDescent="0.35">
      <c r="O1928" s="18">
        <v>42298</v>
      </c>
      <c r="P1928">
        <v>1821.06</v>
      </c>
    </row>
    <row r="1929" spans="15:16" x14ac:dyDescent="0.35">
      <c r="O1929" s="18">
        <v>42300</v>
      </c>
      <c r="P1929">
        <v>1815.87</v>
      </c>
    </row>
    <row r="1930" spans="15:16" x14ac:dyDescent="0.35">
      <c r="O1930" s="18">
        <v>42303</v>
      </c>
      <c r="P1930">
        <v>1793.49</v>
      </c>
    </row>
    <row r="1931" spans="15:16" x14ac:dyDescent="0.35">
      <c r="O1931" s="18">
        <v>42304</v>
      </c>
      <c r="P1931">
        <v>1765.97</v>
      </c>
    </row>
    <row r="1932" spans="15:16" x14ac:dyDescent="0.35">
      <c r="O1932" s="18">
        <v>42305</v>
      </c>
      <c r="P1932">
        <v>1739.23</v>
      </c>
    </row>
    <row r="1933" spans="15:16" x14ac:dyDescent="0.35">
      <c r="O1933" s="18">
        <v>42306</v>
      </c>
      <c r="P1933">
        <v>1741.87</v>
      </c>
    </row>
    <row r="1934" spans="15:16" x14ac:dyDescent="0.35">
      <c r="O1934" s="18">
        <v>42307</v>
      </c>
      <c r="P1934">
        <v>1774.24</v>
      </c>
    </row>
    <row r="1935" spans="15:16" x14ac:dyDescent="0.35">
      <c r="O1935" s="18">
        <v>42310</v>
      </c>
      <c r="P1935">
        <v>1797.55</v>
      </c>
    </row>
    <row r="1936" spans="15:16" x14ac:dyDescent="0.35">
      <c r="O1936" s="18">
        <v>42311</v>
      </c>
      <c r="P1936">
        <v>1801.09</v>
      </c>
    </row>
    <row r="1937" spans="15:16" x14ac:dyDescent="0.35">
      <c r="O1937" s="18">
        <v>42312</v>
      </c>
      <c r="P1937">
        <v>1776.82</v>
      </c>
    </row>
    <row r="1938" spans="15:16" x14ac:dyDescent="0.35">
      <c r="O1938" s="18">
        <v>42313</v>
      </c>
      <c r="P1938">
        <v>1767.8</v>
      </c>
    </row>
    <row r="1939" spans="15:16" x14ac:dyDescent="0.35">
      <c r="O1939" s="18">
        <v>42314</v>
      </c>
      <c r="P1939">
        <v>1669.34</v>
      </c>
    </row>
    <row r="1940" spans="15:16" x14ac:dyDescent="0.35">
      <c r="O1940" s="18">
        <v>42317</v>
      </c>
      <c r="P1940">
        <v>1595.25</v>
      </c>
    </row>
    <row r="1941" spans="15:16" x14ac:dyDescent="0.35">
      <c r="O1941" s="18">
        <v>42318</v>
      </c>
      <c r="P1941">
        <v>1584.16</v>
      </c>
    </row>
    <row r="1942" spans="15:16" x14ac:dyDescent="0.35">
      <c r="O1942" s="18">
        <v>42319</v>
      </c>
      <c r="P1942">
        <v>1604.59</v>
      </c>
    </row>
    <row r="1943" spans="15:16" x14ac:dyDescent="0.35">
      <c r="O1943" s="18">
        <v>42321</v>
      </c>
      <c r="P1943">
        <v>1562.42</v>
      </c>
    </row>
    <row r="1944" spans="15:16" x14ac:dyDescent="0.35">
      <c r="O1944" s="18">
        <v>42324</v>
      </c>
      <c r="P1944">
        <v>1526.21</v>
      </c>
    </row>
    <row r="1945" spans="15:16" x14ac:dyDescent="0.35">
      <c r="O1945" s="18">
        <v>42325</v>
      </c>
      <c r="P1945">
        <v>1549.39</v>
      </c>
    </row>
    <row r="1946" spans="15:16" x14ac:dyDescent="0.35">
      <c r="O1946" s="18">
        <v>42326</v>
      </c>
      <c r="P1946">
        <v>1588.38</v>
      </c>
    </row>
    <row r="1947" spans="15:16" x14ac:dyDescent="0.35">
      <c r="O1947" s="18">
        <v>42327</v>
      </c>
      <c r="P1947">
        <v>1616.67</v>
      </c>
    </row>
    <row r="1948" spans="15:16" x14ac:dyDescent="0.35">
      <c r="O1948" s="18">
        <v>42328</v>
      </c>
      <c r="P1948">
        <v>1641.69</v>
      </c>
    </row>
    <row r="1949" spans="15:16" x14ac:dyDescent="0.35">
      <c r="O1949" s="18">
        <v>42331</v>
      </c>
      <c r="P1949">
        <v>1675.63</v>
      </c>
    </row>
    <row r="1950" spans="15:16" x14ac:dyDescent="0.35">
      <c r="O1950" s="18">
        <v>42332</v>
      </c>
      <c r="P1950">
        <v>1665.02</v>
      </c>
    </row>
    <row r="1951" spans="15:16" x14ac:dyDescent="0.35">
      <c r="O1951" s="18">
        <v>42334</v>
      </c>
      <c r="P1951">
        <v>1648.56</v>
      </c>
    </row>
    <row r="1952" spans="15:16" x14ac:dyDescent="0.35">
      <c r="O1952" s="18">
        <v>42335</v>
      </c>
      <c r="P1952">
        <v>1659.64</v>
      </c>
    </row>
    <row r="1953" spans="15:16" x14ac:dyDescent="0.35">
      <c r="O1953" s="18">
        <v>42338</v>
      </c>
      <c r="P1953">
        <v>1672.89</v>
      </c>
    </row>
    <row r="1954" spans="15:16" x14ac:dyDescent="0.35">
      <c r="O1954" s="18">
        <v>42339</v>
      </c>
      <c r="P1954">
        <v>1623.74</v>
      </c>
    </row>
    <row r="1955" spans="15:16" x14ac:dyDescent="0.35">
      <c r="O1955" s="18">
        <v>42340</v>
      </c>
      <c r="P1955">
        <v>1636.07</v>
      </c>
    </row>
    <row r="1956" spans="15:16" x14ac:dyDescent="0.35">
      <c r="O1956" s="18">
        <v>42341</v>
      </c>
      <c r="P1956">
        <v>1669.23</v>
      </c>
    </row>
    <row r="1957" spans="15:16" x14ac:dyDescent="0.35">
      <c r="O1957" s="18">
        <v>42342</v>
      </c>
      <c r="P1957">
        <v>1642.89</v>
      </c>
    </row>
    <row r="1958" spans="15:16" x14ac:dyDescent="0.35">
      <c r="O1958" s="18">
        <v>42345</v>
      </c>
      <c r="P1958">
        <v>1623.09</v>
      </c>
    </row>
    <row r="1959" spans="15:16" x14ac:dyDescent="0.35">
      <c r="O1959" s="18">
        <v>42346</v>
      </c>
      <c r="P1959">
        <v>1630.71</v>
      </c>
    </row>
    <row r="1960" spans="15:16" x14ac:dyDescent="0.35">
      <c r="O1960" s="18">
        <v>42347</v>
      </c>
      <c r="P1960">
        <v>1572.81</v>
      </c>
    </row>
    <row r="1961" spans="15:16" x14ac:dyDescent="0.35">
      <c r="O1961" s="18">
        <v>42348</v>
      </c>
      <c r="P1961">
        <v>1603.97</v>
      </c>
    </row>
    <row r="1962" spans="15:16" x14ac:dyDescent="0.35">
      <c r="O1962" s="18">
        <v>42349</v>
      </c>
      <c r="P1962">
        <v>1556.09</v>
      </c>
    </row>
    <row r="1963" spans="15:16" x14ac:dyDescent="0.35">
      <c r="O1963" s="18">
        <v>42352</v>
      </c>
      <c r="P1963">
        <v>1536.65</v>
      </c>
    </row>
    <row r="1964" spans="15:16" x14ac:dyDescent="0.35">
      <c r="O1964" s="18">
        <v>42353</v>
      </c>
      <c r="P1964">
        <v>1586.19</v>
      </c>
    </row>
    <row r="1965" spans="15:16" x14ac:dyDescent="0.35">
      <c r="O1965" s="18">
        <v>42354</v>
      </c>
      <c r="P1965">
        <v>1606.38</v>
      </c>
    </row>
    <row r="1966" spans="15:16" x14ac:dyDescent="0.35">
      <c r="O1966" s="18">
        <v>42355</v>
      </c>
      <c r="P1966">
        <v>1627.71</v>
      </c>
    </row>
    <row r="1967" spans="15:16" x14ac:dyDescent="0.35">
      <c r="O1967" s="18">
        <v>42356</v>
      </c>
      <c r="P1967">
        <v>1616.03</v>
      </c>
    </row>
    <row r="1968" spans="15:16" x14ac:dyDescent="0.35">
      <c r="O1968" s="18">
        <v>42359</v>
      </c>
      <c r="P1968">
        <v>1603.1</v>
      </c>
    </row>
    <row r="1969" spans="15:16" x14ac:dyDescent="0.35">
      <c r="O1969" s="18">
        <v>42360</v>
      </c>
      <c r="P1969">
        <v>1607.59</v>
      </c>
    </row>
    <row r="1970" spans="15:16" x14ac:dyDescent="0.35">
      <c r="O1970" s="18">
        <v>42361</v>
      </c>
      <c r="P1970">
        <v>1618.98</v>
      </c>
    </row>
    <row r="1971" spans="15:16" x14ac:dyDescent="0.35">
      <c r="O1971" s="18">
        <v>42362</v>
      </c>
      <c r="P1971">
        <v>1617.21</v>
      </c>
    </row>
    <row r="1972" spans="15:16" x14ac:dyDescent="0.35">
      <c r="O1972" s="18">
        <v>42366</v>
      </c>
      <c r="P1972">
        <v>1659.86</v>
      </c>
    </row>
    <row r="1973" spans="15:16" x14ac:dyDescent="0.35">
      <c r="O1973" s="18">
        <v>42367</v>
      </c>
      <c r="P1973">
        <v>1670.31</v>
      </c>
    </row>
    <row r="1974" spans="15:16" x14ac:dyDescent="0.35">
      <c r="O1974" s="18">
        <v>42368</v>
      </c>
      <c r="P1974">
        <v>1652.98</v>
      </c>
    </row>
    <row r="1975" spans="15:16" x14ac:dyDescent="0.35">
      <c r="O1975" s="18">
        <v>42369</v>
      </c>
      <c r="P1975">
        <v>1685.56</v>
      </c>
    </row>
    <row r="1976" spans="15:16" x14ac:dyDescent="0.35">
      <c r="O1976" s="18">
        <v>42370</v>
      </c>
      <c r="P1976">
        <v>1737.09</v>
      </c>
    </row>
    <row r="1977" spans="15:16" x14ac:dyDescent="0.35">
      <c r="O1977" s="18">
        <v>42373</v>
      </c>
      <c r="P1977">
        <v>1749.53</v>
      </c>
    </row>
    <row r="1978" spans="15:16" x14ac:dyDescent="0.35">
      <c r="O1978" s="18">
        <v>42374</v>
      </c>
      <c r="P1978">
        <v>1715.99</v>
      </c>
    </row>
    <row r="1979" spans="15:16" x14ac:dyDescent="0.35">
      <c r="O1979" s="18">
        <v>42375</v>
      </c>
      <c r="P1979">
        <v>1752.51</v>
      </c>
    </row>
    <row r="1980" spans="15:16" x14ac:dyDescent="0.35">
      <c r="O1980" s="18">
        <v>42376</v>
      </c>
      <c r="P1980">
        <v>1703.57</v>
      </c>
    </row>
    <row r="1981" spans="15:16" x14ac:dyDescent="0.35">
      <c r="O1981" s="18">
        <v>42377</v>
      </c>
      <c r="P1981">
        <v>1724.14</v>
      </c>
    </row>
    <row r="1982" spans="15:16" x14ac:dyDescent="0.35">
      <c r="O1982" s="18">
        <v>42380</v>
      </c>
      <c r="P1982">
        <v>1723.91</v>
      </c>
    </row>
    <row r="1983" spans="15:16" x14ac:dyDescent="0.35">
      <c r="O1983" s="18">
        <v>42381</v>
      </c>
      <c r="P1983">
        <v>1706.68</v>
      </c>
    </row>
    <row r="1984" spans="15:16" x14ac:dyDescent="0.35">
      <c r="O1984" s="18">
        <v>42382</v>
      </c>
      <c r="P1984">
        <v>1706.27</v>
      </c>
    </row>
    <row r="1985" spans="15:16" x14ac:dyDescent="0.35">
      <c r="O1985" s="18">
        <v>42383</v>
      </c>
      <c r="P1985">
        <v>1698.8</v>
      </c>
    </row>
    <row r="1986" spans="15:16" x14ac:dyDescent="0.35">
      <c r="O1986" s="18">
        <v>42384</v>
      </c>
      <c r="P1986">
        <v>1624.08</v>
      </c>
    </row>
    <row r="1987" spans="15:16" x14ac:dyDescent="0.35">
      <c r="O1987" s="18">
        <v>42387</v>
      </c>
      <c r="P1987">
        <v>1545.95</v>
      </c>
    </row>
    <row r="1988" spans="15:16" x14ac:dyDescent="0.35">
      <c r="O1988" s="18">
        <v>42388</v>
      </c>
      <c r="P1988">
        <v>1582.38</v>
      </c>
    </row>
    <row r="1989" spans="15:16" x14ac:dyDescent="0.35">
      <c r="O1989" s="18">
        <v>42389</v>
      </c>
      <c r="P1989">
        <v>1553.88</v>
      </c>
    </row>
    <row r="1990" spans="15:16" x14ac:dyDescent="0.35">
      <c r="O1990" s="18">
        <v>42390</v>
      </c>
      <c r="P1990">
        <v>1555.22</v>
      </c>
    </row>
    <row r="1991" spans="15:16" x14ac:dyDescent="0.35">
      <c r="O1991" s="18">
        <v>42391</v>
      </c>
      <c r="P1991">
        <v>1647.24</v>
      </c>
    </row>
    <row r="1992" spans="15:16" x14ac:dyDescent="0.35">
      <c r="O1992" s="18">
        <v>42394</v>
      </c>
      <c r="P1992">
        <v>1641.62</v>
      </c>
    </row>
    <row r="1993" spans="15:16" x14ac:dyDescent="0.35">
      <c r="O1993" s="18">
        <v>42396</v>
      </c>
      <c r="P1993">
        <v>1623.21</v>
      </c>
    </row>
    <row r="1994" spans="15:16" x14ac:dyDescent="0.35">
      <c r="O1994" s="18">
        <v>42397</v>
      </c>
      <c r="P1994">
        <v>1595.89</v>
      </c>
    </row>
    <row r="1995" spans="15:16" x14ac:dyDescent="0.35">
      <c r="O1995" s="18">
        <v>42398</v>
      </c>
      <c r="P1995">
        <v>1654.66</v>
      </c>
    </row>
    <row r="1996" spans="15:16" x14ac:dyDescent="0.35">
      <c r="O1996" s="18">
        <v>42401</v>
      </c>
      <c r="P1996">
        <v>1707.38</v>
      </c>
    </row>
    <row r="1997" spans="15:16" x14ac:dyDescent="0.35">
      <c r="O1997" s="18">
        <v>42402</v>
      </c>
      <c r="P1997">
        <v>1719.71</v>
      </c>
    </row>
    <row r="1998" spans="15:16" x14ac:dyDescent="0.35">
      <c r="O1998" s="18">
        <v>42403</v>
      </c>
      <c r="P1998">
        <v>1675.42</v>
      </c>
    </row>
    <row r="1999" spans="15:16" x14ac:dyDescent="0.35">
      <c r="O1999" s="18">
        <v>42404</v>
      </c>
      <c r="P1999">
        <v>1689.43</v>
      </c>
    </row>
    <row r="2000" spans="15:16" x14ac:dyDescent="0.35">
      <c r="O2000" s="18">
        <v>42405</v>
      </c>
      <c r="P2000">
        <v>1811.91</v>
      </c>
    </row>
    <row r="2001" spans="15:16" x14ac:dyDescent="0.35">
      <c r="O2001" s="18">
        <v>42408</v>
      </c>
      <c r="P2001">
        <v>1838.47</v>
      </c>
    </row>
    <row r="2002" spans="15:16" x14ac:dyDescent="0.35">
      <c r="O2002" s="18">
        <v>42409</v>
      </c>
      <c r="P2002">
        <v>1817.58</v>
      </c>
    </row>
    <row r="2003" spans="15:16" x14ac:dyDescent="0.35">
      <c r="O2003" s="18">
        <v>42410</v>
      </c>
      <c r="P2003">
        <v>1790.99</v>
      </c>
    </row>
    <row r="2004" spans="15:16" x14ac:dyDescent="0.35">
      <c r="O2004" s="18">
        <v>42411</v>
      </c>
      <c r="P2004">
        <v>1761.93</v>
      </c>
    </row>
    <row r="2005" spans="15:16" x14ac:dyDescent="0.35">
      <c r="O2005" s="18">
        <v>42412</v>
      </c>
      <c r="P2005">
        <v>1799.37</v>
      </c>
    </row>
    <row r="2006" spans="15:16" x14ac:dyDescent="0.35">
      <c r="O2006" s="18">
        <v>42415</v>
      </c>
      <c r="P2006">
        <v>1877.22</v>
      </c>
    </row>
    <row r="2007" spans="15:16" x14ac:dyDescent="0.35">
      <c r="O2007" s="18">
        <v>42416</v>
      </c>
      <c r="P2007">
        <v>1869.03</v>
      </c>
    </row>
    <row r="2008" spans="15:16" x14ac:dyDescent="0.35">
      <c r="O2008" s="18">
        <v>42417</v>
      </c>
      <c r="P2008">
        <v>1880.25</v>
      </c>
    </row>
    <row r="2009" spans="15:16" x14ac:dyDescent="0.35">
      <c r="O2009" s="18">
        <v>42418</v>
      </c>
      <c r="P2009">
        <v>1869.46</v>
      </c>
    </row>
    <row r="2010" spans="15:16" x14ac:dyDescent="0.35">
      <c r="O2010" s="18">
        <v>42419</v>
      </c>
      <c r="P2010">
        <v>1862.64</v>
      </c>
    </row>
    <row r="2011" spans="15:16" x14ac:dyDescent="0.35">
      <c r="O2011" s="18">
        <v>42422</v>
      </c>
      <c r="P2011">
        <v>1891.87</v>
      </c>
    </row>
    <row r="2012" spans="15:16" x14ac:dyDescent="0.35">
      <c r="O2012" s="18">
        <v>42423</v>
      </c>
      <c r="P2012">
        <v>1900.38</v>
      </c>
    </row>
    <row r="2013" spans="15:16" x14ac:dyDescent="0.35">
      <c r="O2013" s="18">
        <v>42424</v>
      </c>
      <c r="P2013">
        <v>1909.46</v>
      </c>
    </row>
    <row r="2014" spans="15:16" x14ac:dyDescent="0.35">
      <c r="O2014" s="18">
        <v>42425</v>
      </c>
      <c r="P2014">
        <v>1888.88</v>
      </c>
    </row>
    <row r="2015" spans="15:16" x14ac:dyDescent="0.35">
      <c r="O2015" s="18">
        <v>42426</v>
      </c>
      <c r="P2015">
        <v>1888.56</v>
      </c>
    </row>
    <row r="2016" spans="15:16" x14ac:dyDescent="0.35">
      <c r="O2016" s="18">
        <v>42429</v>
      </c>
      <c r="P2016">
        <v>1890.06</v>
      </c>
    </row>
    <row r="2017" spans="15:16" x14ac:dyDescent="0.35">
      <c r="O2017" s="18">
        <v>42430</v>
      </c>
      <c r="P2017">
        <v>1918.43</v>
      </c>
    </row>
    <row r="2018" spans="15:16" x14ac:dyDescent="0.35">
      <c r="O2018" s="18">
        <v>42431</v>
      </c>
      <c r="P2018">
        <v>1932.19</v>
      </c>
    </row>
    <row r="2019" spans="15:16" x14ac:dyDescent="0.35">
      <c r="O2019" s="18">
        <v>42432</v>
      </c>
      <c r="P2019">
        <v>1932.84</v>
      </c>
    </row>
    <row r="2020" spans="15:16" x14ac:dyDescent="0.35">
      <c r="O2020" s="18">
        <v>42433</v>
      </c>
      <c r="P2020">
        <v>1925.85</v>
      </c>
    </row>
    <row r="2021" spans="15:16" x14ac:dyDescent="0.35">
      <c r="O2021" s="18">
        <v>42437</v>
      </c>
      <c r="P2021">
        <v>1980.2</v>
      </c>
    </row>
    <row r="2022" spans="15:16" x14ac:dyDescent="0.35">
      <c r="O2022" s="18">
        <v>42438</v>
      </c>
      <c r="P2022">
        <v>1993.38</v>
      </c>
    </row>
    <row r="2023" spans="15:16" x14ac:dyDescent="0.35">
      <c r="O2023" s="18">
        <v>42439</v>
      </c>
      <c r="P2023">
        <v>1979.99</v>
      </c>
    </row>
    <row r="2024" spans="15:16" x14ac:dyDescent="0.35">
      <c r="O2024" s="18">
        <v>42440</v>
      </c>
      <c r="P2024">
        <v>2000.4</v>
      </c>
    </row>
    <row r="2025" spans="15:16" x14ac:dyDescent="0.35">
      <c r="O2025" s="18">
        <v>42443</v>
      </c>
      <c r="P2025">
        <v>1984.98</v>
      </c>
    </row>
    <row r="2026" spans="15:16" x14ac:dyDescent="0.35">
      <c r="O2026" s="18">
        <v>42444</v>
      </c>
      <c r="P2026">
        <v>1954.83</v>
      </c>
    </row>
    <row r="2027" spans="15:16" x14ac:dyDescent="0.35">
      <c r="O2027" s="18">
        <v>42445</v>
      </c>
      <c r="P2027">
        <v>1869.35</v>
      </c>
    </row>
    <row r="2028" spans="15:16" x14ac:dyDescent="0.35">
      <c r="O2028" s="18">
        <v>42446</v>
      </c>
      <c r="P2028">
        <v>1803.62</v>
      </c>
    </row>
    <row r="2029" spans="15:16" x14ac:dyDescent="0.35">
      <c r="O2029" s="18">
        <v>42447</v>
      </c>
      <c r="P2029">
        <v>1841.35</v>
      </c>
    </row>
    <row r="2030" spans="15:16" x14ac:dyDescent="0.35">
      <c r="O2030" s="18">
        <v>42450</v>
      </c>
      <c r="P2030">
        <v>1835.63</v>
      </c>
    </row>
    <row r="2031" spans="15:16" x14ac:dyDescent="0.35">
      <c r="O2031" s="18">
        <v>42451</v>
      </c>
      <c r="P2031">
        <v>1823.67</v>
      </c>
    </row>
    <row r="2032" spans="15:16" x14ac:dyDescent="0.35">
      <c r="O2032" s="18">
        <v>42452</v>
      </c>
      <c r="P2032">
        <v>1855.4</v>
      </c>
    </row>
    <row r="2033" spans="15:16" x14ac:dyDescent="0.35">
      <c r="O2033" s="18">
        <v>42457</v>
      </c>
      <c r="P2033">
        <v>1841.03</v>
      </c>
    </row>
    <row r="2034" spans="15:16" x14ac:dyDescent="0.35">
      <c r="O2034" s="18">
        <v>42458</v>
      </c>
      <c r="P2034">
        <v>1863.35</v>
      </c>
    </row>
    <row r="2035" spans="15:16" x14ac:dyDescent="0.35">
      <c r="O2035" s="18">
        <v>42459</v>
      </c>
      <c r="P2035">
        <v>1873.68</v>
      </c>
    </row>
    <row r="2036" spans="15:16" x14ac:dyDescent="0.35">
      <c r="O2036" s="18">
        <v>42460</v>
      </c>
      <c r="P2036">
        <v>1918.06</v>
      </c>
    </row>
    <row r="2037" spans="15:16" x14ac:dyDescent="0.35">
      <c r="O2037" s="18">
        <v>42461</v>
      </c>
      <c r="P2037">
        <v>1925.4</v>
      </c>
    </row>
    <row r="2038" spans="15:16" x14ac:dyDescent="0.35">
      <c r="O2038" s="18">
        <v>42464</v>
      </c>
      <c r="P2038">
        <v>1950.39</v>
      </c>
    </row>
    <row r="2039" spans="15:16" x14ac:dyDescent="0.35">
      <c r="O2039" s="18">
        <v>42465</v>
      </c>
      <c r="P2039">
        <v>1873.55</v>
      </c>
    </row>
    <row r="2040" spans="15:16" x14ac:dyDescent="0.35">
      <c r="O2040" s="18">
        <v>42466</v>
      </c>
      <c r="P2040">
        <v>1917.98</v>
      </c>
    </row>
    <row r="2041" spans="15:16" x14ac:dyDescent="0.35">
      <c r="O2041" s="18">
        <v>42467</v>
      </c>
      <c r="P2041">
        <v>1888.41</v>
      </c>
    </row>
    <row r="2042" spans="15:16" x14ac:dyDescent="0.35">
      <c r="O2042" s="18">
        <v>42468</v>
      </c>
      <c r="P2042">
        <v>1918.12</v>
      </c>
    </row>
    <row r="2043" spans="15:16" x14ac:dyDescent="0.35">
      <c r="O2043" s="18">
        <v>42471</v>
      </c>
      <c r="P2043">
        <v>1938.89</v>
      </c>
    </row>
    <row r="2044" spans="15:16" x14ac:dyDescent="0.35">
      <c r="O2044" s="18">
        <v>42472</v>
      </c>
      <c r="P2044">
        <v>1955.79</v>
      </c>
    </row>
    <row r="2045" spans="15:16" x14ac:dyDescent="0.35">
      <c r="O2045" s="18">
        <v>42473</v>
      </c>
      <c r="P2045">
        <v>1989.63</v>
      </c>
    </row>
    <row r="2046" spans="15:16" x14ac:dyDescent="0.35">
      <c r="O2046" s="18">
        <v>42478</v>
      </c>
      <c r="P2046">
        <v>2026.84</v>
      </c>
    </row>
    <row r="2047" spans="15:16" x14ac:dyDescent="0.35">
      <c r="O2047" s="18">
        <v>42480</v>
      </c>
      <c r="P2047">
        <v>2051.12</v>
      </c>
    </row>
    <row r="2048" spans="15:16" x14ac:dyDescent="0.35">
      <c r="O2048" s="18">
        <v>42481</v>
      </c>
      <c r="P2048">
        <v>2032.88</v>
      </c>
    </row>
    <row r="2049" spans="15:16" x14ac:dyDescent="0.35">
      <c r="O2049" s="18">
        <v>42482</v>
      </c>
      <c r="P2049">
        <v>2016.99</v>
      </c>
    </row>
    <row r="2050" spans="15:16" x14ac:dyDescent="0.35">
      <c r="O2050" s="18">
        <v>42485</v>
      </c>
      <c r="P2050">
        <v>1994.54</v>
      </c>
    </row>
    <row r="2051" spans="15:16" x14ac:dyDescent="0.35">
      <c r="O2051" s="18">
        <v>42486</v>
      </c>
      <c r="P2051">
        <v>2014.84</v>
      </c>
    </row>
    <row r="2052" spans="15:16" x14ac:dyDescent="0.35">
      <c r="O2052" s="18">
        <v>42487</v>
      </c>
      <c r="P2052">
        <v>2011.43</v>
      </c>
    </row>
    <row r="2053" spans="15:16" x14ac:dyDescent="0.35">
      <c r="O2053" s="18">
        <v>42488</v>
      </c>
      <c r="P2053">
        <v>2029.3</v>
      </c>
    </row>
    <row r="2054" spans="15:16" x14ac:dyDescent="0.35">
      <c r="O2054" s="18">
        <v>42489</v>
      </c>
      <c r="P2054">
        <v>2003.5</v>
      </c>
    </row>
    <row r="2055" spans="15:16" x14ac:dyDescent="0.35">
      <c r="O2055" s="18">
        <v>42492</v>
      </c>
      <c r="P2055">
        <v>1985.43</v>
      </c>
    </row>
    <row r="2056" spans="15:16" x14ac:dyDescent="0.35">
      <c r="O2056" s="18">
        <v>42493</v>
      </c>
      <c r="P2056">
        <v>1998.15</v>
      </c>
    </row>
    <row r="2057" spans="15:16" x14ac:dyDescent="0.35">
      <c r="O2057" s="18">
        <v>42494</v>
      </c>
      <c r="P2057">
        <v>1976.09</v>
      </c>
    </row>
    <row r="2058" spans="15:16" x14ac:dyDescent="0.35">
      <c r="O2058" s="18">
        <v>42495</v>
      </c>
      <c r="P2058">
        <v>1968.66</v>
      </c>
    </row>
    <row r="2059" spans="15:16" x14ac:dyDescent="0.35">
      <c r="O2059" s="18">
        <v>42496</v>
      </c>
      <c r="P2059">
        <v>2021.59</v>
      </c>
    </row>
    <row r="2060" spans="15:16" x14ac:dyDescent="0.35">
      <c r="O2060" s="18">
        <v>42499</v>
      </c>
      <c r="P2060">
        <v>2048.3200000000002</v>
      </c>
    </row>
    <row r="2061" spans="15:16" x14ac:dyDescent="0.35">
      <c r="O2061" s="18">
        <v>42500</v>
      </c>
      <c r="P2061">
        <v>2023.92</v>
      </c>
    </row>
    <row r="2062" spans="15:16" x14ac:dyDescent="0.35">
      <c r="O2062" s="18">
        <v>42501</v>
      </c>
      <c r="P2062">
        <v>1997.68</v>
      </c>
    </row>
    <row r="2063" spans="15:16" x14ac:dyDescent="0.35">
      <c r="O2063" s="18">
        <v>42502</v>
      </c>
      <c r="P2063">
        <v>1975.31</v>
      </c>
    </row>
    <row r="2064" spans="15:16" x14ac:dyDescent="0.35">
      <c r="O2064" s="18">
        <v>42503</v>
      </c>
      <c r="P2064">
        <v>1899.28</v>
      </c>
    </row>
    <row r="2065" spans="15:16" x14ac:dyDescent="0.35">
      <c r="O2065" s="18">
        <v>42506</v>
      </c>
      <c r="P2065">
        <v>1906.32</v>
      </c>
    </row>
    <row r="2066" spans="15:16" x14ac:dyDescent="0.35">
      <c r="O2066" s="18">
        <v>42507</v>
      </c>
      <c r="P2066">
        <v>1860.16</v>
      </c>
    </row>
    <row r="2067" spans="15:16" x14ac:dyDescent="0.35">
      <c r="O2067" s="18">
        <v>42508</v>
      </c>
      <c r="P2067">
        <v>1872</v>
      </c>
    </row>
    <row r="2068" spans="15:16" x14ac:dyDescent="0.35">
      <c r="O2068" s="18">
        <v>42509</v>
      </c>
      <c r="P2068">
        <v>1820.07</v>
      </c>
    </row>
    <row r="2069" spans="15:16" x14ac:dyDescent="0.35">
      <c r="O2069" s="18">
        <v>42510</v>
      </c>
      <c r="P2069">
        <v>1828.07</v>
      </c>
    </row>
    <row r="2070" spans="15:16" x14ac:dyDescent="0.35">
      <c r="O2070" s="18">
        <v>42513</v>
      </c>
      <c r="P2070">
        <v>1826.81</v>
      </c>
    </row>
    <row r="2071" spans="15:16" x14ac:dyDescent="0.35">
      <c r="O2071" s="18">
        <v>42514</v>
      </c>
      <c r="P2071">
        <v>1817.73</v>
      </c>
    </row>
    <row r="2072" spans="15:16" x14ac:dyDescent="0.35">
      <c r="O2072" s="18">
        <v>42515</v>
      </c>
      <c r="P2072">
        <v>1853.07</v>
      </c>
    </row>
    <row r="2073" spans="15:16" x14ac:dyDescent="0.35">
      <c r="O2073" s="18">
        <v>42516</v>
      </c>
      <c r="P2073">
        <v>1839.43</v>
      </c>
    </row>
    <row r="2074" spans="15:16" x14ac:dyDescent="0.35">
      <c r="O2074" s="18">
        <v>42517</v>
      </c>
      <c r="P2074">
        <v>1874.23</v>
      </c>
    </row>
    <row r="2075" spans="15:16" x14ac:dyDescent="0.35">
      <c r="O2075" s="18">
        <v>42520</v>
      </c>
      <c r="P2075">
        <v>1874.17</v>
      </c>
    </row>
    <row r="2076" spans="15:16" x14ac:dyDescent="0.35">
      <c r="O2076" s="18">
        <v>42521</v>
      </c>
      <c r="P2076">
        <v>1848.59</v>
      </c>
    </row>
    <row r="2077" spans="15:16" x14ac:dyDescent="0.35">
      <c r="O2077" s="18">
        <v>42522</v>
      </c>
      <c r="P2077">
        <v>1871.33</v>
      </c>
    </row>
    <row r="2078" spans="15:16" x14ac:dyDescent="0.35">
      <c r="O2078" s="18">
        <v>42523</v>
      </c>
      <c r="P2078">
        <v>1880.68</v>
      </c>
    </row>
    <row r="2079" spans="15:16" x14ac:dyDescent="0.35">
      <c r="O2079" s="18">
        <v>42524</v>
      </c>
      <c r="P2079">
        <v>1878.7</v>
      </c>
    </row>
    <row r="2080" spans="15:16" x14ac:dyDescent="0.35">
      <c r="O2080" s="18">
        <v>42527</v>
      </c>
      <c r="P2080">
        <v>1899.49</v>
      </c>
    </row>
    <row r="2081" spans="15:16" x14ac:dyDescent="0.35">
      <c r="O2081" s="18">
        <v>42528</v>
      </c>
      <c r="P2081">
        <v>1882.81</v>
      </c>
    </row>
    <row r="2082" spans="15:16" x14ac:dyDescent="0.35">
      <c r="O2082" s="18">
        <v>42529</v>
      </c>
      <c r="P2082">
        <v>1882.45</v>
      </c>
    </row>
    <row r="2083" spans="15:16" x14ac:dyDescent="0.35">
      <c r="O2083" s="18">
        <v>42530</v>
      </c>
      <c r="P2083">
        <v>1858.4</v>
      </c>
    </row>
    <row r="2084" spans="15:16" x14ac:dyDescent="0.35">
      <c r="O2084" s="18">
        <v>42531</v>
      </c>
      <c r="P2084">
        <v>1862.02</v>
      </c>
    </row>
    <row r="2085" spans="15:16" x14ac:dyDescent="0.35">
      <c r="O2085" s="18">
        <v>42534</v>
      </c>
      <c r="P2085">
        <v>1844.77</v>
      </c>
    </row>
    <row r="2086" spans="15:16" x14ac:dyDescent="0.35">
      <c r="O2086" s="18">
        <v>42535</v>
      </c>
      <c r="P2086">
        <v>1875.37</v>
      </c>
    </row>
    <row r="2087" spans="15:16" x14ac:dyDescent="0.35">
      <c r="O2087" s="18">
        <v>42536</v>
      </c>
      <c r="P2087">
        <v>1863.72</v>
      </c>
    </row>
    <row r="2088" spans="15:16" x14ac:dyDescent="0.35">
      <c r="O2088" s="18">
        <v>42537</v>
      </c>
      <c r="P2088">
        <v>1882.77</v>
      </c>
    </row>
    <row r="2089" spans="15:16" x14ac:dyDescent="0.35">
      <c r="O2089" s="18">
        <v>42538</v>
      </c>
      <c r="P2089">
        <v>1877.9</v>
      </c>
    </row>
    <row r="2090" spans="15:16" x14ac:dyDescent="0.35">
      <c r="O2090" s="18">
        <v>42541</v>
      </c>
      <c r="P2090">
        <v>1866.06</v>
      </c>
    </row>
    <row r="2091" spans="15:16" x14ac:dyDescent="0.35">
      <c r="O2091" s="18">
        <v>42542</v>
      </c>
      <c r="P2091">
        <v>1871.33</v>
      </c>
    </row>
    <row r="2092" spans="15:16" x14ac:dyDescent="0.35">
      <c r="O2092" s="18">
        <v>42543</v>
      </c>
      <c r="P2092">
        <v>1878.76</v>
      </c>
    </row>
    <row r="2093" spans="15:16" x14ac:dyDescent="0.35">
      <c r="O2093" s="18">
        <v>42544</v>
      </c>
      <c r="P2093">
        <v>1865.94</v>
      </c>
    </row>
    <row r="2094" spans="15:16" x14ac:dyDescent="0.35">
      <c r="O2094" s="18">
        <v>42545</v>
      </c>
      <c r="P2094">
        <v>1866.22</v>
      </c>
    </row>
    <row r="2095" spans="15:16" x14ac:dyDescent="0.35">
      <c r="O2095" s="18">
        <v>42548</v>
      </c>
      <c r="P2095">
        <v>1871.07</v>
      </c>
    </row>
    <row r="2096" spans="15:16" x14ac:dyDescent="0.35">
      <c r="O2096" s="18">
        <v>42549</v>
      </c>
      <c r="P2096">
        <v>1916.63</v>
      </c>
    </row>
    <row r="2097" spans="15:16" x14ac:dyDescent="0.35">
      <c r="O2097" s="18">
        <v>42550</v>
      </c>
      <c r="P2097">
        <v>1911.62</v>
      </c>
    </row>
    <row r="2098" spans="15:16" x14ac:dyDescent="0.35">
      <c r="O2098" s="18">
        <v>42551</v>
      </c>
      <c r="P2098">
        <v>1922.24</v>
      </c>
    </row>
    <row r="2099" spans="15:16" x14ac:dyDescent="0.35">
      <c r="O2099" s="18">
        <v>42552</v>
      </c>
      <c r="P2099">
        <v>1915.51</v>
      </c>
    </row>
    <row r="2100" spans="15:16" x14ac:dyDescent="0.35">
      <c r="O2100" s="18">
        <v>42555</v>
      </c>
      <c r="P2100">
        <v>1949.22</v>
      </c>
    </row>
    <row r="2101" spans="15:16" x14ac:dyDescent="0.35">
      <c r="O2101" s="18">
        <v>42556</v>
      </c>
      <c r="P2101">
        <v>1943.14</v>
      </c>
    </row>
    <row r="2102" spans="15:16" x14ac:dyDescent="0.35">
      <c r="O2102" s="18">
        <v>42558</v>
      </c>
      <c r="P2102">
        <v>1959.31</v>
      </c>
    </row>
    <row r="2103" spans="15:16" x14ac:dyDescent="0.35">
      <c r="O2103" s="18">
        <v>42559</v>
      </c>
      <c r="P2103">
        <v>1945.16</v>
      </c>
    </row>
    <row r="2104" spans="15:16" x14ac:dyDescent="0.35">
      <c r="O2104" s="18">
        <v>42562</v>
      </c>
      <c r="P2104">
        <v>1954.61</v>
      </c>
    </row>
    <row r="2105" spans="15:16" x14ac:dyDescent="0.35">
      <c r="O2105" s="18">
        <v>42563</v>
      </c>
      <c r="P2105">
        <v>1967.71</v>
      </c>
    </row>
    <row r="2106" spans="15:16" x14ac:dyDescent="0.35">
      <c r="O2106" s="18">
        <v>42564</v>
      </c>
      <c r="P2106">
        <v>1953.65</v>
      </c>
    </row>
    <row r="2107" spans="15:16" x14ac:dyDescent="0.35">
      <c r="O2107" s="18">
        <v>42565</v>
      </c>
      <c r="P2107">
        <v>1951.71</v>
      </c>
    </row>
    <row r="2108" spans="15:16" x14ac:dyDescent="0.35">
      <c r="O2108" s="18">
        <v>42566</v>
      </c>
      <c r="P2108">
        <v>1978.11</v>
      </c>
    </row>
    <row r="2109" spans="15:16" x14ac:dyDescent="0.35">
      <c r="O2109" s="18">
        <v>42569</v>
      </c>
      <c r="P2109">
        <v>1995.42</v>
      </c>
    </row>
    <row r="2110" spans="15:16" x14ac:dyDescent="0.35">
      <c r="O2110" s="18">
        <v>42570</v>
      </c>
      <c r="P2110">
        <v>1970.99</v>
      </c>
    </row>
    <row r="2111" spans="15:16" x14ac:dyDescent="0.35">
      <c r="O2111" s="18">
        <v>42571</v>
      </c>
      <c r="P2111">
        <v>1984.98</v>
      </c>
    </row>
    <row r="2112" spans="15:16" x14ac:dyDescent="0.35">
      <c r="O2112" s="18">
        <v>42572</v>
      </c>
      <c r="P2112">
        <v>1975.5</v>
      </c>
    </row>
    <row r="2113" spans="15:16" x14ac:dyDescent="0.35">
      <c r="O2113" s="18">
        <v>42573</v>
      </c>
      <c r="P2113">
        <v>1981.25</v>
      </c>
    </row>
    <row r="2114" spans="15:16" x14ac:dyDescent="0.35">
      <c r="O2114" s="18">
        <v>42576</v>
      </c>
      <c r="P2114">
        <v>1997.2</v>
      </c>
    </row>
    <row r="2115" spans="15:16" x14ac:dyDescent="0.35">
      <c r="O2115" s="18">
        <v>42577</v>
      </c>
      <c r="P2115">
        <v>2011.22</v>
      </c>
    </row>
    <row r="2116" spans="15:16" x14ac:dyDescent="0.35">
      <c r="O2116" s="18">
        <v>42578</v>
      </c>
      <c r="P2116">
        <v>2033.97</v>
      </c>
    </row>
    <row r="2117" spans="15:16" x14ac:dyDescent="0.35">
      <c r="O2117" s="18">
        <v>42579</v>
      </c>
      <c r="P2117">
        <v>2109.98</v>
      </c>
    </row>
    <row r="2118" spans="15:16" x14ac:dyDescent="0.35">
      <c r="O2118" s="18">
        <v>42580</v>
      </c>
      <c r="P2118">
        <v>2246.09</v>
      </c>
    </row>
    <row r="2119" spans="15:16" x14ac:dyDescent="0.35">
      <c r="O2119" s="18">
        <v>42583</v>
      </c>
      <c r="P2119">
        <v>2232.52</v>
      </c>
    </row>
    <row r="2120" spans="15:16" x14ac:dyDescent="0.35">
      <c r="O2120" s="18">
        <v>42584</v>
      </c>
      <c r="P2120">
        <v>2184.64</v>
      </c>
    </row>
    <row r="2121" spans="15:16" x14ac:dyDescent="0.35">
      <c r="O2121" s="18">
        <v>42585</v>
      </c>
      <c r="P2121">
        <v>2136.84</v>
      </c>
    </row>
    <row r="2122" spans="15:16" x14ac:dyDescent="0.35">
      <c r="O2122" s="18">
        <v>42586</v>
      </c>
      <c r="P2122">
        <v>2140.4</v>
      </c>
    </row>
    <row r="2123" spans="15:16" x14ac:dyDescent="0.35">
      <c r="O2123" s="18">
        <v>42587</v>
      </c>
      <c r="P2123">
        <v>2222.3200000000002</v>
      </c>
    </row>
    <row r="2124" spans="15:16" x14ac:dyDescent="0.35">
      <c r="O2124" s="18">
        <v>42590</v>
      </c>
      <c r="P2124">
        <v>2243.16</v>
      </c>
    </row>
    <row r="2125" spans="15:16" x14ac:dyDescent="0.35">
      <c r="O2125" s="18">
        <v>42591</v>
      </c>
      <c r="P2125">
        <v>2208.2399999999998</v>
      </c>
    </row>
    <row r="2126" spans="15:16" x14ac:dyDescent="0.35">
      <c r="O2126" s="18">
        <v>42592</v>
      </c>
      <c r="P2126">
        <v>2173.9699999999998</v>
      </c>
    </row>
    <row r="2127" spans="15:16" x14ac:dyDescent="0.35">
      <c r="O2127" s="18">
        <v>42593</v>
      </c>
      <c r="P2127">
        <v>2226.83</v>
      </c>
    </row>
    <row r="2128" spans="15:16" x14ac:dyDescent="0.35">
      <c r="O2128" s="18">
        <v>42594</v>
      </c>
      <c r="P2128">
        <v>2232.16</v>
      </c>
    </row>
    <row r="2129" spans="15:16" x14ac:dyDescent="0.35">
      <c r="O2129" s="18">
        <v>42598</v>
      </c>
      <c r="P2129">
        <v>2246.16</v>
      </c>
    </row>
    <row r="2130" spans="15:16" x14ac:dyDescent="0.35">
      <c r="O2130" s="18">
        <v>42599</v>
      </c>
      <c r="P2130">
        <v>2234.8000000000002</v>
      </c>
    </row>
    <row r="2131" spans="15:16" x14ac:dyDescent="0.35">
      <c r="O2131" s="18">
        <v>42600</v>
      </c>
      <c r="P2131">
        <v>2217.48</v>
      </c>
    </row>
    <row r="2132" spans="15:16" x14ac:dyDescent="0.35">
      <c r="O2132" s="18">
        <v>42601</v>
      </c>
      <c r="P2132">
        <v>2177.73</v>
      </c>
    </row>
    <row r="2133" spans="15:16" x14ac:dyDescent="0.35">
      <c r="O2133" s="18">
        <v>42604</v>
      </c>
      <c r="P2133">
        <v>2179.5</v>
      </c>
    </row>
    <row r="2134" spans="15:16" x14ac:dyDescent="0.35">
      <c r="O2134" s="18">
        <v>42605</v>
      </c>
      <c r="P2134">
        <v>2200.9899999999998</v>
      </c>
    </row>
    <row r="2135" spans="15:16" x14ac:dyDescent="0.35">
      <c r="O2135" s="18">
        <v>42606</v>
      </c>
      <c r="P2135">
        <v>2213.2199999999998</v>
      </c>
    </row>
    <row r="2136" spans="15:16" x14ac:dyDescent="0.35">
      <c r="O2136" s="18">
        <v>42607</v>
      </c>
      <c r="P2136">
        <v>2209.06</v>
      </c>
    </row>
    <row r="2137" spans="15:16" x14ac:dyDescent="0.35">
      <c r="O2137" s="18">
        <v>42608</v>
      </c>
      <c r="P2137">
        <v>2233.1</v>
      </c>
    </row>
    <row r="2138" spans="15:16" x14ac:dyDescent="0.35">
      <c r="O2138" s="18">
        <v>42611</v>
      </c>
      <c r="P2138">
        <v>2230.8000000000002</v>
      </c>
    </row>
    <row r="2139" spans="15:16" x14ac:dyDescent="0.35">
      <c r="O2139" s="18">
        <v>42612</v>
      </c>
      <c r="P2139">
        <v>2304.31</v>
      </c>
    </row>
    <row r="2140" spans="15:16" x14ac:dyDescent="0.35">
      <c r="O2140" s="18">
        <v>42613</v>
      </c>
      <c r="P2140">
        <v>2275.09</v>
      </c>
    </row>
    <row r="2141" spans="15:16" x14ac:dyDescent="0.35">
      <c r="O2141" s="18">
        <v>42614</v>
      </c>
      <c r="P2141">
        <v>2277.4299999999998</v>
      </c>
    </row>
    <row r="2142" spans="15:16" x14ac:dyDescent="0.35">
      <c r="O2142" s="18">
        <v>42615</v>
      </c>
      <c r="P2142">
        <v>2281.6999999999998</v>
      </c>
    </row>
    <row r="2143" spans="15:16" x14ac:dyDescent="0.35">
      <c r="O2143" s="18">
        <v>42619</v>
      </c>
      <c r="P2143">
        <v>2294.83</v>
      </c>
    </row>
    <row r="2144" spans="15:16" x14ac:dyDescent="0.35">
      <c r="O2144" s="18">
        <v>42620</v>
      </c>
      <c r="P2144">
        <v>2297.2800000000002</v>
      </c>
    </row>
    <row r="2145" spans="15:16" x14ac:dyDescent="0.35">
      <c r="O2145" s="18">
        <v>42621</v>
      </c>
      <c r="P2145">
        <v>2341.91</v>
      </c>
    </row>
    <row r="2146" spans="15:16" x14ac:dyDescent="0.35">
      <c r="O2146" s="18">
        <v>42622</v>
      </c>
      <c r="P2146">
        <v>2292.5100000000002</v>
      </c>
    </row>
    <row r="2147" spans="15:16" x14ac:dyDescent="0.35">
      <c r="O2147" s="18">
        <v>42625</v>
      </c>
      <c r="P2147">
        <v>2274.14</v>
      </c>
    </row>
    <row r="2148" spans="15:16" x14ac:dyDescent="0.35">
      <c r="O2148" s="18">
        <v>42627</v>
      </c>
      <c r="P2148">
        <v>2259.8200000000002</v>
      </c>
    </row>
    <row r="2149" spans="15:16" x14ac:dyDescent="0.35">
      <c r="O2149" s="18">
        <v>42628</v>
      </c>
      <c r="P2149">
        <v>2244.0100000000002</v>
      </c>
    </row>
    <row r="2150" spans="15:16" x14ac:dyDescent="0.35">
      <c r="O2150" s="18">
        <v>42629</v>
      </c>
      <c r="P2150">
        <v>2313.5300000000002</v>
      </c>
    </row>
    <row r="2151" spans="15:16" x14ac:dyDescent="0.35">
      <c r="O2151" s="18">
        <v>42632</v>
      </c>
      <c r="P2151">
        <v>2312.9299999999998</v>
      </c>
    </row>
    <row r="2152" spans="15:16" x14ac:dyDescent="0.35">
      <c r="O2152" s="18">
        <v>42633</v>
      </c>
      <c r="P2152">
        <v>2342.7800000000002</v>
      </c>
    </row>
    <row r="2153" spans="15:16" x14ac:dyDescent="0.35">
      <c r="O2153" s="18">
        <v>42634</v>
      </c>
      <c r="P2153">
        <v>2419.86</v>
      </c>
    </row>
    <row r="2154" spans="15:16" x14ac:dyDescent="0.35">
      <c r="O2154" s="18">
        <v>42635</v>
      </c>
      <c r="P2154">
        <v>2480.89</v>
      </c>
    </row>
    <row r="2155" spans="15:16" x14ac:dyDescent="0.35">
      <c r="O2155" s="18">
        <v>42636</v>
      </c>
      <c r="P2155">
        <v>2485.3200000000002</v>
      </c>
    </row>
    <row r="2156" spans="15:16" x14ac:dyDescent="0.35">
      <c r="O2156" s="18">
        <v>42639</v>
      </c>
      <c r="P2156">
        <v>2469.38</v>
      </c>
    </row>
    <row r="2157" spans="15:16" x14ac:dyDescent="0.35">
      <c r="O2157" s="18">
        <v>42640</v>
      </c>
      <c r="P2157">
        <v>2464.3200000000002</v>
      </c>
    </row>
    <row r="2158" spans="15:16" x14ac:dyDescent="0.35">
      <c r="O2158" s="18">
        <v>42641</v>
      </c>
      <c r="P2158">
        <v>2578.66</v>
      </c>
    </row>
    <row r="2159" spans="15:16" x14ac:dyDescent="0.35">
      <c r="O2159" s="18">
        <v>42642</v>
      </c>
      <c r="P2159">
        <v>2491.84</v>
      </c>
    </row>
    <row r="2160" spans="15:16" x14ac:dyDescent="0.35">
      <c r="O2160" s="18">
        <v>42643</v>
      </c>
      <c r="P2160">
        <v>2482.7800000000002</v>
      </c>
    </row>
    <row r="2161" spans="15:16" x14ac:dyDescent="0.35">
      <c r="O2161" s="18">
        <v>42646</v>
      </c>
      <c r="P2161">
        <v>2579.62</v>
      </c>
    </row>
    <row r="2162" spans="15:16" x14ac:dyDescent="0.35">
      <c r="O2162" s="18">
        <v>42647</v>
      </c>
      <c r="P2162">
        <v>2584.2399999999998</v>
      </c>
    </row>
    <row r="2163" spans="15:16" x14ac:dyDescent="0.35">
      <c r="O2163" s="18">
        <v>42648</v>
      </c>
      <c r="P2163">
        <v>2628.14</v>
      </c>
    </row>
    <row r="2164" spans="15:16" x14ac:dyDescent="0.35">
      <c r="O2164" s="18">
        <v>42649</v>
      </c>
      <c r="P2164">
        <v>2624.09</v>
      </c>
    </row>
    <row r="2165" spans="15:16" x14ac:dyDescent="0.35">
      <c r="O2165" s="18">
        <v>42650</v>
      </c>
      <c r="P2165">
        <v>2581.0500000000002</v>
      </c>
    </row>
    <row r="2166" spans="15:16" x14ac:dyDescent="0.35">
      <c r="O2166" s="18">
        <v>42653</v>
      </c>
      <c r="P2166">
        <v>2580.46</v>
      </c>
    </row>
    <row r="2167" spans="15:16" x14ac:dyDescent="0.35">
      <c r="O2167" s="18">
        <v>42656</v>
      </c>
      <c r="P2167">
        <v>2580.3200000000002</v>
      </c>
    </row>
    <row r="2168" spans="15:16" x14ac:dyDescent="0.35">
      <c r="O2168" s="18">
        <v>42657</v>
      </c>
      <c r="P2168">
        <v>2540.0100000000002</v>
      </c>
    </row>
    <row r="2169" spans="15:16" x14ac:dyDescent="0.35">
      <c r="O2169" s="18">
        <v>42660</v>
      </c>
      <c r="P2169">
        <v>2464.7399999999998</v>
      </c>
    </row>
    <row r="2170" spans="15:16" x14ac:dyDescent="0.35">
      <c r="O2170" s="18">
        <v>42661</v>
      </c>
      <c r="P2170">
        <v>2506.91</v>
      </c>
    </row>
    <row r="2171" spans="15:16" x14ac:dyDescent="0.35">
      <c r="O2171" s="18">
        <v>42662</v>
      </c>
      <c r="P2171">
        <v>2497.8200000000002</v>
      </c>
    </row>
    <row r="2172" spans="15:16" x14ac:dyDescent="0.35">
      <c r="O2172" s="18">
        <v>42663</v>
      </c>
      <c r="P2172">
        <v>2498.86</v>
      </c>
    </row>
    <row r="2173" spans="15:16" x14ac:dyDescent="0.35">
      <c r="O2173" s="18">
        <v>42664</v>
      </c>
      <c r="P2173">
        <v>2512.2199999999998</v>
      </c>
    </row>
    <row r="2174" spans="15:16" x14ac:dyDescent="0.35">
      <c r="O2174" s="18">
        <v>42667</v>
      </c>
      <c r="P2174">
        <v>2491.44</v>
      </c>
    </row>
    <row r="2175" spans="15:16" x14ac:dyDescent="0.35">
      <c r="O2175" s="18">
        <v>42668</v>
      </c>
      <c r="P2175">
        <v>2463.1</v>
      </c>
    </row>
    <row r="2176" spans="15:16" x14ac:dyDescent="0.35">
      <c r="O2176" s="18">
        <v>42669</v>
      </c>
      <c r="P2176">
        <v>2441.88</v>
      </c>
    </row>
    <row r="2177" spans="15:16" x14ac:dyDescent="0.35">
      <c r="O2177" s="18">
        <v>42670</v>
      </c>
      <c r="P2177">
        <v>2449.1799999999998</v>
      </c>
    </row>
    <row r="2178" spans="15:16" x14ac:dyDescent="0.35">
      <c r="O2178" s="18">
        <v>42671</v>
      </c>
      <c r="P2178">
        <v>2402</v>
      </c>
    </row>
    <row r="2179" spans="15:16" x14ac:dyDescent="0.35">
      <c r="O2179" s="18">
        <v>42673</v>
      </c>
      <c r="P2179">
        <v>2401.6999999999998</v>
      </c>
    </row>
    <row r="2180" spans="15:16" x14ac:dyDescent="0.35">
      <c r="O2180" s="18">
        <v>42675</v>
      </c>
      <c r="P2180">
        <v>2532.1</v>
      </c>
    </row>
    <row r="2181" spans="15:16" x14ac:dyDescent="0.35">
      <c r="O2181" s="18">
        <v>42676</v>
      </c>
      <c r="P2181">
        <v>2477.9699999999998</v>
      </c>
    </row>
    <row r="2182" spans="15:16" x14ac:dyDescent="0.35">
      <c r="O2182" s="18">
        <v>42677</v>
      </c>
      <c r="P2182">
        <v>2454.94</v>
      </c>
    </row>
    <row r="2183" spans="15:16" x14ac:dyDescent="0.35">
      <c r="O2183" s="18">
        <v>42678</v>
      </c>
      <c r="P2183">
        <v>2392.9699999999998</v>
      </c>
    </row>
    <row r="2184" spans="15:16" x14ac:dyDescent="0.35">
      <c r="O2184" s="18">
        <v>42681</v>
      </c>
      <c r="P2184">
        <v>2402.16</v>
      </c>
    </row>
    <row r="2185" spans="15:16" x14ac:dyDescent="0.35">
      <c r="O2185" s="18">
        <v>42682</v>
      </c>
      <c r="P2185">
        <v>2426.7800000000002</v>
      </c>
    </row>
    <row r="2186" spans="15:16" x14ac:dyDescent="0.35">
      <c r="O2186" s="18">
        <v>42683</v>
      </c>
      <c r="P2186">
        <v>2333.12</v>
      </c>
    </row>
    <row r="2187" spans="15:16" x14ac:dyDescent="0.35">
      <c r="O2187" s="18">
        <v>42684</v>
      </c>
      <c r="P2187">
        <v>2306.62</v>
      </c>
    </row>
    <row r="2188" spans="15:16" x14ac:dyDescent="0.35">
      <c r="O2188" s="18">
        <v>42685</v>
      </c>
      <c r="P2188">
        <v>2168.52</v>
      </c>
    </row>
    <row r="2189" spans="15:16" x14ac:dyDescent="0.35">
      <c r="O2189" s="18">
        <v>42689</v>
      </c>
      <c r="P2189">
        <v>2028.12</v>
      </c>
    </row>
    <row r="2190" spans="15:16" x14ac:dyDescent="0.35">
      <c r="O2190" s="18">
        <v>42690</v>
      </c>
      <c r="P2190">
        <v>2111.67</v>
      </c>
    </row>
    <row r="2191" spans="15:16" x14ac:dyDescent="0.35">
      <c r="O2191" s="18">
        <v>42691</v>
      </c>
      <c r="P2191">
        <v>2103.6</v>
      </c>
    </row>
    <row r="2192" spans="15:16" x14ac:dyDescent="0.35">
      <c r="O2192" s="18">
        <v>42692</v>
      </c>
      <c r="P2192">
        <v>2179.23</v>
      </c>
    </row>
    <row r="2193" spans="15:16" x14ac:dyDescent="0.35">
      <c r="O2193" s="18">
        <v>42695</v>
      </c>
      <c r="P2193">
        <v>2036.16</v>
      </c>
    </row>
    <row r="2194" spans="15:16" x14ac:dyDescent="0.35">
      <c r="O2194" s="18">
        <v>42696</v>
      </c>
      <c r="P2194">
        <v>2065.3000000000002</v>
      </c>
    </row>
    <row r="2195" spans="15:16" x14ac:dyDescent="0.35">
      <c r="O2195" s="18">
        <v>42697</v>
      </c>
      <c r="P2195">
        <v>2096.0300000000002</v>
      </c>
    </row>
    <row r="2196" spans="15:16" x14ac:dyDescent="0.35">
      <c r="O2196" s="18">
        <v>42698</v>
      </c>
      <c r="P2196">
        <v>2035.66</v>
      </c>
    </row>
    <row r="2197" spans="15:16" x14ac:dyDescent="0.35">
      <c r="O2197" s="18">
        <v>42699</v>
      </c>
      <c r="P2197">
        <v>2022.26</v>
      </c>
    </row>
    <row r="2198" spans="15:16" x14ac:dyDescent="0.35">
      <c r="O2198" s="18">
        <v>42702</v>
      </c>
      <c r="P2198">
        <v>2021.39</v>
      </c>
    </row>
    <row r="2199" spans="15:16" x14ac:dyDescent="0.35">
      <c r="O2199" s="18">
        <v>42703</v>
      </c>
      <c r="P2199">
        <v>2129.41</v>
      </c>
    </row>
    <row r="2200" spans="15:16" x14ac:dyDescent="0.35">
      <c r="O2200" s="18">
        <v>42704</v>
      </c>
      <c r="P2200">
        <v>2161.98</v>
      </c>
    </row>
    <row r="2201" spans="15:16" x14ac:dyDescent="0.35">
      <c r="O2201" s="18">
        <v>42705</v>
      </c>
      <c r="P2201">
        <v>2220.2199999999998</v>
      </c>
    </row>
    <row r="2202" spans="15:16" x14ac:dyDescent="0.35">
      <c r="O2202" s="18">
        <v>42706</v>
      </c>
      <c r="P2202">
        <v>2275.62</v>
      </c>
    </row>
    <row r="2203" spans="15:16" x14ac:dyDescent="0.35">
      <c r="O2203" s="18">
        <v>42709</v>
      </c>
      <c r="P2203">
        <v>2274.84</v>
      </c>
    </row>
    <row r="2204" spans="15:16" x14ac:dyDescent="0.35">
      <c r="O2204" s="18">
        <v>42710</v>
      </c>
      <c r="P2204">
        <v>2245.75</v>
      </c>
    </row>
    <row r="2205" spans="15:16" x14ac:dyDescent="0.35">
      <c r="O2205" s="18">
        <v>42711</v>
      </c>
      <c r="P2205">
        <v>2338.1999999999998</v>
      </c>
    </row>
    <row r="2206" spans="15:16" x14ac:dyDescent="0.35">
      <c r="O2206" s="18">
        <v>42712</v>
      </c>
      <c r="P2206">
        <v>2324.9899999999998</v>
      </c>
    </row>
    <row r="2207" spans="15:16" x14ac:dyDescent="0.35">
      <c r="O2207" s="18">
        <v>42713</v>
      </c>
      <c r="P2207">
        <v>2284.4299999999998</v>
      </c>
    </row>
    <row r="2208" spans="15:16" x14ac:dyDescent="0.35">
      <c r="O2208" s="18">
        <v>42716</v>
      </c>
      <c r="P2208">
        <v>2217.92</v>
      </c>
    </row>
    <row r="2209" spans="15:16" x14ac:dyDescent="0.35">
      <c r="O2209" s="18">
        <v>42717</v>
      </c>
      <c r="P2209">
        <v>2233.41</v>
      </c>
    </row>
    <row r="2210" spans="15:16" x14ac:dyDescent="0.35">
      <c r="O2210" s="18">
        <v>42718</v>
      </c>
      <c r="P2210">
        <v>2180.16</v>
      </c>
    </row>
    <row r="2211" spans="15:16" x14ac:dyDescent="0.35">
      <c r="O2211" s="18">
        <v>42719</v>
      </c>
      <c r="P2211">
        <v>2151.5300000000002</v>
      </c>
    </row>
    <row r="2212" spans="15:16" x14ac:dyDescent="0.35">
      <c r="O2212" s="18">
        <v>42720</v>
      </c>
      <c r="P2212">
        <v>2175.91</v>
      </c>
    </row>
    <row r="2213" spans="15:16" x14ac:dyDescent="0.35">
      <c r="O2213" s="18">
        <v>42723</v>
      </c>
      <c r="P2213">
        <v>2160.08</v>
      </c>
    </row>
    <row r="2214" spans="15:16" x14ac:dyDescent="0.35">
      <c r="O2214" s="18">
        <v>42724</v>
      </c>
      <c r="P2214">
        <v>2115.62</v>
      </c>
    </row>
    <row r="2215" spans="15:16" x14ac:dyDescent="0.35">
      <c r="O2215" s="18">
        <v>42725</v>
      </c>
      <c r="P2215">
        <v>2130.4699999999998</v>
      </c>
    </row>
    <row r="2216" spans="15:16" x14ac:dyDescent="0.35">
      <c r="O2216" s="18">
        <v>42726</v>
      </c>
      <c r="P2216">
        <v>2130.5300000000002</v>
      </c>
    </row>
    <row r="2217" spans="15:16" x14ac:dyDescent="0.35">
      <c r="O2217" s="18">
        <v>42727</v>
      </c>
      <c r="P2217">
        <v>2092.19</v>
      </c>
    </row>
    <row r="2218" spans="15:16" x14ac:dyDescent="0.35">
      <c r="O2218" s="18">
        <v>42730</v>
      </c>
      <c r="P2218">
        <v>2027.28</v>
      </c>
    </row>
    <row r="2219" spans="15:16" x14ac:dyDescent="0.35">
      <c r="O2219" s="18">
        <v>42731</v>
      </c>
      <c r="P2219">
        <v>2070.11</v>
      </c>
    </row>
    <row r="2220" spans="15:16" x14ac:dyDescent="0.35">
      <c r="O2220" s="18">
        <v>42732</v>
      </c>
      <c r="P2220">
        <v>2088.48</v>
      </c>
    </row>
    <row r="2221" spans="15:16" x14ac:dyDescent="0.35">
      <c r="O2221" s="18">
        <v>42733</v>
      </c>
      <c r="P2221">
        <v>2149.12</v>
      </c>
    </row>
    <row r="2222" spans="15:16" x14ac:dyDescent="0.35">
      <c r="O2222" s="18">
        <v>42734</v>
      </c>
      <c r="P2222">
        <v>2180.3000000000002</v>
      </c>
    </row>
    <row r="2223" spans="15:16" x14ac:dyDescent="0.35">
      <c r="O2223" s="18">
        <v>42737</v>
      </c>
      <c r="P2223">
        <v>2252.39</v>
      </c>
    </row>
    <row r="2224" spans="15:16" x14ac:dyDescent="0.35">
      <c r="O2224" s="18">
        <v>42738</v>
      </c>
      <c r="P2224">
        <v>2250.0700000000002</v>
      </c>
    </row>
    <row r="2225" spans="15:16" x14ac:dyDescent="0.35">
      <c r="O2225" s="18">
        <v>42739</v>
      </c>
      <c r="P2225">
        <v>2219.65</v>
      </c>
    </row>
    <row r="2226" spans="15:16" x14ac:dyDescent="0.35">
      <c r="O2226" s="18">
        <v>42740</v>
      </c>
      <c r="P2226">
        <v>2232.4299999999998</v>
      </c>
    </row>
    <row r="2227" spans="15:16" x14ac:dyDescent="0.35">
      <c r="O2227" s="18">
        <v>42741</v>
      </c>
      <c r="P2227">
        <v>2271.7800000000002</v>
      </c>
    </row>
    <row r="2228" spans="15:16" x14ac:dyDescent="0.35">
      <c r="O2228" s="18">
        <v>42744</v>
      </c>
      <c r="P2228">
        <v>2299.9899999999998</v>
      </c>
    </row>
    <row r="2229" spans="15:16" x14ac:dyDescent="0.35">
      <c r="O2229" s="18">
        <v>42745</v>
      </c>
      <c r="P2229">
        <v>2300.5</v>
      </c>
    </row>
    <row r="2230" spans="15:16" x14ac:dyDescent="0.35">
      <c r="O2230" s="18">
        <v>42746</v>
      </c>
      <c r="P2230">
        <v>2316.14</v>
      </c>
    </row>
    <row r="2231" spans="15:16" x14ac:dyDescent="0.35">
      <c r="O2231" s="18">
        <v>42747</v>
      </c>
      <c r="P2231">
        <v>2282.65</v>
      </c>
    </row>
    <row r="2232" spans="15:16" x14ac:dyDescent="0.35">
      <c r="O2232" s="18">
        <v>42748</v>
      </c>
      <c r="P2232">
        <v>2279.36</v>
      </c>
    </row>
    <row r="2233" spans="15:16" x14ac:dyDescent="0.35">
      <c r="O2233" s="18">
        <v>42751</v>
      </c>
      <c r="P2233">
        <v>2234.33</v>
      </c>
    </row>
    <row r="2234" spans="15:16" x14ac:dyDescent="0.35">
      <c r="O2234" s="18">
        <v>42752</v>
      </c>
      <c r="P2234">
        <v>2235.0100000000002</v>
      </c>
    </row>
    <row r="2235" spans="15:16" x14ac:dyDescent="0.35">
      <c r="O2235" s="18">
        <v>42753</v>
      </c>
      <c r="P2235">
        <v>2244.9899999999998</v>
      </c>
    </row>
    <row r="2236" spans="15:16" x14ac:dyDescent="0.35">
      <c r="O2236" s="18">
        <v>42754</v>
      </c>
      <c r="P2236">
        <v>2282.1999999999998</v>
      </c>
    </row>
    <row r="2237" spans="15:16" x14ac:dyDescent="0.35">
      <c r="O2237" s="18">
        <v>42755</v>
      </c>
      <c r="P2237">
        <v>2278.91</v>
      </c>
    </row>
    <row r="2238" spans="15:16" x14ac:dyDescent="0.35">
      <c r="O2238" s="18">
        <v>42758</v>
      </c>
      <c r="P2238">
        <v>2273.6999999999998</v>
      </c>
    </row>
    <row r="2239" spans="15:16" x14ac:dyDescent="0.35">
      <c r="O2239" s="18">
        <v>42759</v>
      </c>
      <c r="P2239">
        <v>2300.0700000000002</v>
      </c>
    </row>
    <row r="2240" spans="15:16" x14ac:dyDescent="0.35">
      <c r="O2240" s="18">
        <v>42760</v>
      </c>
      <c r="P2240">
        <v>2299.09</v>
      </c>
    </row>
    <row r="2241" spans="15:16" x14ac:dyDescent="0.35">
      <c r="O2241" s="18">
        <v>42762</v>
      </c>
      <c r="P2241">
        <v>2348.2600000000002</v>
      </c>
    </row>
    <row r="2242" spans="15:16" x14ac:dyDescent="0.35">
      <c r="O2242" s="18">
        <v>42765</v>
      </c>
      <c r="P2242">
        <v>2323.44</v>
      </c>
    </row>
    <row r="2243" spans="15:16" x14ac:dyDescent="0.35">
      <c r="O2243" s="18">
        <v>42766</v>
      </c>
      <c r="P2243">
        <v>2302.84</v>
      </c>
    </row>
    <row r="2244" spans="15:16" x14ac:dyDescent="0.35">
      <c r="O2244" s="18">
        <v>42767</v>
      </c>
      <c r="P2244">
        <v>2402.9699999999998</v>
      </c>
    </row>
    <row r="2245" spans="15:16" x14ac:dyDescent="0.35">
      <c r="O2245" s="18">
        <v>42768</v>
      </c>
      <c r="P2245">
        <v>2377.91</v>
      </c>
    </row>
    <row r="2246" spans="15:16" x14ac:dyDescent="0.35">
      <c r="O2246" s="18">
        <v>42769</v>
      </c>
      <c r="P2246">
        <v>2338.59</v>
      </c>
    </row>
    <row r="2247" spans="15:16" x14ac:dyDescent="0.35">
      <c r="O2247" s="18">
        <v>42772</v>
      </c>
      <c r="P2247">
        <v>2381.54</v>
      </c>
    </row>
    <row r="2248" spans="15:16" x14ac:dyDescent="0.35">
      <c r="O2248" s="18">
        <v>42773</v>
      </c>
      <c r="P2248">
        <v>2378.39</v>
      </c>
    </row>
    <row r="2249" spans="15:16" x14ac:dyDescent="0.35">
      <c r="O2249" s="18">
        <v>42774</v>
      </c>
      <c r="P2249">
        <v>2395.9299999999998</v>
      </c>
    </row>
    <row r="2250" spans="15:16" x14ac:dyDescent="0.35">
      <c r="O2250" s="18">
        <v>42775</v>
      </c>
      <c r="P2250">
        <v>2389.3200000000002</v>
      </c>
    </row>
    <row r="2251" spans="15:16" x14ac:dyDescent="0.35">
      <c r="O2251" s="18">
        <v>42776</v>
      </c>
      <c r="P2251">
        <v>2401.3000000000002</v>
      </c>
    </row>
    <row r="2252" spans="15:16" x14ac:dyDescent="0.35">
      <c r="O2252" s="18">
        <v>42779</v>
      </c>
      <c r="P2252">
        <v>2485.89</v>
      </c>
    </row>
    <row r="2253" spans="15:16" x14ac:dyDescent="0.35">
      <c r="O2253" s="18">
        <v>42780</v>
      </c>
      <c r="P2253">
        <v>2531.5300000000002</v>
      </c>
    </row>
    <row r="2254" spans="15:16" x14ac:dyDescent="0.35">
      <c r="O2254" s="18">
        <v>42781</v>
      </c>
      <c r="P2254">
        <v>2475.0500000000002</v>
      </c>
    </row>
    <row r="2255" spans="15:16" x14ac:dyDescent="0.35">
      <c r="O2255" s="18">
        <v>42782</v>
      </c>
      <c r="P2255">
        <v>2533.13</v>
      </c>
    </row>
    <row r="2256" spans="15:16" x14ac:dyDescent="0.35">
      <c r="O2256" s="18">
        <v>42783</v>
      </c>
      <c r="P2256">
        <v>2504.0300000000002</v>
      </c>
    </row>
    <row r="2257" spans="15:16" x14ac:dyDescent="0.35">
      <c r="O2257" s="18">
        <v>42786</v>
      </c>
      <c r="P2257">
        <v>2513.91</v>
      </c>
    </row>
    <row r="2258" spans="15:16" x14ac:dyDescent="0.35">
      <c r="O2258" s="18">
        <v>42787</v>
      </c>
      <c r="P2258">
        <v>2525.35</v>
      </c>
    </row>
    <row r="2259" spans="15:16" x14ac:dyDescent="0.35">
      <c r="O2259" s="18">
        <v>42788</v>
      </c>
      <c r="P2259">
        <v>2507.0300000000002</v>
      </c>
    </row>
    <row r="2260" spans="15:16" x14ac:dyDescent="0.35">
      <c r="O2260" s="18">
        <v>42789</v>
      </c>
      <c r="P2260">
        <v>2487.77</v>
      </c>
    </row>
    <row r="2261" spans="15:16" x14ac:dyDescent="0.35">
      <c r="O2261" s="18">
        <v>42793</v>
      </c>
      <c r="P2261">
        <v>2433.7399999999998</v>
      </c>
    </row>
    <row r="2262" spans="15:16" x14ac:dyDescent="0.35">
      <c r="O2262" s="18">
        <v>42794</v>
      </c>
      <c r="P2262">
        <v>2413.0100000000002</v>
      </c>
    </row>
    <row r="2263" spans="15:16" x14ac:dyDescent="0.35">
      <c r="O2263" s="18">
        <v>42795</v>
      </c>
      <c r="P2263">
        <v>2370.9699999999998</v>
      </c>
    </row>
    <row r="2264" spans="15:16" x14ac:dyDescent="0.35">
      <c r="O2264" s="18">
        <v>42796</v>
      </c>
      <c r="P2264">
        <v>2344.89</v>
      </c>
    </row>
    <row r="2265" spans="15:16" x14ac:dyDescent="0.35">
      <c r="O2265" s="18">
        <v>42797</v>
      </c>
      <c r="P2265">
        <v>2308.9299999999998</v>
      </c>
    </row>
    <row r="2266" spans="15:16" x14ac:dyDescent="0.35">
      <c r="O2266" s="18">
        <v>42800</v>
      </c>
      <c r="P2266">
        <v>2306.14</v>
      </c>
    </row>
    <row r="2267" spans="15:16" x14ac:dyDescent="0.35">
      <c r="O2267" s="18">
        <v>42801</v>
      </c>
      <c r="P2267">
        <v>2321.11</v>
      </c>
    </row>
    <row r="2268" spans="15:16" x14ac:dyDescent="0.35">
      <c r="O2268" s="18">
        <v>42802</v>
      </c>
      <c r="P2268">
        <v>2344.84</v>
      </c>
    </row>
    <row r="2269" spans="15:16" x14ac:dyDescent="0.35">
      <c r="O2269" s="18">
        <v>42803</v>
      </c>
      <c r="P2269">
        <v>2339.6999999999998</v>
      </c>
    </row>
    <row r="2270" spans="15:16" x14ac:dyDescent="0.35">
      <c r="O2270" s="18">
        <v>42804</v>
      </c>
      <c r="P2270">
        <v>2335.66</v>
      </c>
    </row>
    <row r="2271" spans="15:16" x14ac:dyDescent="0.35">
      <c r="O2271" s="18">
        <v>42808</v>
      </c>
      <c r="P2271">
        <v>2400.12</v>
      </c>
    </row>
    <row r="2272" spans="15:16" x14ac:dyDescent="0.35">
      <c r="O2272" s="18">
        <v>42809</v>
      </c>
      <c r="P2272">
        <v>2413.34</v>
      </c>
    </row>
    <row r="2273" spans="15:16" x14ac:dyDescent="0.35">
      <c r="O2273" s="18">
        <v>42810</v>
      </c>
      <c r="P2273">
        <v>2451.48</v>
      </c>
    </row>
    <row r="2274" spans="15:16" x14ac:dyDescent="0.35">
      <c r="O2274" s="18">
        <v>42811</v>
      </c>
      <c r="P2274">
        <v>2469.14</v>
      </c>
    </row>
    <row r="2275" spans="15:16" x14ac:dyDescent="0.35">
      <c r="O2275" s="18">
        <v>42814</v>
      </c>
      <c r="P2275">
        <v>2509.9299999999998</v>
      </c>
    </row>
    <row r="2276" spans="15:16" x14ac:dyDescent="0.35">
      <c r="O2276" s="18">
        <v>42815</v>
      </c>
      <c r="P2276">
        <v>2496.1999999999998</v>
      </c>
    </row>
    <row r="2277" spans="15:16" x14ac:dyDescent="0.35">
      <c r="O2277" s="18">
        <v>42816</v>
      </c>
      <c r="P2277">
        <v>2454.1</v>
      </c>
    </row>
    <row r="2278" spans="15:16" x14ac:dyDescent="0.35">
      <c r="O2278" s="18">
        <v>42817</v>
      </c>
      <c r="P2278">
        <v>2437.36</v>
      </c>
    </row>
    <row r="2279" spans="15:16" x14ac:dyDescent="0.35">
      <c r="O2279" s="18">
        <v>42818</v>
      </c>
      <c r="P2279">
        <v>2435.0100000000002</v>
      </c>
    </row>
    <row r="2280" spans="15:16" x14ac:dyDescent="0.35">
      <c r="O2280" s="18">
        <v>42821</v>
      </c>
      <c r="P2280">
        <v>2416.36</v>
      </c>
    </row>
    <row r="2281" spans="15:16" x14ac:dyDescent="0.35">
      <c r="O2281" s="18">
        <v>42822</v>
      </c>
      <c r="P2281">
        <v>2489.7800000000002</v>
      </c>
    </row>
    <row r="2282" spans="15:16" x14ac:dyDescent="0.35">
      <c r="O2282" s="18">
        <v>42823</v>
      </c>
      <c r="P2282">
        <v>2505.61</v>
      </c>
    </row>
    <row r="2283" spans="15:16" x14ac:dyDescent="0.35">
      <c r="O2283" s="18">
        <v>42824</v>
      </c>
      <c r="P2283">
        <v>2565.86</v>
      </c>
    </row>
    <row r="2284" spans="15:16" x14ac:dyDescent="0.35">
      <c r="O2284" s="18">
        <v>42825</v>
      </c>
      <c r="P2284">
        <v>2558.75</v>
      </c>
    </row>
    <row r="2285" spans="15:16" x14ac:dyDescent="0.35">
      <c r="O2285" s="18">
        <v>42828</v>
      </c>
      <c r="P2285">
        <v>2554.36</v>
      </c>
    </row>
    <row r="2286" spans="15:16" x14ac:dyDescent="0.35">
      <c r="O2286" s="18">
        <v>42830</v>
      </c>
      <c r="P2286">
        <v>2576.5300000000002</v>
      </c>
    </row>
    <row r="2287" spans="15:16" x14ac:dyDescent="0.35">
      <c r="O2287" s="18">
        <v>42831</v>
      </c>
      <c r="P2287">
        <v>2559.63</v>
      </c>
    </row>
    <row r="2288" spans="15:16" x14ac:dyDescent="0.35">
      <c r="O2288" s="18">
        <v>42832</v>
      </c>
      <c r="P2288">
        <v>2580.6799999999998</v>
      </c>
    </row>
    <row r="2289" spans="15:16" x14ac:dyDescent="0.35">
      <c r="O2289" s="18">
        <v>42835</v>
      </c>
      <c r="P2289">
        <v>2557.8200000000002</v>
      </c>
    </row>
    <row r="2290" spans="15:16" x14ac:dyDescent="0.35">
      <c r="O2290" s="18">
        <v>42836</v>
      </c>
      <c r="P2290">
        <v>2588.0500000000002</v>
      </c>
    </row>
    <row r="2291" spans="15:16" x14ac:dyDescent="0.35">
      <c r="O2291" s="18">
        <v>42837</v>
      </c>
      <c r="P2291">
        <v>2642.25</v>
      </c>
    </row>
    <row r="2292" spans="15:16" x14ac:dyDescent="0.35">
      <c r="O2292" s="18">
        <v>42838</v>
      </c>
      <c r="P2292">
        <v>2608.5700000000002</v>
      </c>
    </row>
    <row r="2293" spans="15:16" x14ac:dyDescent="0.35">
      <c r="O2293" s="18">
        <v>42842</v>
      </c>
      <c r="P2293">
        <v>2612.5500000000002</v>
      </c>
    </row>
    <row r="2294" spans="15:16" x14ac:dyDescent="0.35">
      <c r="O2294" s="18">
        <v>42843</v>
      </c>
      <c r="P2294">
        <v>2553.2600000000002</v>
      </c>
    </row>
    <row r="2295" spans="15:16" x14ac:dyDescent="0.35">
      <c r="O2295" s="18">
        <v>42844</v>
      </c>
      <c r="P2295">
        <v>2545.7600000000002</v>
      </c>
    </row>
    <row r="2296" spans="15:16" x14ac:dyDescent="0.35">
      <c r="O2296" s="18">
        <v>42845</v>
      </c>
      <c r="P2296">
        <v>2550.1799999999998</v>
      </c>
    </row>
    <row r="2297" spans="15:16" x14ac:dyDescent="0.35">
      <c r="O2297" s="18">
        <v>42846</v>
      </c>
      <c r="P2297">
        <v>2561.0500000000002</v>
      </c>
    </row>
    <row r="2298" spans="15:16" x14ac:dyDescent="0.35">
      <c r="O2298" s="18">
        <v>42849</v>
      </c>
      <c r="P2298">
        <v>2609.3200000000002</v>
      </c>
    </row>
    <row r="2299" spans="15:16" x14ac:dyDescent="0.35">
      <c r="O2299" s="18">
        <v>42850</v>
      </c>
      <c r="P2299">
        <v>2608.23</v>
      </c>
    </row>
    <row r="2300" spans="15:16" x14ac:dyDescent="0.35">
      <c r="O2300" s="18">
        <v>42851</v>
      </c>
      <c r="P2300">
        <v>2604.11</v>
      </c>
    </row>
    <row r="2301" spans="15:16" x14ac:dyDescent="0.35">
      <c r="O2301" s="18">
        <v>42852</v>
      </c>
      <c r="P2301">
        <v>2597.39</v>
      </c>
    </row>
    <row r="2302" spans="15:16" x14ac:dyDescent="0.35">
      <c r="O2302" s="18">
        <v>42853</v>
      </c>
      <c r="P2302">
        <v>2606.8000000000002</v>
      </c>
    </row>
    <row r="2303" spans="15:16" x14ac:dyDescent="0.35">
      <c r="O2303" s="18">
        <v>42857</v>
      </c>
      <c r="P2303">
        <v>2579.0700000000002</v>
      </c>
    </row>
    <row r="2304" spans="15:16" x14ac:dyDescent="0.35">
      <c r="O2304" s="18">
        <v>42858</v>
      </c>
      <c r="P2304">
        <v>2591.4899999999998</v>
      </c>
    </row>
    <row r="2305" spans="15:16" x14ac:dyDescent="0.35">
      <c r="O2305" s="18">
        <v>42859</v>
      </c>
      <c r="P2305">
        <v>2576.4299999999998</v>
      </c>
    </row>
    <row r="2306" spans="15:16" x14ac:dyDescent="0.35">
      <c r="O2306" s="18">
        <v>42860</v>
      </c>
      <c r="P2306">
        <v>2583.34</v>
      </c>
    </row>
    <row r="2307" spans="15:16" x14ac:dyDescent="0.35">
      <c r="O2307" s="18">
        <v>42863</v>
      </c>
      <c r="P2307">
        <v>2691.95</v>
      </c>
    </row>
    <row r="2308" spans="15:16" x14ac:dyDescent="0.35">
      <c r="O2308" s="18">
        <v>42864</v>
      </c>
      <c r="P2308">
        <v>2712.85</v>
      </c>
    </row>
    <row r="2309" spans="15:16" x14ac:dyDescent="0.35">
      <c r="O2309" s="18">
        <v>42865</v>
      </c>
      <c r="P2309">
        <v>2786.93</v>
      </c>
    </row>
    <row r="2310" spans="15:16" x14ac:dyDescent="0.35">
      <c r="O2310" s="18">
        <v>42866</v>
      </c>
      <c r="P2310">
        <v>2946.91</v>
      </c>
    </row>
    <row r="2311" spans="15:16" x14ac:dyDescent="0.35">
      <c r="O2311" s="18">
        <v>42867</v>
      </c>
      <c r="P2311">
        <v>2917.84</v>
      </c>
    </row>
    <row r="2312" spans="15:16" x14ac:dyDescent="0.35">
      <c r="O2312" s="18">
        <v>42870</v>
      </c>
      <c r="P2312">
        <v>2893.06</v>
      </c>
    </row>
    <row r="2313" spans="15:16" x14ac:dyDescent="0.35">
      <c r="O2313" s="18">
        <v>42871</v>
      </c>
      <c r="P2313">
        <v>2936.25</v>
      </c>
    </row>
    <row r="2314" spans="15:16" x14ac:dyDescent="0.35">
      <c r="O2314" s="18">
        <v>42872</v>
      </c>
      <c r="P2314">
        <v>2909.36</v>
      </c>
    </row>
    <row r="2315" spans="15:16" x14ac:dyDescent="0.35">
      <c r="O2315" s="18">
        <v>42873</v>
      </c>
      <c r="P2315">
        <v>2835.73</v>
      </c>
    </row>
    <row r="2316" spans="15:16" x14ac:dyDescent="0.35">
      <c r="O2316" s="18">
        <v>42874</v>
      </c>
      <c r="P2316">
        <v>2793.61</v>
      </c>
    </row>
    <row r="2317" spans="15:16" x14ac:dyDescent="0.35">
      <c r="O2317" s="18">
        <v>42877</v>
      </c>
      <c r="P2317">
        <v>2718.99</v>
      </c>
    </row>
    <row r="2318" spans="15:16" x14ac:dyDescent="0.35">
      <c r="O2318" s="18">
        <v>42878</v>
      </c>
      <c r="P2318">
        <v>2759.82</v>
      </c>
    </row>
    <row r="2319" spans="15:16" x14ac:dyDescent="0.35">
      <c r="O2319" s="18">
        <v>42879</v>
      </c>
      <c r="P2319">
        <v>2736.47</v>
      </c>
    </row>
    <row r="2320" spans="15:16" x14ac:dyDescent="0.35">
      <c r="O2320" s="18">
        <v>42880</v>
      </c>
      <c r="P2320">
        <v>2800.95</v>
      </c>
    </row>
    <row r="2321" spans="15:16" x14ac:dyDescent="0.35">
      <c r="O2321" s="18">
        <v>42881</v>
      </c>
      <c r="P2321">
        <v>2835.14</v>
      </c>
    </row>
    <row r="2322" spans="15:16" x14ac:dyDescent="0.35">
      <c r="O2322" s="18">
        <v>42884</v>
      </c>
      <c r="P2322">
        <v>2817.21</v>
      </c>
    </row>
    <row r="2323" spans="15:16" x14ac:dyDescent="0.35">
      <c r="O2323" s="18">
        <v>42885</v>
      </c>
      <c r="P2323">
        <v>2832.34</v>
      </c>
    </row>
    <row r="2324" spans="15:16" x14ac:dyDescent="0.35">
      <c r="O2324" s="18">
        <v>42886</v>
      </c>
      <c r="P2324">
        <v>2843.5</v>
      </c>
    </row>
    <row r="2325" spans="15:16" x14ac:dyDescent="0.35">
      <c r="O2325" s="18">
        <v>42887</v>
      </c>
      <c r="P2325">
        <v>2879.34</v>
      </c>
    </row>
    <row r="2326" spans="15:16" x14ac:dyDescent="0.35">
      <c r="O2326" s="18">
        <v>42888</v>
      </c>
      <c r="P2326">
        <v>2918.01</v>
      </c>
    </row>
    <row r="2327" spans="15:16" x14ac:dyDescent="0.35">
      <c r="O2327" s="18">
        <v>42891</v>
      </c>
      <c r="P2327">
        <v>2932.55</v>
      </c>
    </row>
    <row r="2328" spans="15:16" x14ac:dyDescent="0.35">
      <c r="O2328" s="18">
        <v>42892</v>
      </c>
      <c r="P2328">
        <v>2919.12</v>
      </c>
    </row>
    <row r="2329" spans="15:16" x14ac:dyDescent="0.35">
      <c r="O2329" s="18">
        <v>42893</v>
      </c>
      <c r="P2329">
        <v>2971.32</v>
      </c>
    </row>
    <row r="2330" spans="15:16" x14ac:dyDescent="0.35">
      <c r="O2330" s="18">
        <v>42894</v>
      </c>
      <c r="P2330">
        <v>2969.11</v>
      </c>
    </row>
    <row r="2331" spans="15:16" x14ac:dyDescent="0.35">
      <c r="O2331" s="18">
        <v>42895</v>
      </c>
      <c r="P2331">
        <v>2976.49</v>
      </c>
    </row>
    <row r="2332" spans="15:16" x14ac:dyDescent="0.35">
      <c r="O2332" s="18">
        <v>42898</v>
      </c>
      <c r="P2332">
        <v>2935.34</v>
      </c>
    </row>
    <row r="2333" spans="15:16" x14ac:dyDescent="0.35">
      <c r="O2333" s="18">
        <v>42899</v>
      </c>
      <c r="P2333">
        <v>2912.12</v>
      </c>
    </row>
    <row r="2334" spans="15:16" x14ac:dyDescent="0.35">
      <c r="O2334" s="18">
        <v>42900</v>
      </c>
      <c r="P2334">
        <v>2904.95</v>
      </c>
    </row>
    <row r="2335" spans="15:16" x14ac:dyDescent="0.35">
      <c r="O2335" s="18">
        <v>42901</v>
      </c>
      <c r="P2335">
        <v>2877.2</v>
      </c>
    </row>
    <row r="2336" spans="15:16" x14ac:dyDescent="0.35">
      <c r="O2336" s="18">
        <v>42902</v>
      </c>
      <c r="P2336">
        <v>2874.69</v>
      </c>
    </row>
    <row r="2337" spans="15:16" x14ac:dyDescent="0.35">
      <c r="O2337" s="18">
        <v>42905</v>
      </c>
      <c r="P2337">
        <v>2844.52</v>
      </c>
    </row>
    <row r="2338" spans="15:16" x14ac:dyDescent="0.35">
      <c r="O2338" s="18">
        <v>42906</v>
      </c>
      <c r="P2338">
        <v>2791.74</v>
      </c>
    </row>
    <row r="2339" spans="15:16" x14ac:dyDescent="0.35">
      <c r="O2339" s="18">
        <v>42907</v>
      </c>
      <c r="P2339">
        <v>2753.32</v>
      </c>
    </row>
    <row r="2340" spans="15:16" x14ac:dyDescent="0.35">
      <c r="O2340" s="18">
        <v>42908</v>
      </c>
      <c r="P2340">
        <v>2768.09</v>
      </c>
    </row>
    <row r="2341" spans="15:16" x14ac:dyDescent="0.35">
      <c r="O2341" s="18">
        <v>42909</v>
      </c>
      <c r="P2341">
        <v>2716.67</v>
      </c>
    </row>
    <row r="2342" spans="15:16" x14ac:dyDescent="0.35">
      <c r="O2342" s="18">
        <v>42913</v>
      </c>
      <c r="P2342">
        <v>2666.11</v>
      </c>
    </row>
    <row r="2343" spans="15:16" x14ac:dyDescent="0.35">
      <c r="O2343" s="18">
        <v>42914</v>
      </c>
      <c r="P2343">
        <v>2722.49</v>
      </c>
    </row>
    <row r="2344" spans="15:16" x14ac:dyDescent="0.35">
      <c r="O2344" s="18">
        <v>42915</v>
      </c>
      <c r="P2344">
        <v>2734.01</v>
      </c>
    </row>
    <row r="2345" spans="15:16" x14ac:dyDescent="0.35">
      <c r="O2345" s="18">
        <v>42916</v>
      </c>
      <c r="P2345">
        <v>2703.94</v>
      </c>
    </row>
    <row r="2346" spans="15:16" x14ac:dyDescent="0.35">
      <c r="O2346" s="18">
        <v>42919</v>
      </c>
      <c r="P2346">
        <v>2776.68</v>
      </c>
    </row>
    <row r="2347" spans="15:16" x14ac:dyDescent="0.35">
      <c r="O2347" s="18">
        <v>42920</v>
      </c>
      <c r="P2347">
        <v>2785.09</v>
      </c>
    </row>
    <row r="2348" spans="15:16" x14ac:dyDescent="0.35">
      <c r="O2348" s="18">
        <v>42921</v>
      </c>
      <c r="P2348">
        <v>2806.71</v>
      </c>
    </row>
    <row r="2349" spans="15:16" x14ac:dyDescent="0.35">
      <c r="O2349" s="18">
        <v>42922</v>
      </c>
      <c r="P2349">
        <v>2768.91</v>
      </c>
    </row>
    <row r="2350" spans="15:16" x14ac:dyDescent="0.35">
      <c r="O2350" s="18">
        <v>42923</v>
      </c>
      <c r="P2350">
        <v>2785.22</v>
      </c>
    </row>
    <row r="2351" spans="15:16" x14ac:dyDescent="0.35">
      <c r="O2351" s="18">
        <v>42926</v>
      </c>
      <c r="P2351">
        <v>2793.13</v>
      </c>
    </row>
    <row r="2352" spans="15:16" x14ac:dyDescent="0.35">
      <c r="O2352" s="18">
        <v>42927</v>
      </c>
      <c r="P2352">
        <v>2813.09</v>
      </c>
    </row>
    <row r="2353" spans="15:16" x14ac:dyDescent="0.35">
      <c r="O2353" s="18">
        <v>42928</v>
      </c>
      <c r="P2353">
        <v>2825.85</v>
      </c>
    </row>
    <row r="2354" spans="15:16" x14ac:dyDescent="0.35">
      <c r="O2354" s="18">
        <v>42929</v>
      </c>
      <c r="P2354">
        <v>2805.59</v>
      </c>
    </row>
    <row r="2355" spans="15:16" x14ac:dyDescent="0.35">
      <c r="O2355" s="18">
        <v>42930</v>
      </c>
      <c r="P2355">
        <v>2790.72</v>
      </c>
    </row>
    <row r="2356" spans="15:16" x14ac:dyDescent="0.35">
      <c r="O2356" s="18">
        <v>42933</v>
      </c>
      <c r="P2356">
        <v>2805.95</v>
      </c>
    </row>
    <row r="2357" spans="15:16" x14ac:dyDescent="0.35">
      <c r="O2357" s="18">
        <v>42934</v>
      </c>
      <c r="P2357">
        <v>2859.85</v>
      </c>
    </row>
    <row r="2358" spans="15:16" x14ac:dyDescent="0.35">
      <c r="O2358" s="18">
        <v>42935</v>
      </c>
      <c r="P2358">
        <v>2921.5</v>
      </c>
    </row>
    <row r="2359" spans="15:16" x14ac:dyDescent="0.35">
      <c r="O2359" s="18">
        <v>42936</v>
      </c>
      <c r="P2359">
        <v>2925.26</v>
      </c>
    </row>
    <row r="2360" spans="15:16" x14ac:dyDescent="0.35">
      <c r="O2360" s="18">
        <v>42937</v>
      </c>
      <c r="P2360">
        <v>2890.32</v>
      </c>
    </row>
    <row r="2361" spans="15:16" x14ac:dyDescent="0.35">
      <c r="O2361" s="18">
        <v>42940</v>
      </c>
      <c r="P2361">
        <v>2884.38</v>
      </c>
    </row>
    <row r="2362" spans="15:16" x14ac:dyDescent="0.35">
      <c r="O2362" s="18">
        <v>42941</v>
      </c>
      <c r="P2362">
        <v>2840.74</v>
      </c>
    </row>
    <row r="2363" spans="15:16" x14ac:dyDescent="0.35">
      <c r="O2363" s="18">
        <v>42942</v>
      </c>
      <c r="P2363">
        <v>2900.24</v>
      </c>
    </row>
    <row r="2364" spans="15:16" x14ac:dyDescent="0.35">
      <c r="O2364" s="18">
        <v>42943</v>
      </c>
      <c r="P2364">
        <v>2910.22</v>
      </c>
    </row>
    <row r="2365" spans="15:16" x14ac:dyDescent="0.35">
      <c r="O2365" s="18">
        <v>42944</v>
      </c>
      <c r="P2365">
        <v>2938.84</v>
      </c>
    </row>
    <row r="2366" spans="15:16" x14ac:dyDescent="0.35">
      <c r="O2366" s="18">
        <v>42947</v>
      </c>
      <c r="P2366">
        <v>3008.12</v>
      </c>
    </row>
    <row r="2367" spans="15:16" x14ac:dyDescent="0.35">
      <c r="O2367" s="18">
        <v>42948</v>
      </c>
      <c r="P2367">
        <v>3150.48</v>
      </c>
    </row>
    <row r="2368" spans="15:16" x14ac:dyDescent="0.35">
      <c r="O2368" s="18">
        <v>42949</v>
      </c>
      <c r="P2368">
        <v>3115.38</v>
      </c>
    </row>
    <row r="2369" spans="15:16" x14ac:dyDescent="0.35">
      <c r="O2369" s="18">
        <v>42950</v>
      </c>
      <c r="P2369">
        <v>3072.61</v>
      </c>
    </row>
    <row r="2370" spans="15:16" x14ac:dyDescent="0.35">
      <c r="O2370" s="18">
        <v>42951</v>
      </c>
      <c r="P2370">
        <v>3163.72</v>
      </c>
    </row>
    <row r="2371" spans="15:16" x14ac:dyDescent="0.35">
      <c r="O2371" s="18">
        <v>42954</v>
      </c>
      <c r="P2371">
        <v>3196.99</v>
      </c>
    </row>
    <row r="2372" spans="15:16" x14ac:dyDescent="0.35">
      <c r="O2372" s="18">
        <v>42955</v>
      </c>
      <c r="P2372">
        <v>3212.09</v>
      </c>
    </row>
    <row r="2373" spans="15:16" x14ac:dyDescent="0.35">
      <c r="O2373" s="18">
        <v>42956</v>
      </c>
      <c r="P2373">
        <v>3148.91</v>
      </c>
    </row>
    <row r="2374" spans="15:16" x14ac:dyDescent="0.35">
      <c r="O2374" s="18">
        <v>42957</v>
      </c>
      <c r="P2374">
        <v>3011.17</v>
      </c>
    </row>
    <row r="2375" spans="15:16" x14ac:dyDescent="0.35">
      <c r="O2375" s="18">
        <v>42958</v>
      </c>
      <c r="P2375">
        <v>2962.74</v>
      </c>
    </row>
    <row r="2376" spans="15:16" x14ac:dyDescent="0.35">
      <c r="O2376" s="18">
        <v>42961</v>
      </c>
      <c r="P2376">
        <v>3038.56</v>
      </c>
    </row>
    <row r="2377" spans="15:16" x14ac:dyDescent="0.35">
      <c r="O2377" s="18">
        <v>42963</v>
      </c>
      <c r="P2377">
        <v>3061.7</v>
      </c>
    </row>
    <row r="2378" spans="15:16" x14ac:dyDescent="0.35">
      <c r="O2378" s="18">
        <v>42964</v>
      </c>
      <c r="P2378">
        <v>3092.8</v>
      </c>
    </row>
    <row r="2379" spans="15:16" x14ac:dyDescent="0.35">
      <c r="O2379" s="18">
        <v>42965</v>
      </c>
      <c r="P2379">
        <v>3151.14</v>
      </c>
    </row>
    <row r="2380" spans="15:16" x14ac:dyDescent="0.35">
      <c r="O2380" s="18">
        <v>42968</v>
      </c>
      <c r="P2380">
        <v>3163.43</v>
      </c>
    </row>
    <row r="2381" spans="15:16" x14ac:dyDescent="0.35">
      <c r="O2381" s="18">
        <v>42969</v>
      </c>
      <c r="P2381">
        <v>3097.72</v>
      </c>
    </row>
    <row r="2382" spans="15:16" x14ac:dyDescent="0.35">
      <c r="O2382" s="18">
        <v>42970</v>
      </c>
      <c r="P2382">
        <v>3064.82</v>
      </c>
    </row>
    <row r="2383" spans="15:16" x14ac:dyDescent="0.35">
      <c r="O2383" s="18">
        <v>42971</v>
      </c>
      <c r="P2383">
        <v>3075.09</v>
      </c>
    </row>
    <row r="2384" spans="15:16" x14ac:dyDescent="0.35">
      <c r="O2384" s="18">
        <v>42975</v>
      </c>
      <c r="P2384">
        <v>3128.84</v>
      </c>
    </row>
    <row r="2385" spans="15:16" x14ac:dyDescent="0.35">
      <c r="O2385" s="18">
        <v>42976</v>
      </c>
      <c r="P2385">
        <v>3085.91</v>
      </c>
    </row>
    <row r="2386" spans="15:16" x14ac:dyDescent="0.35">
      <c r="O2386" s="18">
        <v>42977</v>
      </c>
      <c r="P2386">
        <v>3098.4</v>
      </c>
    </row>
    <row r="2387" spans="15:16" x14ac:dyDescent="0.35">
      <c r="O2387" s="18">
        <v>42978</v>
      </c>
      <c r="P2387">
        <v>3145.09</v>
      </c>
    </row>
    <row r="2388" spans="15:16" x14ac:dyDescent="0.35">
      <c r="O2388" s="18">
        <v>42979</v>
      </c>
      <c r="P2388">
        <v>3177.24</v>
      </c>
    </row>
    <row r="2389" spans="15:16" x14ac:dyDescent="0.35">
      <c r="O2389" s="18">
        <v>42982</v>
      </c>
      <c r="P2389">
        <v>3175.36</v>
      </c>
    </row>
    <row r="2390" spans="15:16" x14ac:dyDescent="0.35">
      <c r="O2390" s="18">
        <v>42983</v>
      </c>
      <c r="P2390">
        <v>3193.53</v>
      </c>
    </row>
    <row r="2391" spans="15:16" x14ac:dyDescent="0.35">
      <c r="O2391" s="18">
        <v>42984</v>
      </c>
      <c r="P2391">
        <v>3208.26</v>
      </c>
    </row>
    <row r="2392" spans="15:16" x14ac:dyDescent="0.35">
      <c r="O2392" s="18">
        <v>42985</v>
      </c>
      <c r="P2392">
        <v>3286.2</v>
      </c>
    </row>
    <row r="2393" spans="15:16" x14ac:dyDescent="0.35">
      <c r="O2393" s="18">
        <v>42986</v>
      </c>
      <c r="P2393">
        <v>3261.78</v>
      </c>
    </row>
    <row r="2394" spans="15:16" x14ac:dyDescent="0.35">
      <c r="O2394" s="18">
        <v>42989</v>
      </c>
      <c r="P2394">
        <v>3249.86</v>
      </c>
    </row>
    <row r="2395" spans="15:16" x14ac:dyDescent="0.35">
      <c r="O2395" s="18">
        <v>42990</v>
      </c>
      <c r="P2395">
        <v>3266.18</v>
      </c>
    </row>
    <row r="2396" spans="15:16" x14ac:dyDescent="0.35">
      <c r="O2396" s="18">
        <v>42991</v>
      </c>
      <c r="P2396">
        <v>3222.64</v>
      </c>
    </row>
    <row r="2397" spans="15:16" x14ac:dyDescent="0.35">
      <c r="O2397" s="18">
        <v>42992</v>
      </c>
      <c r="P2397">
        <v>3206.52</v>
      </c>
    </row>
    <row r="2398" spans="15:16" x14ac:dyDescent="0.35">
      <c r="O2398" s="18">
        <v>42993</v>
      </c>
      <c r="P2398">
        <v>3200.8</v>
      </c>
    </row>
    <row r="2399" spans="15:16" x14ac:dyDescent="0.35">
      <c r="O2399" s="18">
        <v>42996</v>
      </c>
      <c r="P2399">
        <v>3276.61</v>
      </c>
    </row>
    <row r="2400" spans="15:16" x14ac:dyDescent="0.35">
      <c r="O2400" s="18">
        <v>42997</v>
      </c>
      <c r="P2400">
        <v>3240.39</v>
      </c>
    </row>
    <row r="2401" spans="15:16" x14ac:dyDescent="0.35">
      <c r="O2401" s="18">
        <v>42998</v>
      </c>
      <c r="P2401">
        <v>3244.35</v>
      </c>
    </row>
    <row r="2402" spans="15:16" x14ac:dyDescent="0.35">
      <c r="O2402" s="18">
        <v>42999</v>
      </c>
      <c r="P2402">
        <v>3182.43</v>
      </c>
    </row>
    <row r="2403" spans="15:16" x14ac:dyDescent="0.35">
      <c r="O2403" s="18">
        <v>43000</v>
      </c>
      <c r="P2403">
        <v>3157.96</v>
      </c>
    </row>
    <row r="2404" spans="15:16" x14ac:dyDescent="0.35">
      <c r="O2404" s="18">
        <v>43003</v>
      </c>
      <c r="P2404">
        <v>3097.99</v>
      </c>
    </row>
    <row r="2405" spans="15:16" x14ac:dyDescent="0.35">
      <c r="O2405" s="18">
        <v>43004</v>
      </c>
      <c r="P2405">
        <v>3082.72</v>
      </c>
    </row>
    <row r="2406" spans="15:16" x14ac:dyDescent="0.35">
      <c r="O2406" s="18">
        <v>43005</v>
      </c>
      <c r="P2406">
        <v>3047.02</v>
      </c>
    </row>
    <row r="2407" spans="15:16" x14ac:dyDescent="0.35">
      <c r="O2407" s="18">
        <v>43006</v>
      </c>
      <c r="P2407">
        <v>3018.52</v>
      </c>
    </row>
    <row r="2408" spans="15:16" x14ac:dyDescent="0.35">
      <c r="O2408" s="18">
        <v>43007</v>
      </c>
      <c r="P2408">
        <v>3121.33</v>
      </c>
    </row>
    <row r="2409" spans="15:16" x14ac:dyDescent="0.35">
      <c r="O2409" s="18">
        <v>43011</v>
      </c>
      <c r="P2409">
        <v>3114.73</v>
      </c>
    </row>
    <row r="2410" spans="15:16" x14ac:dyDescent="0.35">
      <c r="O2410" s="18">
        <v>43012</v>
      </c>
      <c r="P2410">
        <v>3088.46</v>
      </c>
    </row>
    <row r="2411" spans="15:16" x14ac:dyDescent="0.35">
      <c r="O2411" s="18">
        <v>43013</v>
      </c>
      <c r="P2411">
        <v>3078.87</v>
      </c>
    </row>
    <row r="2412" spans="15:16" x14ac:dyDescent="0.35">
      <c r="O2412" s="18">
        <v>43014</v>
      </c>
      <c r="P2412">
        <v>3154.11</v>
      </c>
    </row>
    <row r="2413" spans="15:16" x14ac:dyDescent="0.35">
      <c r="O2413" s="18">
        <v>43017</v>
      </c>
      <c r="P2413">
        <v>3187.41</v>
      </c>
    </row>
    <row r="2414" spans="15:16" x14ac:dyDescent="0.35">
      <c r="O2414" s="18">
        <v>43018</v>
      </c>
      <c r="P2414">
        <v>3154.51</v>
      </c>
    </row>
    <row r="2415" spans="15:16" x14ac:dyDescent="0.35">
      <c r="O2415" s="18">
        <v>43019</v>
      </c>
      <c r="P2415">
        <v>3124.32</v>
      </c>
    </row>
    <row r="2416" spans="15:16" x14ac:dyDescent="0.35">
      <c r="O2416" s="18">
        <v>43020</v>
      </c>
      <c r="P2416">
        <v>3133.59</v>
      </c>
    </row>
    <row r="2417" spans="15:16" x14ac:dyDescent="0.35">
      <c r="O2417" s="18">
        <v>43021</v>
      </c>
      <c r="P2417">
        <v>3139.93</v>
      </c>
    </row>
    <row r="2418" spans="15:16" x14ac:dyDescent="0.35">
      <c r="O2418" s="18">
        <v>43024</v>
      </c>
      <c r="P2418">
        <v>3173.99</v>
      </c>
    </row>
    <row r="2419" spans="15:16" x14ac:dyDescent="0.35">
      <c r="O2419" s="18">
        <v>43025</v>
      </c>
      <c r="P2419">
        <v>3186.35</v>
      </c>
    </row>
    <row r="2420" spans="15:16" x14ac:dyDescent="0.35">
      <c r="O2420" s="18">
        <v>43026</v>
      </c>
      <c r="P2420">
        <v>3152.14</v>
      </c>
    </row>
    <row r="2421" spans="15:16" x14ac:dyDescent="0.35">
      <c r="O2421" s="18">
        <v>43027</v>
      </c>
      <c r="P2421">
        <v>3148.91</v>
      </c>
    </row>
    <row r="2422" spans="15:16" x14ac:dyDescent="0.35">
      <c r="O2422" s="18">
        <v>43031</v>
      </c>
      <c r="P2422">
        <v>3117.08</v>
      </c>
    </row>
    <row r="2423" spans="15:16" x14ac:dyDescent="0.35">
      <c r="O2423" s="18">
        <v>43032</v>
      </c>
      <c r="P2423">
        <v>3148.33</v>
      </c>
    </row>
    <row r="2424" spans="15:16" x14ac:dyDescent="0.35">
      <c r="O2424" s="18">
        <v>43033</v>
      </c>
      <c r="P2424">
        <v>3171.64</v>
      </c>
    </row>
    <row r="2425" spans="15:16" x14ac:dyDescent="0.35">
      <c r="O2425" s="18">
        <v>43034</v>
      </c>
      <c r="P2425">
        <v>3161.76</v>
      </c>
    </row>
    <row r="2426" spans="15:16" x14ac:dyDescent="0.35">
      <c r="O2426" s="18">
        <v>43035</v>
      </c>
      <c r="P2426">
        <v>3181.18</v>
      </c>
    </row>
    <row r="2427" spans="15:16" x14ac:dyDescent="0.35">
      <c r="O2427" s="18">
        <v>43038</v>
      </c>
      <c r="P2427">
        <v>3237.11</v>
      </c>
    </row>
    <row r="2428" spans="15:16" x14ac:dyDescent="0.35">
      <c r="O2428" s="18">
        <v>43039</v>
      </c>
      <c r="P2428">
        <v>3223.34</v>
      </c>
    </row>
    <row r="2429" spans="15:16" x14ac:dyDescent="0.35">
      <c r="O2429" s="18">
        <v>43040</v>
      </c>
      <c r="P2429">
        <v>3092.98</v>
      </c>
    </row>
    <row r="2430" spans="15:16" x14ac:dyDescent="0.35">
      <c r="O2430" s="18">
        <v>43041</v>
      </c>
      <c r="P2430">
        <v>3114.04</v>
      </c>
    </row>
    <row r="2431" spans="15:16" x14ac:dyDescent="0.35">
      <c r="O2431" s="18">
        <v>43042</v>
      </c>
      <c r="P2431">
        <v>3123.51</v>
      </c>
    </row>
    <row r="2432" spans="15:16" x14ac:dyDescent="0.35">
      <c r="O2432" s="18">
        <v>43045</v>
      </c>
      <c r="P2432">
        <v>3108.84</v>
      </c>
    </row>
    <row r="2433" spans="15:16" x14ac:dyDescent="0.35">
      <c r="O2433" s="18">
        <v>43046</v>
      </c>
      <c r="P2433">
        <v>3115.99</v>
      </c>
    </row>
    <row r="2434" spans="15:16" x14ac:dyDescent="0.35">
      <c r="O2434" s="18">
        <v>43047</v>
      </c>
      <c r="P2434">
        <v>3119.53</v>
      </c>
    </row>
    <row r="2435" spans="15:16" x14ac:dyDescent="0.35">
      <c r="O2435" s="18">
        <v>43048</v>
      </c>
      <c r="P2435">
        <v>3085.33</v>
      </c>
    </row>
    <row r="2436" spans="15:16" x14ac:dyDescent="0.35">
      <c r="O2436" s="18">
        <v>43049</v>
      </c>
      <c r="P2436">
        <v>3055.16</v>
      </c>
    </row>
    <row r="2437" spans="15:16" x14ac:dyDescent="0.35">
      <c r="O2437" s="18">
        <v>43052</v>
      </c>
      <c r="P2437">
        <v>3058.41</v>
      </c>
    </row>
    <row r="2438" spans="15:16" x14ac:dyDescent="0.35">
      <c r="O2438" s="18">
        <v>43053</v>
      </c>
      <c r="P2438">
        <v>3008.95</v>
      </c>
    </row>
    <row r="2439" spans="15:16" x14ac:dyDescent="0.35">
      <c r="O2439" s="18">
        <v>43054</v>
      </c>
      <c r="P2439">
        <v>3048.34</v>
      </c>
    </row>
    <row r="2440" spans="15:16" x14ac:dyDescent="0.35">
      <c r="O2440" s="18">
        <v>43055</v>
      </c>
      <c r="P2440">
        <v>3039.91</v>
      </c>
    </row>
    <row r="2441" spans="15:16" x14ac:dyDescent="0.35">
      <c r="O2441" s="18">
        <v>43056</v>
      </c>
      <c r="P2441">
        <v>3070.74</v>
      </c>
    </row>
    <row r="2442" spans="15:16" x14ac:dyDescent="0.35">
      <c r="O2442" s="18">
        <v>43059</v>
      </c>
      <c r="P2442">
        <v>3063.97</v>
      </c>
    </row>
    <row r="2443" spans="15:16" x14ac:dyDescent="0.35">
      <c r="O2443" s="18">
        <v>43060</v>
      </c>
      <c r="P2443">
        <v>3042.05</v>
      </c>
    </row>
    <row r="2444" spans="15:16" x14ac:dyDescent="0.35">
      <c r="O2444" s="18">
        <v>43061</v>
      </c>
      <c r="P2444">
        <v>3017.82</v>
      </c>
    </row>
    <row r="2445" spans="15:16" x14ac:dyDescent="0.35">
      <c r="O2445" s="18">
        <v>43062</v>
      </c>
      <c r="P2445">
        <v>3061.99</v>
      </c>
    </row>
    <row r="2446" spans="15:16" x14ac:dyDescent="0.35">
      <c r="O2446" s="18">
        <v>43063</v>
      </c>
      <c r="P2446">
        <v>3081.24</v>
      </c>
    </row>
    <row r="2447" spans="15:16" x14ac:dyDescent="0.35">
      <c r="O2447" s="18">
        <v>43066</v>
      </c>
      <c r="P2447">
        <v>3075.57</v>
      </c>
    </row>
    <row r="2448" spans="15:16" x14ac:dyDescent="0.35">
      <c r="O2448" s="18">
        <v>43067</v>
      </c>
      <c r="P2448">
        <v>3053.66</v>
      </c>
    </row>
    <row r="2449" spans="15:16" x14ac:dyDescent="0.35">
      <c r="O2449" s="18">
        <v>43068</v>
      </c>
      <c r="P2449">
        <v>3022.03</v>
      </c>
    </row>
    <row r="2450" spans="15:16" x14ac:dyDescent="0.35">
      <c r="O2450" s="18">
        <v>43069</v>
      </c>
      <c r="P2450">
        <v>2994.41</v>
      </c>
    </row>
    <row r="2451" spans="15:16" x14ac:dyDescent="0.35">
      <c r="O2451" s="18">
        <v>43070</v>
      </c>
      <c r="P2451">
        <v>2928.09</v>
      </c>
    </row>
    <row r="2452" spans="15:16" x14ac:dyDescent="0.35">
      <c r="O2452" s="18">
        <v>43073</v>
      </c>
      <c r="P2452">
        <v>2940.37</v>
      </c>
    </row>
    <row r="2453" spans="15:16" x14ac:dyDescent="0.35">
      <c r="O2453" s="18">
        <v>43074</v>
      </c>
      <c r="P2453">
        <v>2892.88</v>
      </c>
    </row>
    <row r="2454" spans="15:16" x14ac:dyDescent="0.35">
      <c r="O2454" s="18">
        <v>43075</v>
      </c>
      <c r="P2454">
        <v>2815.78</v>
      </c>
    </row>
    <row r="2455" spans="15:16" x14ac:dyDescent="0.35">
      <c r="O2455" s="18">
        <v>43076</v>
      </c>
      <c r="P2455">
        <v>2881.05</v>
      </c>
    </row>
    <row r="2456" spans="15:16" x14ac:dyDescent="0.35">
      <c r="O2456" s="18">
        <v>43077</v>
      </c>
      <c r="P2456">
        <v>2899.99</v>
      </c>
    </row>
    <row r="2457" spans="15:16" x14ac:dyDescent="0.35">
      <c r="O2457" s="18">
        <v>43080</v>
      </c>
      <c r="P2457">
        <v>2924.79</v>
      </c>
    </row>
    <row r="2458" spans="15:16" x14ac:dyDescent="0.35">
      <c r="O2458" s="18">
        <v>43081</v>
      </c>
      <c r="P2458">
        <v>2859.86</v>
      </c>
    </row>
    <row r="2459" spans="15:16" x14ac:dyDescent="0.35">
      <c r="O2459" s="18">
        <v>43082</v>
      </c>
      <c r="P2459">
        <v>2872.12</v>
      </c>
    </row>
    <row r="2460" spans="15:16" x14ac:dyDescent="0.35">
      <c r="O2460" s="18">
        <v>43083</v>
      </c>
      <c r="P2460">
        <v>2873.87</v>
      </c>
    </row>
    <row r="2461" spans="15:16" x14ac:dyDescent="0.35">
      <c r="O2461" s="18">
        <v>43084</v>
      </c>
      <c r="P2461">
        <v>2947.87</v>
      </c>
    </row>
    <row r="2462" spans="15:16" x14ac:dyDescent="0.35">
      <c r="O2462" s="18">
        <v>43087</v>
      </c>
      <c r="P2462">
        <v>2990.94</v>
      </c>
    </row>
    <row r="2463" spans="15:16" x14ac:dyDescent="0.35">
      <c r="O2463" s="18">
        <v>43088</v>
      </c>
      <c r="P2463">
        <v>3082.34</v>
      </c>
    </row>
    <row r="2464" spans="15:16" x14ac:dyDescent="0.35">
      <c r="O2464" s="18">
        <v>43089</v>
      </c>
      <c r="P2464">
        <v>3017.46</v>
      </c>
    </row>
    <row r="2465" spans="15:16" x14ac:dyDescent="0.35">
      <c r="O2465" s="18">
        <v>43090</v>
      </c>
      <c r="P2465">
        <v>3024.85</v>
      </c>
    </row>
    <row r="2466" spans="15:16" x14ac:dyDescent="0.35">
      <c r="O2466" s="18">
        <v>43091</v>
      </c>
      <c r="P2466">
        <v>3025.07</v>
      </c>
    </row>
    <row r="2467" spans="15:16" x14ac:dyDescent="0.35">
      <c r="O2467" s="18">
        <v>43095</v>
      </c>
      <c r="P2467">
        <v>3025.11</v>
      </c>
    </row>
    <row r="2468" spans="15:16" x14ac:dyDescent="0.35">
      <c r="O2468" s="18">
        <v>43096</v>
      </c>
      <c r="P2468">
        <v>3019.07</v>
      </c>
    </row>
    <row r="2469" spans="15:16" x14ac:dyDescent="0.35">
      <c r="O2469" s="18">
        <v>43097</v>
      </c>
      <c r="P2469">
        <v>2983.24</v>
      </c>
    </row>
    <row r="2470" spans="15:16" x14ac:dyDescent="0.35">
      <c r="O2470" s="18">
        <v>43098</v>
      </c>
      <c r="P2470">
        <v>3034.09</v>
      </c>
    </row>
    <row r="2471" spans="15:16" x14ac:dyDescent="0.35">
      <c r="O2471" s="18">
        <v>43101</v>
      </c>
      <c r="P2471">
        <v>2989.32</v>
      </c>
    </row>
    <row r="2472" spans="15:16" x14ac:dyDescent="0.35">
      <c r="O2472" s="18">
        <v>43102</v>
      </c>
      <c r="P2472">
        <v>2867.01</v>
      </c>
    </row>
    <row r="2473" spans="15:16" x14ac:dyDescent="0.35">
      <c r="O2473" s="18">
        <v>43103</v>
      </c>
      <c r="P2473">
        <v>2881.43</v>
      </c>
    </row>
    <row r="2474" spans="15:16" x14ac:dyDescent="0.35">
      <c r="O2474" s="18">
        <v>43104</v>
      </c>
      <c r="P2474">
        <v>2857.07</v>
      </c>
    </row>
    <row r="2475" spans="15:16" x14ac:dyDescent="0.35">
      <c r="O2475" s="18">
        <v>43105</v>
      </c>
      <c r="P2475">
        <v>2923.7</v>
      </c>
    </row>
    <row r="2476" spans="15:16" x14ac:dyDescent="0.35">
      <c r="O2476" s="18">
        <v>43108</v>
      </c>
      <c r="P2476">
        <v>2919.74</v>
      </c>
    </row>
    <row r="2477" spans="15:16" x14ac:dyDescent="0.35">
      <c r="O2477" s="18">
        <v>43109</v>
      </c>
      <c r="P2477">
        <v>2859.7</v>
      </c>
    </row>
    <row r="2478" spans="15:16" x14ac:dyDescent="0.35">
      <c r="O2478" s="18">
        <v>43110</v>
      </c>
      <c r="P2478">
        <v>2809.75</v>
      </c>
    </row>
    <row r="2479" spans="15:16" x14ac:dyDescent="0.35">
      <c r="O2479" s="18">
        <v>43111</v>
      </c>
      <c r="P2479">
        <v>2844.47</v>
      </c>
    </row>
    <row r="2480" spans="15:16" x14ac:dyDescent="0.35">
      <c r="O2480" s="18">
        <v>43112</v>
      </c>
      <c r="P2480">
        <v>2864.97</v>
      </c>
    </row>
    <row r="2481" spans="15:16" x14ac:dyDescent="0.35">
      <c r="O2481" s="18">
        <v>43115</v>
      </c>
      <c r="P2481">
        <v>2798.15</v>
      </c>
    </row>
    <row r="2482" spans="15:16" x14ac:dyDescent="0.35">
      <c r="O2482" s="18">
        <v>43116</v>
      </c>
      <c r="P2482">
        <v>2789.12</v>
      </c>
    </row>
    <row r="2483" spans="15:16" x14ac:dyDescent="0.35">
      <c r="O2483" s="18">
        <v>43117</v>
      </c>
      <c r="P2483">
        <v>2822.28</v>
      </c>
    </row>
    <row r="2484" spans="15:16" x14ac:dyDescent="0.35">
      <c r="O2484" s="18">
        <v>43118</v>
      </c>
      <c r="P2484">
        <v>2795.44</v>
      </c>
    </row>
    <row r="2485" spans="15:16" x14ac:dyDescent="0.35">
      <c r="O2485" s="18">
        <v>43119</v>
      </c>
      <c r="P2485">
        <v>2800.95</v>
      </c>
    </row>
    <row r="2486" spans="15:16" x14ac:dyDescent="0.35">
      <c r="O2486" s="18">
        <v>43122</v>
      </c>
      <c r="P2486">
        <v>2764.98</v>
      </c>
    </row>
    <row r="2487" spans="15:16" x14ac:dyDescent="0.35">
      <c r="O2487" s="18">
        <v>43123</v>
      </c>
      <c r="P2487">
        <v>2707.12</v>
      </c>
    </row>
    <row r="2488" spans="15:16" x14ac:dyDescent="0.35">
      <c r="O2488" s="18">
        <v>43124</v>
      </c>
      <c r="P2488">
        <v>2640.41</v>
      </c>
    </row>
    <row r="2489" spans="15:16" x14ac:dyDescent="0.35">
      <c r="O2489" s="18">
        <v>43125</v>
      </c>
      <c r="P2489">
        <v>2651.94</v>
      </c>
    </row>
    <row r="2490" spans="15:16" x14ac:dyDescent="0.35">
      <c r="O2490" s="18">
        <v>43129</v>
      </c>
      <c r="P2490">
        <v>2745.36</v>
      </c>
    </row>
    <row r="2491" spans="15:16" x14ac:dyDescent="0.35">
      <c r="O2491" s="18">
        <v>43130</v>
      </c>
      <c r="P2491">
        <v>2668.94</v>
      </c>
    </row>
    <row r="2492" spans="15:16" x14ac:dyDescent="0.35">
      <c r="O2492" s="18">
        <v>43131</v>
      </c>
      <c r="P2492">
        <v>2692.36</v>
      </c>
    </row>
    <row r="2493" spans="15:16" x14ac:dyDescent="0.35">
      <c r="O2493" s="18">
        <v>43132</v>
      </c>
      <c r="P2493">
        <v>2804.74</v>
      </c>
    </row>
    <row r="2494" spans="15:16" x14ac:dyDescent="0.35">
      <c r="O2494" s="18">
        <v>43133</v>
      </c>
      <c r="P2494">
        <v>2781.18</v>
      </c>
    </row>
    <row r="2495" spans="15:16" x14ac:dyDescent="0.35">
      <c r="O2495" s="18">
        <v>43136</v>
      </c>
      <c r="P2495">
        <v>2753.8</v>
      </c>
    </row>
    <row r="2496" spans="15:16" x14ac:dyDescent="0.35">
      <c r="O2496" s="18">
        <v>43137</v>
      </c>
      <c r="P2496">
        <v>2757.93</v>
      </c>
    </row>
    <row r="2497" spans="15:16" x14ac:dyDescent="0.35">
      <c r="O2497" s="18">
        <v>43138</v>
      </c>
      <c r="P2497">
        <v>2801.05</v>
      </c>
    </row>
    <row r="2498" spans="15:16" x14ac:dyDescent="0.35">
      <c r="O2498" s="18">
        <v>43139</v>
      </c>
      <c r="P2498">
        <v>2819.8</v>
      </c>
    </row>
    <row r="2499" spans="15:16" x14ac:dyDescent="0.35">
      <c r="O2499" s="18">
        <v>43140</v>
      </c>
      <c r="P2499">
        <v>2774.8</v>
      </c>
    </row>
    <row r="2500" spans="15:16" x14ac:dyDescent="0.35">
      <c r="O2500" s="18">
        <v>43143</v>
      </c>
      <c r="P2500">
        <v>2790.14</v>
      </c>
    </row>
    <row r="2501" spans="15:16" x14ac:dyDescent="0.35">
      <c r="O2501" s="18">
        <v>43145</v>
      </c>
      <c r="P2501">
        <v>2802.76</v>
      </c>
    </row>
    <row r="2502" spans="15:16" x14ac:dyDescent="0.35">
      <c r="O2502" s="18">
        <v>43146</v>
      </c>
      <c r="P2502">
        <v>2834.05</v>
      </c>
    </row>
    <row r="2503" spans="15:16" x14ac:dyDescent="0.35">
      <c r="O2503" s="18">
        <v>43147</v>
      </c>
      <c r="P2503">
        <v>2732.82</v>
      </c>
    </row>
    <row r="2504" spans="15:16" x14ac:dyDescent="0.35">
      <c r="O2504" s="18">
        <v>43150</v>
      </c>
      <c r="P2504">
        <v>2708.95</v>
      </c>
    </row>
    <row r="2505" spans="15:16" x14ac:dyDescent="0.35">
      <c r="O2505" s="18">
        <v>43151</v>
      </c>
      <c r="P2505">
        <v>2691.64</v>
      </c>
    </row>
    <row r="2506" spans="15:16" x14ac:dyDescent="0.35">
      <c r="O2506" s="18">
        <v>43152</v>
      </c>
      <c r="P2506">
        <v>2736.57</v>
      </c>
    </row>
    <row r="2507" spans="15:16" x14ac:dyDescent="0.35">
      <c r="O2507" s="18">
        <v>43153</v>
      </c>
      <c r="P2507">
        <v>2686.85</v>
      </c>
    </row>
    <row r="2508" spans="15:16" x14ac:dyDescent="0.35">
      <c r="O2508" s="18">
        <v>43154</v>
      </c>
      <c r="P2508">
        <v>2672.44</v>
      </c>
    </row>
    <row r="2509" spans="15:16" x14ac:dyDescent="0.35">
      <c r="O2509" s="18">
        <v>43157</v>
      </c>
      <c r="P2509">
        <v>2718.59</v>
      </c>
    </row>
    <row r="2510" spans="15:16" x14ac:dyDescent="0.35">
      <c r="O2510" s="18">
        <v>43158</v>
      </c>
      <c r="P2510">
        <v>2715.47</v>
      </c>
    </row>
    <row r="2511" spans="15:16" x14ac:dyDescent="0.35">
      <c r="O2511" s="18">
        <v>43159</v>
      </c>
      <c r="P2511">
        <v>2743.78</v>
      </c>
    </row>
    <row r="2512" spans="15:16" x14ac:dyDescent="0.35">
      <c r="O2512" s="18">
        <v>43160</v>
      </c>
      <c r="P2512">
        <v>2774.24</v>
      </c>
    </row>
    <row r="2513" spans="15:16" x14ac:dyDescent="0.35">
      <c r="O2513" s="18">
        <v>43164</v>
      </c>
      <c r="P2513">
        <v>2754.84</v>
      </c>
    </row>
    <row r="2514" spans="15:16" x14ac:dyDescent="0.35">
      <c r="O2514" s="18">
        <v>43165</v>
      </c>
      <c r="P2514">
        <v>2748.84</v>
      </c>
    </row>
    <row r="2515" spans="15:16" x14ac:dyDescent="0.35">
      <c r="O2515" s="18">
        <v>43166</v>
      </c>
      <c r="P2515">
        <v>2752.82</v>
      </c>
    </row>
    <row r="2516" spans="15:16" x14ac:dyDescent="0.35">
      <c r="O2516" s="18">
        <v>43167</v>
      </c>
      <c r="P2516">
        <v>2771.18</v>
      </c>
    </row>
    <row r="2517" spans="15:16" x14ac:dyDescent="0.35">
      <c r="O2517" s="18">
        <v>43168</v>
      </c>
      <c r="P2517">
        <v>2796.39</v>
      </c>
    </row>
    <row r="2518" spans="15:16" x14ac:dyDescent="0.35">
      <c r="O2518" s="18">
        <v>43171</v>
      </c>
      <c r="P2518">
        <v>2831.69</v>
      </c>
    </row>
    <row r="2519" spans="15:16" x14ac:dyDescent="0.35">
      <c r="O2519" s="18">
        <v>43172</v>
      </c>
      <c r="P2519">
        <v>2884.93</v>
      </c>
    </row>
    <row r="2520" spans="15:16" x14ac:dyDescent="0.35">
      <c r="O2520" s="18">
        <v>43173</v>
      </c>
      <c r="P2520">
        <v>2884.66</v>
      </c>
    </row>
    <row r="2521" spans="15:16" x14ac:dyDescent="0.35">
      <c r="O2521" s="18">
        <v>43174</v>
      </c>
      <c r="P2521">
        <v>2869.55</v>
      </c>
    </row>
    <row r="2522" spans="15:16" x14ac:dyDescent="0.35">
      <c r="O2522" s="18">
        <v>43175</v>
      </c>
      <c r="P2522">
        <v>2807.91</v>
      </c>
    </row>
    <row r="2523" spans="15:16" x14ac:dyDescent="0.35">
      <c r="O2523" s="18">
        <v>43178</v>
      </c>
      <c r="P2523">
        <v>2740.3</v>
      </c>
    </row>
    <row r="2524" spans="15:16" x14ac:dyDescent="0.35">
      <c r="O2524" s="18">
        <v>43179</v>
      </c>
      <c r="P2524">
        <v>2836.05</v>
      </c>
    </row>
    <row r="2525" spans="15:16" x14ac:dyDescent="0.35">
      <c r="O2525" s="18">
        <v>43180</v>
      </c>
      <c r="P2525">
        <v>2798.09</v>
      </c>
    </row>
    <row r="2526" spans="15:16" x14ac:dyDescent="0.35">
      <c r="O2526" s="18">
        <v>43181</v>
      </c>
      <c r="P2526">
        <v>2803.05</v>
      </c>
    </row>
    <row r="2527" spans="15:16" x14ac:dyDescent="0.35">
      <c r="O2527" s="18">
        <v>43182</v>
      </c>
      <c r="P2527">
        <v>2789.61</v>
      </c>
    </row>
    <row r="2528" spans="15:16" x14ac:dyDescent="0.35">
      <c r="O2528" s="18">
        <v>43185</v>
      </c>
      <c r="P2528">
        <v>2787.3</v>
      </c>
    </row>
    <row r="2529" spans="15:16" x14ac:dyDescent="0.35">
      <c r="O2529" s="18">
        <v>43186</v>
      </c>
      <c r="P2529">
        <v>2842.41</v>
      </c>
    </row>
    <row r="2530" spans="15:16" x14ac:dyDescent="0.35">
      <c r="O2530" s="18">
        <v>43187</v>
      </c>
      <c r="P2530">
        <v>2837.26</v>
      </c>
    </row>
    <row r="2531" spans="15:16" x14ac:dyDescent="0.35">
      <c r="O2531" s="18">
        <v>43192</v>
      </c>
      <c r="P2531">
        <v>2828.88</v>
      </c>
    </row>
    <row r="2532" spans="15:16" x14ac:dyDescent="0.35">
      <c r="O2532" s="18">
        <v>43193</v>
      </c>
      <c r="P2532">
        <v>2799</v>
      </c>
    </row>
    <row r="2533" spans="15:16" x14ac:dyDescent="0.35">
      <c r="O2533" s="18">
        <v>43194</v>
      </c>
      <c r="P2533">
        <v>2893.43</v>
      </c>
    </row>
    <row r="2534" spans="15:16" x14ac:dyDescent="0.35">
      <c r="O2534" s="18">
        <v>43195</v>
      </c>
      <c r="P2534">
        <v>2967.78</v>
      </c>
    </row>
    <row r="2535" spans="15:16" x14ac:dyDescent="0.35">
      <c r="O2535" s="18">
        <v>43196</v>
      </c>
      <c r="P2535">
        <v>2979.91</v>
      </c>
    </row>
    <row r="2536" spans="15:16" x14ac:dyDescent="0.35">
      <c r="O2536" s="18">
        <v>43199</v>
      </c>
      <c r="P2536">
        <v>2980.57</v>
      </c>
    </row>
    <row r="2537" spans="15:16" x14ac:dyDescent="0.35">
      <c r="O2537" s="18">
        <v>43200</v>
      </c>
      <c r="P2537">
        <v>2997.2</v>
      </c>
    </row>
    <row r="2538" spans="15:16" x14ac:dyDescent="0.35">
      <c r="O2538" s="18">
        <v>43201</v>
      </c>
      <c r="P2538">
        <v>3068.51</v>
      </c>
    </row>
    <row r="2539" spans="15:16" x14ac:dyDescent="0.35">
      <c r="O2539" s="18">
        <v>43202</v>
      </c>
      <c r="P2539">
        <v>3068.16</v>
      </c>
    </row>
    <row r="2540" spans="15:16" x14ac:dyDescent="0.35">
      <c r="O2540" s="18">
        <v>43203</v>
      </c>
      <c r="P2540">
        <v>3135.3</v>
      </c>
    </row>
    <row r="2541" spans="15:16" x14ac:dyDescent="0.35">
      <c r="O2541" s="18">
        <v>43206</v>
      </c>
      <c r="P2541">
        <v>3129.93</v>
      </c>
    </row>
    <row r="2542" spans="15:16" x14ac:dyDescent="0.35">
      <c r="O2542" s="18">
        <v>43207</v>
      </c>
      <c r="P2542">
        <v>3102.76</v>
      </c>
    </row>
    <row r="2543" spans="15:16" x14ac:dyDescent="0.35">
      <c r="O2543" s="18">
        <v>43208</v>
      </c>
      <c r="P2543">
        <v>3087.39</v>
      </c>
    </row>
    <row r="2544" spans="15:16" x14ac:dyDescent="0.35">
      <c r="O2544" s="18">
        <v>43209</v>
      </c>
      <c r="P2544">
        <v>3092.01</v>
      </c>
    </row>
    <row r="2545" spans="15:16" x14ac:dyDescent="0.35">
      <c r="O2545" s="18">
        <v>43210</v>
      </c>
      <c r="P2545">
        <v>3114.87</v>
      </c>
    </row>
    <row r="2546" spans="15:16" x14ac:dyDescent="0.35">
      <c r="O2546" s="18">
        <v>43213</v>
      </c>
      <c r="P2546">
        <v>3106.52</v>
      </c>
    </row>
    <row r="2547" spans="15:16" x14ac:dyDescent="0.35">
      <c r="O2547" s="18">
        <v>43214</v>
      </c>
      <c r="P2547">
        <v>3113.68</v>
      </c>
    </row>
    <row r="2548" spans="15:16" x14ac:dyDescent="0.35">
      <c r="O2548" s="18">
        <v>43215</v>
      </c>
      <c r="P2548">
        <v>3074.7</v>
      </c>
    </row>
    <row r="2549" spans="15:16" x14ac:dyDescent="0.35">
      <c r="O2549" s="18">
        <v>43216</v>
      </c>
      <c r="P2549">
        <v>3120.52</v>
      </c>
    </row>
    <row r="2550" spans="15:16" x14ac:dyDescent="0.35">
      <c r="O2550" s="18">
        <v>43217</v>
      </c>
      <c r="P2550">
        <v>3159.93</v>
      </c>
    </row>
    <row r="2551" spans="15:16" x14ac:dyDescent="0.35">
      <c r="O2551" s="18">
        <v>43220</v>
      </c>
      <c r="P2551">
        <v>3118.86</v>
      </c>
    </row>
    <row r="2552" spans="15:16" x14ac:dyDescent="0.35">
      <c r="O2552" s="18">
        <v>43222</v>
      </c>
      <c r="P2552">
        <v>3052.22</v>
      </c>
    </row>
    <row r="2553" spans="15:16" x14ac:dyDescent="0.35">
      <c r="O2553" s="18">
        <v>43223</v>
      </c>
      <c r="P2553">
        <v>2987.84</v>
      </c>
    </row>
    <row r="2554" spans="15:16" x14ac:dyDescent="0.35">
      <c r="O2554" s="18">
        <v>43224</v>
      </c>
      <c r="P2554">
        <v>2920.84</v>
      </c>
    </row>
    <row r="2555" spans="15:16" x14ac:dyDescent="0.35">
      <c r="O2555" s="18">
        <v>43227</v>
      </c>
      <c r="P2555">
        <v>2976.68</v>
      </c>
    </row>
    <row r="2556" spans="15:16" x14ac:dyDescent="0.35">
      <c r="O2556" s="18">
        <v>43228</v>
      </c>
      <c r="P2556">
        <v>3042.7</v>
      </c>
    </row>
    <row r="2557" spans="15:16" x14ac:dyDescent="0.35">
      <c r="O2557" s="18">
        <v>43229</v>
      </c>
      <c r="P2557">
        <v>3031.57</v>
      </c>
    </row>
    <row r="2558" spans="15:16" x14ac:dyDescent="0.35">
      <c r="O2558" s="18">
        <v>43230</v>
      </c>
      <c r="P2558">
        <v>3064.75</v>
      </c>
    </row>
    <row r="2559" spans="15:16" x14ac:dyDescent="0.35">
      <c r="O2559" s="18">
        <v>43231</v>
      </c>
      <c r="P2559">
        <v>3087.3</v>
      </c>
    </row>
    <row r="2560" spans="15:16" x14ac:dyDescent="0.35">
      <c r="O2560" s="18">
        <v>43234</v>
      </c>
      <c r="P2560">
        <v>3049.53</v>
      </c>
    </row>
    <row r="2561" spans="15:16" x14ac:dyDescent="0.35">
      <c r="O2561" s="18">
        <v>43235</v>
      </c>
      <c r="P2561">
        <v>3077.28</v>
      </c>
    </row>
    <row r="2562" spans="15:16" x14ac:dyDescent="0.35">
      <c r="O2562" s="18">
        <v>43236</v>
      </c>
      <c r="P2562">
        <v>3056.57</v>
      </c>
    </row>
    <row r="2563" spans="15:16" x14ac:dyDescent="0.35">
      <c r="O2563" s="18">
        <v>43237</v>
      </c>
      <c r="P2563">
        <v>3049.59</v>
      </c>
    </row>
    <row r="2564" spans="15:16" x14ac:dyDescent="0.35">
      <c r="O2564" s="18">
        <v>43238</v>
      </c>
      <c r="P2564">
        <v>3008.62</v>
      </c>
    </row>
    <row r="2565" spans="15:16" x14ac:dyDescent="0.35">
      <c r="O2565" s="18">
        <v>43241</v>
      </c>
      <c r="P2565">
        <v>2943.29</v>
      </c>
    </row>
    <row r="2566" spans="15:16" x14ac:dyDescent="0.35">
      <c r="O2566" s="18">
        <v>43242</v>
      </c>
      <c r="P2566">
        <v>2992.95</v>
      </c>
    </row>
    <row r="2567" spans="15:16" x14ac:dyDescent="0.35">
      <c r="O2567" s="18">
        <v>43243</v>
      </c>
      <c r="P2567">
        <v>2939.2</v>
      </c>
    </row>
    <row r="2568" spans="15:16" x14ac:dyDescent="0.35">
      <c r="O2568" s="18">
        <v>43244</v>
      </c>
      <c r="P2568">
        <v>2951.54</v>
      </c>
    </row>
    <row r="2569" spans="15:16" x14ac:dyDescent="0.35">
      <c r="O2569" s="18">
        <v>43245</v>
      </c>
      <c r="P2569">
        <v>3020.34</v>
      </c>
    </row>
    <row r="2570" spans="15:16" x14ac:dyDescent="0.35">
      <c r="O2570" s="18">
        <v>43248</v>
      </c>
      <c r="P2570">
        <v>3068.28</v>
      </c>
    </row>
    <row r="2571" spans="15:16" x14ac:dyDescent="0.35">
      <c r="O2571" s="18">
        <v>43249</v>
      </c>
      <c r="P2571">
        <v>3051.07</v>
      </c>
    </row>
    <row r="2572" spans="15:16" x14ac:dyDescent="0.35">
      <c r="O2572" s="18">
        <v>43250</v>
      </c>
      <c r="P2572">
        <v>3013.63</v>
      </c>
    </row>
    <row r="2573" spans="15:16" x14ac:dyDescent="0.35">
      <c r="O2573" s="18">
        <v>43251</v>
      </c>
      <c r="P2573">
        <v>3078.07</v>
      </c>
    </row>
    <row r="2574" spans="15:16" x14ac:dyDescent="0.35">
      <c r="O2574" s="18">
        <v>43252</v>
      </c>
      <c r="P2574">
        <v>2986.88</v>
      </c>
    </row>
    <row r="2575" spans="15:16" x14ac:dyDescent="0.35">
      <c r="O2575" s="18">
        <v>43255</v>
      </c>
      <c r="P2575">
        <v>2937.76</v>
      </c>
    </row>
    <row r="2576" spans="15:16" x14ac:dyDescent="0.35">
      <c r="O2576" s="18">
        <v>43256</v>
      </c>
      <c r="P2576">
        <v>2923.64</v>
      </c>
    </row>
    <row r="2577" spans="15:16" x14ac:dyDescent="0.35">
      <c r="O2577" s="18">
        <v>43257</v>
      </c>
      <c r="P2577">
        <v>2994.93</v>
      </c>
    </row>
    <row r="2578" spans="15:16" x14ac:dyDescent="0.35">
      <c r="O2578" s="18">
        <v>43258</v>
      </c>
      <c r="P2578">
        <v>2971.24</v>
      </c>
    </row>
    <row r="2579" spans="15:16" x14ac:dyDescent="0.35">
      <c r="O2579" s="18">
        <v>43259</v>
      </c>
      <c r="P2579">
        <v>2951.3</v>
      </c>
    </row>
    <row r="2580" spans="15:16" x14ac:dyDescent="0.35">
      <c r="O2580" s="18">
        <v>43262</v>
      </c>
      <c r="P2580">
        <v>2967.7</v>
      </c>
    </row>
    <row r="2581" spans="15:16" x14ac:dyDescent="0.35">
      <c r="O2581" s="18">
        <v>43263</v>
      </c>
      <c r="P2581">
        <v>2920.84</v>
      </c>
    </row>
    <row r="2582" spans="15:16" x14ac:dyDescent="0.35">
      <c r="O2582" s="18">
        <v>43264</v>
      </c>
      <c r="P2582">
        <v>2944.86</v>
      </c>
    </row>
    <row r="2583" spans="15:16" x14ac:dyDescent="0.35">
      <c r="O2583" s="18">
        <v>43265</v>
      </c>
      <c r="P2583">
        <v>2953.67</v>
      </c>
    </row>
    <row r="2584" spans="15:16" x14ac:dyDescent="0.35">
      <c r="O2584" s="18">
        <v>43266</v>
      </c>
      <c r="P2584">
        <v>2957.38</v>
      </c>
    </row>
    <row r="2585" spans="15:16" x14ac:dyDescent="0.35">
      <c r="O2585" s="18">
        <v>43269</v>
      </c>
      <c r="P2585">
        <v>3013.53</v>
      </c>
    </row>
    <row r="2586" spans="15:16" x14ac:dyDescent="0.35">
      <c r="O2586" s="18">
        <v>43270</v>
      </c>
      <c r="P2586">
        <v>2994.97</v>
      </c>
    </row>
    <row r="2587" spans="15:16" x14ac:dyDescent="0.35">
      <c r="O2587" s="18">
        <v>43271</v>
      </c>
      <c r="P2587">
        <v>2980.53</v>
      </c>
    </row>
    <row r="2588" spans="15:16" x14ac:dyDescent="0.35">
      <c r="O2588" s="18">
        <v>43272</v>
      </c>
      <c r="P2588">
        <v>2942.49</v>
      </c>
    </row>
    <row r="2589" spans="15:16" x14ac:dyDescent="0.35">
      <c r="O2589" s="18">
        <v>43273</v>
      </c>
      <c r="P2589">
        <v>2914.07</v>
      </c>
    </row>
    <row r="2590" spans="15:16" x14ac:dyDescent="0.35">
      <c r="O2590" s="18">
        <v>43276</v>
      </c>
      <c r="P2590">
        <v>2944</v>
      </c>
    </row>
    <row r="2591" spans="15:16" x14ac:dyDescent="0.35">
      <c r="O2591" s="18">
        <v>43277</v>
      </c>
      <c r="P2591">
        <v>2903.55</v>
      </c>
    </row>
    <row r="2592" spans="15:16" x14ac:dyDescent="0.35">
      <c r="O2592" s="18">
        <v>43278</v>
      </c>
      <c r="P2592">
        <v>2837.18</v>
      </c>
    </row>
    <row r="2593" spans="15:16" x14ac:dyDescent="0.35">
      <c r="O2593" s="18">
        <v>43279</v>
      </c>
      <c r="P2593">
        <v>2842.55</v>
      </c>
    </row>
    <row r="2594" spans="15:16" x14ac:dyDescent="0.35">
      <c r="O2594" s="18">
        <v>43280</v>
      </c>
      <c r="P2594">
        <v>2859.05</v>
      </c>
    </row>
    <row r="2595" spans="15:16" x14ac:dyDescent="0.35">
      <c r="O2595" s="18">
        <v>43283</v>
      </c>
      <c r="P2595">
        <v>2818.76</v>
      </c>
    </row>
    <row r="2596" spans="15:16" x14ac:dyDescent="0.35">
      <c r="O2596" s="18">
        <v>43284</v>
      </c>
      <c r="P2596">
        <v>2807.9</v>
      </c>
    </row>
    <row r="2597" spans="15:16" x14ac:dyDescent="0.35">
      <c r="O2597" s="18">
        <v>43285</v>
      </c>
      <c r="P2597">
        <v>2823.8</v>
      </c>
    </row>
    <row r="2598" spans="15:16" x14ac:dyDescent="0.35">
      <c r="O2598" s="18">
        <v>43286</v>
      </c>
      <c r="P2598">
        <v>2788.8</v>
      </c>
    </row>
    <row r="2599" spans="15:16" x14ac:dyDescent="0.35">
      <c r="O2599" s="18">
        <v>43287</v>
      </c>
      <c r="P2599">
        <v>2762.63</v>
      </c>
    </row>
    <row r="2600" spans="15:16" x14ac:dyDescent="0.35">
      <c r="O2600" s="18">
        <v>43290</v>
      </c>
      <c r="P2600">
        <v>2763.25</v>
      </c>
    </row>
    <row r="2601" spans="15:16" x14ac:dyDescent="0.35">
      <c r="O2601" s="18">
        <v>43291</v>
      </c>
      <c r="P2601">
        <v>2828.9</v>
      </c>
    </row>
    <row r="2602" spans="15:16" x14ac:dyDescent="0.35">
      <c r="O2602" s="18">
        <v>43292</v>
      </c>
      <c r="P2602">
        <v>2816.05</v>
      </c>
    </row>
    <row r="2603" spans="15:16" x14ac:dyDescent="0.35">
      <c r="O2603" s="18">
        <v>43293</v>
      </c>
      <c r="P2603">
        <v>2799.53</v>
      </c>
    </row>
    <row r="2604" spans="15:16" x14ac:dyDescent="0.35">
      <c r="O2604" s="18">
        <v>43294</v>
      </c>
      <c r="P2604">
        <v>2752.91</v>
      </c>
    </row>
    <row r="2605" spans="15:16" x14ac:dyDescent="0.35">
      <c r="O2605" s="18">
        <v>43297</v>
      </c>
      <c r="P2605">
        <v>2742.43</v>
      </c>
    </row>
    <row r="2606" spans="15:16" x14ac:dyDescent="0.35">
      <c r="O2606" s="18">
        <v>43298</v>
      </c>
      <c r="P2606">
        <v>2715.37</v>
      </c>
    </row>
    <row r="2607" spans="15:16" x14ac:dyDescent="0.35">
      <c r="O2607" s="18">
        <v>43299</v>
      </c>
      <c r="P2607">
        <v>2722.26</v>
      </c>
    </row>
    <row r="2608" spans="15:16" x14ac:dyDescent="0.35">
      <c r="O2608" s="18">
        <v>43300</v>
      </c>
      <c r="P2608">
        <v>2698.07</v>
      </c>
    </row>
    <row r="2609" spans="15:16" x14ac:dyDescent="0.35">
      <c r="O2609" s="18">
        <v>43301</v>
      </c>
      <c r="P2609">
        <v>2704.81</v>
      </c>
    </row>
    <row r="2610" spans="15:16" x14ac:dyDescent="0.35">
      <c r="O2610" s="18">
        <v>43304</v>
      </c>
      <c r="P2610">
        <v>2702.34</v>
      </c>
    </row>
    <row r="2611" spans="15:16" x14ac:dyDescent="0.35">
      <c r="O2611" s="18">
        <v>43305</v>
      </c>
      <c r="P2611">
        <v>2769.78</v>
      </c>
    </row>
    <row r="2612" spans="15:16" x14ac:dyDescent="0.35">
      <c r="O2612" s="18">
        <v>43306</v>
      </c>
      <c r="P2612">
        <v>2728.83</v>
      </c>
    </row>
    <row r="2613" spans="15:16" x14ac:dyDescent="0.35">
      <c r="O2613" s="18">
        <v>43307</v>
      </c>
      <c r="P2613">
        <v>2826.57</v>
      </c>
    </row>
    <row r="2614" spans="15:16" x14ac:dyDescent="0.35">
      <c r="O2614" s="18">
        <v>43308</v>
      </c>
      <c r="P2614">
        <v>2894.62</v>
      </c>
    </row>
    <row r="2615" spans="15:16" x14ac:dyDescent="0.35">
      <c r="O2615" s="18">
        <v>43311</v>
      </c>
      <c r="P2615">
        <v>2859.47</v>
      </c>
    </row>
    <row r="2616" spans="15:16" x14ac:dyDescent="0.35">
      <c r="O2616" s="18">
        <v>43312</v>
      </c>
      <c r="P2616">
        <v>2779.86</v>
      </c>
    </row>
    <row r="2617" spans="15:16" x14ac:dyDescent="0.35">
      <c r="O2617" s="18">
        <v>43313</v>
      </c>
      <c r="P2617">
        <v>2729.87</v>
      </c>
    </row>
    <row r="2618" spans="15:16" x14ac:dyDescent="0.35">
      <c r="O2618" s="18">
        <v>43314</v>
      </c>
      <c r="P2618">
        <v>2696.09</v>
      </c>
    </row>
    <row r="2619" spans="15:16" x14ac:dyDescent="0.35">
      <c r="O2619" s="18">
        <v>43315</v>
      </c>
      <c r="P2619">
        <v>2699.57</v>
      </c>
    </row>
    <row r="2620" spans="15:16" x14ac:dyDescent="0.35">
      <c r="O2620" s="18">
        <v>43318</v>
      </c>
      <c r="P2620">
        <v>2703.75</v>
      </c>
    </row>
    <row r="2621" spans="15:16" x14ac:dyDescent="0.35">
      <c r="O2621" s="18">
        <v>43319</v>
      </c>
      <c r="P2621">
        <v>2752.36</v>
      </c>
    </row>
    <row r="2622" spans="15:16" x14ac:dyDescent="0.35">
      <c r="O2622" s="18">
        <v>43320</v>
      </c>
      <c r="P2622">
        <v>2759.32</v>
      </c>
    </row>
    <row r="2623" spans="15:16" x14ac:dyDescent="0.35">
      <c r="O2623" s="18">
        <v>43321</v>
      </c>
      <c r="P2623">
        <v>2743.88</v>
      </c>
    </row>
    <row r="2624" spans="15:16" x14ac:dyDescent="0.35">
      <c r="O2624" s="18">
        <v>43322</v>
      </c>
      <c r="P2624">
        <v>2899.77</v>
      </c>
    </row>
    <row r="2625" spans="15:16" x14ac:dyDescent="0.35">
      <c r="O2625" s="18">
        <v>43325</v>
      </c>
      <c r="P2625">
        <v>2840.66</v>
      </c>
    </row>
    <row r="2626" spans="15:16" x14ac:dyDescent="0.35">
      <c r="O2626" s="18">
        <v>43326</v>
      </c>
      <c r="P2626">
        <v>2899.24</v>
      </c>
    </row>
    <row r="2627" spans="15:16" x14ac:dyDescent="0.35">
      <c r="O2627" s="18">
        <v>43328</v>
      </c>
      <c r="P2627">
        <v>2880.39</v>
      </c>
    </row>
    <row r="2628" spans="15:16" x14ac:dyDescent="0.35">
      <c r="O2628" s="18">
        <v>43329</v>
      </c>
      <c r="P2628">
        <v>2847.61</v>
      </c>
    </row>
    <row r="2629" spans="15:16" x14ac:dyDescent="0.35">
      <c r="O2629" s="18">
        <v>43332</v>
      </c>
      <c r="P2629">
        <v>2838.28</v>
      </c>
    </row>
    <row r="2630" spans="15:16" x14ac:dyDescent="0.35">
      <c r="O2630" s="18">
        <v>43333</v>
      </c>
      <c r="P2630">
        <v>2861.11</v>
      </c>
    </row>
    <row r="2631" spans="15:16" x14ac:dyDescent="0.35">
      <c r="O2631" s="18">
        <v>43335</v>
      </c>
      <c r="P2631">
        <v>2876.69</v>
      </c>
    </row>
    <row r="2632" spans="15:16" x14ac:dyDescent="0.35">
      <c r="O2632" s="18">
        <v>43336</v>
      </c>
      <c r="P2632">
        <v>2886.98</v>
      </c>
    </row>
    <row r="2633" spans="15:16" x14ac:dyDescent="0.35">
      <c r="O2633" s="18">
        <v>43339</v>
      </c>
      <c r="P2633">
        <v>2898.2</v>
      </c>
    </row>
    <row r="2634" spans="15:16" x14ac:dyDescent="0.35">
      <c r="O2634" s="18">
        <v>43340</v>
      </c>
      <c r="P2634">
        <v>2867.8</v>
      </c>
    </row>
    <row r="2635" spans="15:16" x14ac:dyDescent="0.35">
      <c r="O2635" s="18">
        <v>43341</v>
      </c>
      <c r="P2635">
        <v>2818.88</v>
      </c>
    </row>
    <row r="2636" spans="15:16" x14ac:dyDescent="0.35">
      <c r="O2636" s="18">
        <v>43342</v>
      </c>
      <c r="P2636">
        <v>2760.22</v>
      </c>
    </row>
    <row r="2637" spans="15:16" x14ac:dyDescent="0.35">
      <c r="O2637" s="18">
        <v>43343</v>
      </c>
      <c r="P2637">
        <v>2805.97</v>
      </c>
    </row>
    <row r="2638" spans="15:16" x14ac:dyDescent="0.35">
      <c r="O2638" s="18">
        <v>43346</v>
      </c>
      <c r="P2638">
        <v>2888.59</v>
      </c>
    </row>
    <row r="2639" spans="15:16" x14ac:dyDescent="0.35">
      <c r="O2639" s="18">
        <v>43347</v>
      </c>
      <c r="P2639">
        <v>2880.72</v>
      </c>
    </row>
    <row r="2640" spans="15:16" x14ac:dyDescent="0.35">
      <c r="O2640" s="18">
        <v>43348</v>
      </c>
      <c r="P2640">
        <v>2905.5</v>
      </c>
    </row>
    <row r="2641" spans="15:16" x14ac:dyDescent="0.35">
      <c r="O2641" s="18">
        <v>43349</v>
      </c>
      <c r="P2641">
        <v>2884.41</v>
      </c>
    </row>
    <row r="2642" spans="15:16" x14ac:dyDescent="0.35">
      <c r="O2642" s="18">
        <v>43350</v>
      </c>
      <c r="P2642">
        <v>2868.22</v>
      </c>
    </row>
    <row r="2643" spans="15:16" x14ac:dyDescent="0.35">
      <c r="O2643" s="18">
        <v>43353</v>
      </c>
      <c r="P2643">
        <v>2862.3</v>
      </c>
    </row>
    <row r="2644" spans="15:16" x14ac:dyDescent="0.35">
      <c r="O2644" s="18">
        <v>43354</v>
      </c>
      <c r="P2644">
        <v>2806.96</v>
      </c>
    </row>
    <row r="2645" spans="15:16" x14ac:dyDescent="0.35">
      <c r="O2645" s="18">
        <v>43355</v>
      </c>
      <c r="P2645">
        <v>2881.22</v>
      </c>
    </row>
    <row r="2646" spans="15:16" x14ac:dyDescent="0.35">
      <c r="O2646" s="18">
        <v>43357</v>
      </c>
      <c r="P2646">
        <v>2938.38</v>
      </c>
    </row>
    <row r="2647" spans="15:16" x14ac:dyDescent="0.35">
      <c r="O2647" s="18">
        <v>43360</v>
      </c>
      <c r="P2647">
        <v>2966.37</v>
      </c>
    </row>
    <row r="2648" spans="15:16" x14ac:dyDescent="0.35">
      <c r="O2648" s="18">
        <v>43361</v>
      </c>
      <c r="P2648">
        <v>2890.03</v>
      </c>
    </row>
    <row r="2649" spans="15:16" x14ac:dyDescent="0.35">
      <c r="O2649" s="18">
        <v>43362</v>
      </c>
      <c r="P2649">
        <v>2841.05</v>
      </c>
    </row>
    <row r="2650" spans="15:16" x14ac:dyDescent="0.35">
      <c r="O2650" s="18">
        <v>43364</v>
      </c>
      <c r="P2650">
        <v>2794.02</v>
      </c>
    </row>
    <row r="2651" spans="15:16" x14ac:dyDescent="0.35">
      <c r="O2651" s="18">
        <v>43367</v>
      </c>
      <c r="P2651">
        <v>2585.2800000000002</v>
      </c>
    </row>
    <row r="2652" spans="15:16" x14ac:dyDescent="0.35">
      <c r="O2652" s="18">
        <v>43368</v>
      </c>
      <c r="P2652">
        <v>2559.9699999999998</v>
      </c>
    </row>
    <row r="2653" spans="15:16" x14ac:dyDescent="0.35">
      <c r="O2653" s="18">
        <v>43369</v>
      </c>
      <c r="P2653">
        <v>2518.0700000000002</v>
      </c>
    </row>
    <row r="2654" spans="15:16" x14ac:dyDescent="0.35">
      <c r="O2654" s="18">
        <v>43370</v>
      </c>
      <c r="P2654">
        <v>2490.2199999999998</v>
      </c>
    </row>
    <row r="2655" spans="15:16" x14ac:dyDescent="0.35">
      <c r="O2655" s="18">
        <v>43371</v>
      </c>
      <c r="P2655">
        <v>2418.54</v>
      </c>
    </row>
    <row r="2656" spans="15:16" x14ac:dyDescent="0.35">
      <c r="O2656" s="18">
        <v>43374</v>
      </c>
      <c r="P2656">
        <v>2474.9499999999998</v>
      </c>
    </row>
    <row r="2657" spans="15:16" x14ac:dyDescent="0.35">
      <c r="O2657" s="18">
        <v>43376</v>
      </c>
      <c r="P2657">
        <v>2323.5700000000002</v>
      </c>
    </row>
    <row r="2658" spans="15:16" x14ac:dyDescent="0.35">
      <c r="O2658" s="18">
        <v>43377</v>
      </c>
      <c r="P2658">
        <v>2190.7800000000002</v>
      </c>
    </row>
    <row r="2659" spans="15:16" x14ac:dyDescent="0.35">
      <c r="O2659" s="18">
        <v>43378</v>
      </c>
      <c r="P2659">
        <v>2119.0500000000002</v>
      </c>
    </row>
    <row r="2660" spans="15:16" x14ac:dyDescent="0.35">
      <c r="O2660" s="18">
        <v>43381</v>
      </c>
      <c r="P2660">
        <v>2213.4699999999998</v>
      </c>
    </row>
    <row r="2661" spans="15:16" x14ac:dyDescent="0.35">
      <c r="O2661" s="18">
        <v>43382</v>
      </c>
      <c r="P2661">
        <v>2108.5700000000002</v>
      </c>
    </row>
    <row r="2662" spans="15:16" x14ac:dyDescent="0.35">
      <c r="O2662" s="18">
        <v>43383</v>
      </c>
      <c r="P2662">
        <v>2258.2399999999998</v>
      </c>
    </row>
    <row r="2663" spans="15:16" x14ac:dyDescent="0.35">
      <c r="O2663" s="18">
        <v>43384</v>
      </c>
      <c r="P2663">
        <v>2235.7399999999998</v>
      </c>
    </row>
    <row r="2664" spans="15:16" x14ac:dyDescent="0.35">
      <c r="O2664" s="18">
        <v>43385</v>
      </c>
      <c r="P2664">
        <v>2390.38</v>
      </c>
    </row>
    <row r="2665" spans="15:16" x14ac:dyDescent="0.35">
      <c r="O2665" s="18">
        <v>43388</v>
      </c>
      <c r="P2665">
        <v>2343.4499999999998</v>
      </c>
    </row>
    <row r="2666" spans="15:16" x14ac:dyDescent="0.35">
      <c r="O2666" s="18">
        <v>43389</v>
      </c>
      <c r="P2666">
        <v>2300.2199999999998</v>
      </c>
    </row>
    <row r="2667" spans="15:16" x14ac:dyDescent="0.35">
      <c r="O2667" s="18">
        <v>43390</v>
      </c>
      <c r="P2667">
        <v>2197.81</v>
      </c>
    </row>
    <row r="2668" spans="15:16" x14ac:dyDescent="0.35">
      <c r="O2668" s="18">
        <v>43392</v>
      </c>
      <c r="P2668">
        <v>2162.5300000000002</v>
      </c>
    </row>
    <row r="2669" spans="15:16" x14ac:dyDescent="0.35">
      <c r="O2669" s="18">
        <v>43395</v>
      </c>
      <c r="P2669">
        <v>2242.5100000000002</v>
      </c>
    </row>
    <row r="2670" spans="15:16" x14ac:dyDescent="0.35">
      <c r="O2670" s="18">
        <v>43396</v>
      </c>
      <c r="P2670">
        <v>2225.8200000000002</v>
      </c>
    </row>
    <row r="2671" spans="15:16" x14ac:dyDescent="0.35">
      <c r="O2671" s="18">
        <v>43397</v>
      </c>
      <c r="P2671">
        <v>2262.4699999999998</v>
      </c>
    </row>
    <row r="2672" spans="15:16" x14ac:dyDescent="0.35">
      <c r="O2672" s="18">
        <v>43398</v>
      </c>
      <c r="P2672">
        <v>2209.2199999999998</v>
      </c>
    </row>
    <row r="2673" spans="15:16" x14ac:dyDescent="0.35">
      <c r="O2673" s="18">
        <v>43399</v>
      </c>
      <c r="P2673">
        <v>2180.64</v>
      </c>
    </row>
    <row r="2674" spans="15:16" x14ac:dyDescent="0.35">
      <c r="O2674" s="18">
        <v>43402</v>
      </c>
      <c r="P2674">
        <v>2146.19</v>
      </c>
    </row>
    <row r="2675" spans="15:16" x14ac:dyDescent="0.35">
      <c r="O2675" s="18">
        <v>43403</v>
      </c>
      <c r="P2675">
        <v>2102.61</v>
      </c>
    </row>
    <row r="2676" spans="15:16" x14ac:dyDescent="0.35">
      <c r="O2676" s="18">
        <v>43404</v>
      </c>
      <c r="P2676">
        <v>2186.46</v>
      </c>
    </row>
    <row r="2677" spans="15:16" x14ac:dyDescent="0.35">
      <c r="O2677" s="18">
        <v>43405</v>
      </c>
      <c r="P2677">
        <v>2199.21</v>
      </c>
    </row>
    <row r="2678" spans="15:16" x14ac:dyDescent="0.35">
      <c r="O2678" s="18">
        <v>43406</v>
      </c>
      <c r="P2678">
        <v>2267.41</v>
      </c>
    </row>
    <row r="2679" spans="15:16" x14ac:dyDescent="0.35">
      <c r="O2679" s="18">
        <v>43409</v>
      </c>
      <c r="P2679">
        <v>2255.2199999999998</v>
      </c>
    </row>
    <row r="2680" spans="15:16" x14ac:dyDescent="0.35">
      <c r="O2680" s="18">
        <v>43410</v>
      </c>
      <c r="P2680">
        <v>2255.9699999999998</v>
      </c>
    </row>
    <row r="2681" spans="15:16" x14ac:dyDescent="0.35">
      <c r="O2681" s="18">
        <v>43411</v>
      </c>
      <c r="P2681">
        <v>2265.0300000000002</v>
      </c>
    </row>
    <row r="2682" spans="15:16" x14ac:dyDescent="0.35">
      <c r="O2682" s="18">
        <v>43413</v>
      </c>
      <c r="P2682">
        <v>2249.5300000000002</v>
      </c>
    </row>
    <row r="2683" spans="15:16" x14ac:dyDescent="0.35">
      <c r="O2683" s="18">
        <v>43416</v>
      </c>
      <c r="P2683">
        <v>2193.36</v>
      </c>
    </row>
    <row r="2684" spans="15:16" x14ac:dyDescent="0.35">
      <c r="O2684" s="18">
        <v>43417</v>
      </c>
      <c r="P2684">
        <v>2324.1799999999998</v>
      </c>
    </row>
    <row r="2685" spans="15:16" x14ac:dyDescent="0.35">
      <c r="O2685" s="18">
        <v>43418</v>
      </c>
      <c r="P2685">
        <v>2324.0100000000002</v>
      </c>
    </row>
    <row r="2686" spans="15:16" x14ac:dyDescent="0.35">
      <c r="O2686" s="18">
        <v>43419</v>
      </c>
      <c r="P2686">
        <v>2394.5300000000002</v>
      </c>
    </row>
    <row r="2687" spans="15:16" x14ac:dyDescent="0.35">
      <c r="O2687" s="18">
        <v>43420</v>
      </c>
      <c r="P2687">
        <v>2473.5</v>
      </c>
    </row>
    <row r="2688" spans="15:16" x14ac:dyDescent="0.35">
      <c r="O2688" s="18">
        <v>43423</v>
      </c>
      <c r="P2688">
        <v>2489.71</v>
      </c>
    </row>
    <row r="2689" spans="15:16" x14ac:dyDescent="0.35">
      <c r="O2689" s="18">
        <v>43424</v>
      </c>
      <c r="P2689">
        <v>2459.58</v>
      </c>
    </row>
    <row r="2690" spans="15:16" x14ac:dyDescent="0.35">
      <c r="O2690" s="18">
        <v>43425</v>
      </c>
      <c r="P2690">
        <v>2421.64</v>
      </c>
    </row>
    <row r="2691" spans="15:16" x14ac:dyDescent="0.35">
      <c r="O2691" s="18">
        <v>43426</v>
      </c>
      <c r="P2691">
        <v>2410.91</v>
      </c>
    </row>
    <row r="2692" spans="15:16" x14ac:dyDescent="0.35">
      <c r="O2692" s="18">
        <v>43430</v>
      </c>
      <c r="P2692">
        <v>2384.83</v>
      </c>
    </row>
    <row r="2693" spans="15:16" x14ac:dyDescent="0.35">
      <c r="O2693" s="18">
        <v>43431</v>
      </c>
      <c r="P2693">
        <v>2380.7600000000002</v>
      </c>
    </row>
    <row r="2694" spans="15:16" x14ac:dyDescent="0.35">
      <c r="O2694" s="18">
        <v>43432</v>
      </c>
      <c r="P2694">
        <v>2311.14</v>
      </c>
    </row>
    <row r="2695" spans="15:16" x14ac:dyDescent="0.35">
      <c r="O2695" s="18">
        <v>43433</v>
      </c>
      <c r="P2695">
        <v>2352.13</v>
      </c>
    </row>
    <row r="2696" spans="15:16" x14ac:dyDescent="0.35">
      <c r="O2696" s="18">
        <v>43434</v>
      </c>
      <c r="P2696">
        <v>2340.5300000000002</v>
      </c>
    </row>
    <row r="2697" spans="15:16" x14ac:dyDescent="0.35">
      <c r="O2697" s="18">
        <v>43437</v>
      </c>
      <c r="P2697">
        <v>2356.73</v>
      </c>
    </row>
    <row r="2698" spans="15:16" x14ac:dyDescent="0.35">
      <c r="O2698" s="18">
        <v>43438</v>
      </c>
      <c r="P2698">
        <v>2340.14</v>
      </c>
    </row>
    <row r="2699" spans="15:16" x14ac:dyDescent="0.35">
      <c r="O2699" s="18">
        <v>43439</v>
      </c>
      <c r="P2699">
        <v>2279.34</v>
      </c>
    </row>
    <row r="2700" spans="15:16" x14ac:dyDescent="0.35">
      <c r="O2700" s="18">
        <v>43440</v>
      </c>
      <c r="P2700">
        <v>2221.14</v>
      </c>
    </row>
    <row r="2701" spans="15:16" x14ac:dyDescent="0.35">
      <c r="O2701" s="18">
        <v>43441</v>
      </c>
      <c r="P2701">
        <v>2236.9299999999998</v>
      </c>
    </row>
    <row r="2702" spans="15:16" x14ac:dyDescent="0.35">
      <c r="O2702" s="18">
        <v>43444</v>
      </c>
      <c r="P2702">
        <v>2240.4899999999998</v>
      </c>
    </row>
    <row r="2703" spans="15:16" x14ac:dyDescent="0.35">
      <c r="O2703" s="18">
        <v>43445</v>
      </c>
      <c r="P2703">
        <v>2264.06</v>
      </c>
    </row>
    <row r="2704" spans="15:16" x14ac:dyDescent="0.35">
      <c r="O2704" s="18">
        <v>43446</v>
      </c>
      <c r="P2704">
        <v>2372.1999999999998</v>
      </c>
    </row>
    <row r="2705" spans="15:16" x14ac:dyDescent="0.35">
      <c r="O2705" s="18">
        <v>43447</v>
      </c>
      <c r="P2705">
        <v>2330.54</v>
      </c>
    </row>
    <row r="2706" spans="15:16" x14ac:dyDescent="0.35">
      <c r="O2706" s="18">
        <v>43448</v>
      </c>
      <c r="P2706">
        <v>2371.61</v>
      </c>
    </row>
    <row r="2707" spans="15:16" x14ac:dyDescent="0.35">
      <c r="O2707" s="18">
        <v>43451</v>
      </c>
      <c r="P2707">
        <v>2369.7800000000002</v>
      </c>
    </row>
    <row r="2708" spans="15:16" x14ac:dyDescent="0.35">
      <c r="O2708" s="18">
        <v>43452</v>
      </c>
      <c r="P2708">
        <v>2386.5700000000002</v>
      </c>
    </row>
    <row r="2709" spans="15:16" x14ac:dyDescent="0.35">
      <c r="O2709" s="18">
        <v>43453</v>
      </c>
      <c r="P2709">
        <v>2395.5700000000002</v>
      </c>
    </row>
    <row r="2710" spans="15:16" x14ac:dyDescent="0.35">
      <c r="O2710" s="18">
        <v>43454</v>
      </c>
      <c r="P2710">
        <v>2409.1999999999998</v>
      </c>
    </row>
    <row r="2711" spans="15:16" x14ac:dyDescent="0.35">
      <c r="O2711" s="18">
        <v>43455</v>
      </c>
      <c r="P2711">
        <v>2359.7600000000002</v>
      </c>
    </row>
    <row r="2712" spans="15:16" x14ac:dyDescent="0.35">
      <c r="O2712" s="18">
        <v>43458</v>
      </c>
      <c r="P2712">
        <v>2321.0700000000002</v>
      </c>
    </row>
    <row r="2713" spans="15:16" x14ac:dyDescent="0.35">
      <c r="O2713" s="18">
        <v>43460</v>
      </c>
      <c r="P2713">
        <v>2308.14</v>
      </c>
    </row>
    <row r="2714" spans="15:16" x14ac:dyDescent="0.35">
      <c r="O2714" s="18">
        <v>43461</v>
      </c>
      <c r="P2714">
        <v>2299.4499999999998</v>
      </c>
    </row>
    <row r="2715" spans="15:16" x14ac:dyDescent="0.35">
      <c r="O2715" s="18">
        <v>43462</v>
      </c>
      <c r="P2715">
        <v>2312.41</v>
      </c>
    </row>
    <row r="2716" spans="15:16" x14ac:dyDescent="0.35">
      <c r="O2716" s="18">
        <v>43465</v>
      </c>
      <c r="P2716">
        <v>2315.84</v>
      </c>
    </row>
    <row r="2717" spans="15:16" x14ac:dyDescent="0.35">
      <c r="O2717" s="18">
        <v>43466</v>
      </c>
      <c r="P2717">
        <v>2319.5100000000002</v>
      </c>
    </row>
    <row r="2718" spans="15:16" x14ac:dyDescent="0.35">
      <c r="O2718" s="18">
        <v>43467</v>
      </c>
      <c r="P2718">
        <v>2116.23</v>
      </c>
    </row>
    <row r="2719" spans="15:16" x14ac:dyDescent="0.35">
      <c r="O2719" s="18">
        <v>43468</v>
      </c>
      <c r="P2719">
        <v>2021.14</v>
      </c>
    </row>
    <row r="2720" spans="15:16" x14ac:dyDescent="0.35">
      <c r="O2720" s="18">
        <v>43469</v>
      </c>
      <c r="P2720">
        <v>2010.36</v>
      </c>
    </row>
    <row r="2721" spans="15:16" x14ac:dyDescent="0.35">
      <c r="O2721" s="18">
        <v>43472</v>
      </c>
      <c r="P2721">
        <v>1983.04</v>
      </c>
    </row>
    <row r="2722" spans="15:16" x14ac:dyDescent="0.35">
      <c r="O2722" s="18">
        <v>43473</v>
      </c>
      <c r="P2722">
        <v>2004.46</v>
      </c>
    </row>
    <row r="2723" spans="15:16" x14ac:dyDescent="0.35">
      <c r="O2723" s="18">
        <v>43474</v>
      </c>
      <c r="P2723">
        <v>2029.11</v>
      </c>
    </row>
    <row r="2724" spans="15:16" x14ac:dyDescent="0.35">
      <c r="O2724" s="18">
        <v>43475</v>
      </c>
      <c r="P2724">
        <v>2055.61</v>
      </c>
    </row>
    <row r="2725" spans="15:16" x14ac:dyDescent="0.35">
      <c r="O2725" s="18">
        <v>43476</v>
      </c>
      <c r="P2725">
        <v>2050.7600000000002</v>
      </c>
    </row>
    <row r="2726" spans="15:16" x14ac:dyDescent="0.35">
      <c r="O2726" s="18">
        <v>43479</v>
      </c>
      <c r="P2726">
        <v>2048.04</v>
      </c>
    </row>
    <row r="2727" spans="15:16" x14ac:dyDescent="0.35">
      <c r="O2727" s="18">
        <v>43480</v>
      </c>
      <c r="P2727">
        <v>2063.8200000000002</v>
      </c>
    </row>
    <row r="2728" spans="15:16" x14ac:dyDescent="0.35">
      <c r="O2728" s="18">
        <v>43481</v>
      </c>
      <c r="P2728">
        <v>2073.5700000000002</v>
      </c>
    </row>
    <row r="2729" spans="15:16" x14ac:dyDescent="0.35">
      <c r="O2729" s="18">
        <v>43482</v>
      </c>
      <c r="P2729">
        <v>2036.99</v>
      </c>
    </row>
    <row r="2730" spans="15:16" x14ac:dyDescent="0.35">
      <c r="O2730" s="18">
        <v>43483</v>
      </c>
      <c r="P2730">
        <v>2012.28</v>
      </c>
    </row>
    <row r="2731" spans="15:16" x14ac:dyDescent="0.35">
      <c r="O2731" s="18">
        <v>43486</v>
      </c>
      <c r="P2731">
        <v>2002.8</v>
      </c>
    </row>
    <row r="2732" spans="15:16" x14ac:dyDescent="0.35">
      <c r="O2732" s="18">
        <v>43487</v>
      </c>
      <c r="P2732">
        <v>2002.36</v>
      </c>
    </row>
    <row r="2733" spans="15:16" x14ac:dyDescent="0.35">
      <c r="O2733" s="18">
        <v>43488</v>
      </c>
      <c r="P2733">
        <v>2008.91</v>
      </c>
    </row>
    <row r="2734" spans="15:16" x14ac:dyDescent="0.35">
      <c r="O2734" s="18">
        <v>43489</v>
      </c>
      <c r="P2734">
        <v>2011.56</v>
      </c>
    </row>
    <row r="2735" spans="15:16" x14ac:dyDescent="0.35">
      <c r="O2735" s="18">
        <v>43490</v>
      </c>
      <c r="P2735">
        <v>2004.99</v>
      </c>
    </row>
    <row r="2736" spans="15:16" x14ac:dyDescent="0.35">
      <c r="O2736" s="18">
        <v>43493</v>
      </c>
      <c r="P2736">
        <v>1998.74</v>
      </c>
    </row>
    <row r="2737" spans="15:16" x14ac:dyDescent="0.35">
      <c r="O2737" s="18">
        <v>43494</v>
      </c>
      <c r="P2737">
        <v>1887.72</v>
      </c>
    </row>
    <row r="2738" spans="15:16" x14ac:dyDescent="0.35">
      <c r="O2738" s="18">
        <v>43495</v>
      </c>
      <c r="P2738">
        <v>1891.91</v>
      </c>
    </row>
    <row r="2739" spans="15:16" x14ac:dyDescent="0.35">
      <c r="O2739" s="18">
        <v>43496</v>
      </c>
      <c r="P2739">
        <v>1900.58</v>
      </c>
    </row>
    <row r="2740" spans="15:16" x14ac:dyDescent="0.35">
      <c r="O2740" s="18">
        <v>43497</v>
      </c>
      <c r="P2740">
        <v>1966.34</v>
      </c>
    </row>
    <row r="2741" spans="15:16" x14ac:dyDescent="0.35">
      <c r="O2741" s="18">
        <v>43500</v>
      </c>
      <c r="P2741">
        <v>2012.83</v>
      </c>
    </row>
    <row r="2742" spans="15:16" x14ac:dyDescent="0.35">
      <c r="O2742" s="18">
        <v>43501</v>
      </c>
      <c r="P2742">
        <v>2047.96</v>
      </c>
    </row>
    <row r="2743" spans="15:16" x14ac:dyDescent="0.35">
      <c r="O2743" s="18">
        <v>43502</v>
      </c>
      <c r="P2743">
        <v>2110.4299999999998</v>
      </c>
    </row>
    <row r="2744" spans="15:16" x14ac:dyDescent="0.35">
      <c r="O2744" s="18">
        <v>43503</v>
      </c>
      <c r="P2744">
        <v>2190.42</v>
      </c>
    </row>
    <row r="2745" spans="15:16" x14ac:dyDescent="0.35">
      <c r="O2745" s="18">
        <v>43504</v>
      </c>
      <c r="P2745">
        <v>2084.7399999999998</v>
      </c>
    </row>
    <row r="2746" spans="15:16" x14ac:dyDescent="0.35">
      <c r="O2746" s="18">
        <v>43507</v>
      </c>
      <c r="P2746">
        <v>2075.3200000000002</v>
      </c>
    </row>
    <row r="2747" spans="15:16" x14ac:dyDescent="0.35">
      <c r="O2747" s="18">
        <v>43508</v>
      </c>
      <c r="P2747">
        <v>2113.75</v>
      </c>
    </row>
    <row r="2748" spans="15:16" x14ac:dyDescent="0.35">
      <c r="O2748" s="18">
        <v>43509</v>
      </c>
      <c r="P2748">
        <v>2015.87</v>
      </c>
    </row>
    <row r="2749" spans="15:16" x14ac:dyDescent="0.35">
      <c r="O2749" s="18">
        <v>43510</v>
      </c>
      <c r="P2749">
        <v>2001.64</v>
      </c>
    </row>
    <row r="2750" spans="15:16" x14ac:dyDescent="0.35">
      <c r="O2750" s="18">
        <v>43511</v>
      </c>
      <c r="P2750">
        <v>2023.41</v>
      </c>
    </row>
    <row r="2751" spans="15:16" x14ac:dyDescent="0.35">
      <c r="O2751" s="18">
        <v>43514</v>
      </c>
      <c r="P2751">
        <v>2015.52</v>
      </c>
    </row>
    <row r="2752" spans="15:16" x14ac:dyDescent="0.35">
      <c r="O2752" s="18">
        <v>43515</v>
      </c>
      <c r="P2752">
        <v>2040.98</v>
      </c>
    </row>
    <row r="2753" spans="15:16" x14ac:dyDescent="0.35">
      <c r="O2753" s="18">
        <v>43516</v>
      </c>
      <c r="P2753">
        <v>2052.86</v>
      </c>
    </row>
    <row r="2754" spans="15:16" x14ac:dyDescent="0.35">
      <c r="O2754" s="18">
        <v>43517</v>
      </c>
      <c r="P2754">
        <v>2044.74</v>
      </c>
    </row>
    <row r="2755" spans="15:16" x14ac:dyDescent="0.35">
      <c r="O2755" s="18">
        <v>43518</v>
      </c>
      <c r="P2755">
        <v>2059.5500000000002</v>
      </c>
    </row>
    <row r="2756" spans="15:16" x14ac:dyDescent="0.35">
      <c r="O2756" s="18">
        <v>43521</v>
      </c>
      <c r="P2756">
        <v>2070.48</v>
      </c>
    </row>
    <row r="2757" spans="15:16" x14ac:dyDescent="0.35">
      <c r="O2757" s="18">
        <v>43522</v>
      </c>
      <c r="P2757">
        <v>2062</v>
      </c>
    </row>
    <row r="2758" spans="15:16" x14ac:dyDescent="0.35">
      <c r="O2758" s="18">
        <v>43523</v>
      </c>
      <c r="P2758">
        <v>2040.78</v>
      </c>
    </row>
    <row r="2759" spans="15:16" x14ac:dyDescent="0.35">
      <c r="O2759" s="18">
        <v>43524</v>
      </c>
      <c r="P2759">
        <v>1986.91</v>
      </c>
    </row>
    <row r="2760" spans="15:16" x14ac:dyDescent="0.35">
      <c r="O2760" s="18">
        <v>43525</v>
      </c>
      <c r="P2760">
        <v>1994.87</v>
      </c>
    </row>
    <row r="2761" spans="15:16" x14ac:dyDescent="0.35">
      <c r="O2761" s="18">
        <v>43529</v>
      </c>
      <c r="P2761">
        <v>2150.54</v>
      </c>
    </row>
    <row r="2762" spans="15:16" x14ac:dyDescent="0.35">
      <c r="O2762" s="18">
        <v>43530</v>
      </c>
      <c r="P2762">
        <v>2150.39</v>
      </c>
    </row>
    <row r="2763" spans="15:16" x14ac:dyDescent="0.35">
      <c r="O2763" s="18">
        <v>43531</v>
      </c>
      <c r="P2763">
        <v>2152.15</v>
      </c>
    </row>
    <row r="2764" spans="15:16" x14ac:dyDescent="0.35">
      <c r="O2764" s="18">
        <v>43532</v>
      </c>
      <c r="P2764">
        <v>2187.11</v>
      </c>
    </row>
    <row r="2765" spans="15:16" x14ac:dyDescent="0.35">
      <c r="O2765" s="18">
        <v>43535</v>
      </c>
      <c r="P2765">
        <v>2297.2399999999998</v>
      </c>
    </row>
    <row r="2766" spans="15:16" x14ac:dyDescent="0.35">
      <c r="O2766" s="18">
        <v>43536</v>
      </c>
      <c r="P2766">
        <v>2246.1999999999998</v>
      </c>
    </row>
    <row r="2767" spans="15:16" x14ac:dyDescent="0.35">
      <c r="O2767" s="18">
        <v>43537</v>
      </c>
      <c r="P2767">
        <v>2277.7199999999998</v>
      </c>
    </row>
    <row r="2768" spans="15:16" x14ac:dyDescent="0.35">
      <c r="O2768" s="18">
        <v>43538</v>
      </c>
      <c r="P2768">
        <v>2261.9899999999998</v>
      </c>
    </row>
    <row r="2769" spans="15:16" x14ac:dyDescent="0.35">
      <c r="O2769" s="18">
        <v>43539</v>
      </c>
      <c r="P2769">
        <v>2261.2399999999998</v>
      </c>
    </row>
    <row r="2770" spans="15:16" x14ac:dyDescent="0.35">
      <c r="O2770" s="18">
        <v>43542</v>
      </c>
      <c r="P2770">
        <v>2225.14</v>
      </c>
    </row>
    <row r="2771" spans="15:16" x14ac:dyDescent="0.35">
      <c r="O2771" s="18">
        <v>43543</v>
      </c>
      <c r="P2771">
        <v>2175.91</v>
      </c>
    </row>
    <row r="2772" spans="15:16" x14ac:dyDescent="0.35">
      <c r="O2772" s="18">
        <v>43544</v>
      </c>
      <c r="P2772">
        <v>2133.8000000000002</v>
      </c>
    </row>
    <row r="2773" spans="15:16" x14ac:dyDescent="0.35">
      <c r="O2773" s="18">
        <v>43546</v>
      </c>
      <c r="P2773">
        <v>2144.6799999999998</v>
      </c>
    </row>
    <row r="2774" spans="15:16" x14ac:dyDescent="0.35">
      <c r="O2774" s="18">
        <v>43549</v>
      </c>
      <c r="P2774">
        <v>2115.14</v>
      </c>
    </row>
    <row r="2775" spans="15:16" x14ac:dyDescent="0.35">
      <c r="O2775" s="18">
        <v>43550</v>
      </c>
      <c r="P2775">
        <v>2138.1999999999998</v>
      </c>
    </row>
    <row r="2776" spans="15:16" x14ac:dyDescent="0.35">
      <c r="O2776" s="18">
        <v>43551</v>
      </c>
      <c r="P2776">
        <v>2097.41</v>
      </c>
    </row>
    <row r="2777" spans="15:16" x14ac:dyDescent="0.35">
      <c r="O2777" s="18">
        <v>43552</v>
      </c>
      <c r="P2777">
        <v>2089.9</v>
      </c>
    </row>
    <row r="2778" spans="15:16" x14ac:dyDescent="0.35">
      <c r="O2778" s="18">
        <v>43553</v>
      </c>
      <c r="P2778">
        <v>2054.77</v>
      </c>
    </row>
    <row r="2779" spans="15:16" x14ac:dyDescent="0.35">
      <c r="O2779" s="18">
        <v>43556</v>
      </c>
      <c r="P2779">
        <v>2004.84</v>
      </c>
    </row>
    <row r="2780" spans="15:16" x14ac:dyDescent="0.35">
      <c r="O2780" s="18">
        <v>43557</v>
      </c>
      <c r="P2780">
        <v>2058.35</v>
      </c>
    </row>
    <row r="2781" spans="15:16" x14ac:dyDescent="0.35">
      <c r="O2781" s="18">
        <v>43558</v>
      </c>
      <c r="P2781">
        <v>2020.27</v>
      </c>
    </row>
    <row r="2782" spans="15:16" x14ac:dyDescent="0.35">
      <c r="O2782" s="18">
        <v>43559</v>
      </c>
      <c r="P2782">
        <v>2048.9499999999998</v>
      </c>
    </row>
    <row r="2783" spans="15:16" x14ac:dyDescent="0.35">
      <c r="O2783" s="18">
        <v>43560</v>
      </c>
      <c r="P2783">
        <v>2098.0300000000002</v>
      </c>
    </row>
    <row r="2784" spans="15:16" x14ac:dyDescent="0.35">
      <c r="O2784" s="18">
        <v>43563</v>
      </c>
      <c r="P2784">
        <v>2061.2600000000002</v>
      </c>
    </row>
    <row r="2785" spans="15:16" x14ac:dyDescent="0.35">
      <c r="O2785" s="18">
        <v>43564</v>
      </c>
      <c r="P2785">
        <v>2094.71</v>
      </c>
    </row>
    <row r="2786" spans="15:16" x14ac:dyDescent="0.35">
      <c r="O2786" s="18">
        <v>43565</v>
      </c>
      <c r="P2786">
        <v>2097.38</v>
      </c>
    </row>
    <row r="2787" spans="15:16" x14ac:dyDescent="0.35">
      <c r="O2787" s="18">
        <v>43566</v>
      </c>
      <c r="P2787">
        <v>2099.8200000000002</v>
      </c>
    </row>
    <row r="2788" spans="15:16" x14ac:dyDescent="0.35">
      <c r="O2788" s="18">
        <v>43567</v>
      </c>
      <c r="P2788">
        <v>2136.11</v>
      </c>
    </row>
    <row r="2789" spans="15:16" x14ac:dyDescent="0.35">
      <c r="O2789" s="18">
        <v>43570</v>
      </c>
      <c r="P2789">
        <v>2133.1999999999998</v>
      </c>
    </row>
    <row r="2790" spans="15:16" x14ac:dyDescent="0.35">
      <c r="O2790" s="18">
        <v>43571</v>
      </c>
      <c r="P2790">
        <v>2127.0500000000002</v>
      </c>
    </row>
    <row r="2791" spans="15:16" x14ac:dyDescent="0.35">
      <c r="O2791" s="18">
        <v>43573</v>
      </c>
      <c r="P2791">
        <v>2102.39</v>
      </c>
    </row>
    <row r="2792" spans="15:16" x14ac:dyDescent="0.35">
      <c r="O2792" s="18">
        <v>43577</v>
      </c>
      <c r="P2792">
        <v>2040.09</v>
      </c>
    </row>
    <row r="2793" spans="15:16" x14ac:dyDescent="0.35">
      <c r="O2793" s="18">
        <v>43578</v>
      </c>
      <c r="P2793">
        <v>2031.49</v>
      </c>
    </row>
    <row r="2794" spans="15:16" x14ac:dyDescent="0.35">
      <c r="O2794" s="18">
        <v>43579</v>
      </c>
      <c r="P2794">
        <v>2053.16</v>
      </c>
    </row>
    <row r="2795" spans="15:16" x14ac:dyDescent="0.35">
      <c r="O2795" s="18">
        <v>43580</v>
      </c>
      <c r="P2795">
        <v>2034.02</v>
      </c>
    </row>
    <row r="2796" spans="15:16" x14ac:dyDescent="0.35">
      <c r="O2796" s="18">
        <v>43581</v>
      </c>
      <c r="P2796">
        <v>2033.07</v>
      </c>
    </row>
    <row r="2797" spans="15:16" x14ac:dyDescent="0.35">
      <c r="O2797" s="18">
        <v>43585</v>
      </c>
      <c r="P2797">
        <v>2036.83</v>
      </c>
    </row>
    <row r="2798" spans="15:16" x14ac:dyDescent="0.35">
      <c r="O2798" s="18">
        <v>43587</v>
      </c>
      <c r="P2798">
        <v>2056.5100000000002</v>
      </c>
    </row>
    <row r="2799" spans="15:16" x14ac:dyDescent="0.35">
      <c r="O2799" s="18">
        <v>43588</v>
      </c>
      <c r="P2799">
        <v>2035.23</v>
      </c>
    </row>
    <row r="2800" spans="15:16" x14ac:dyDescent="0.35">
      <c r="O2800" s="18">
        <v>43591</v>
      </c>
      <c r="P2800">
        <v>2034.99</v>
      </c>
    </row>
    <row r="2801" spans="15:16" x14ac:dyDescent="0.35">
      <c r="O2801" s="18">
        <v>43592</v>
      </c>
      <c r="P2801">
        <v>2035.32</v>
      </c>
    </row>
    <row r="2802" spans="15:16" x14ac:dyDescent="0.35">
      <c r="O2802" s="18">
        <v>43593</v>
      </c>
      <c r="P2802">
        <v>2033.65</v>
      </c>
    </row>
    <row r="2803" spans="15:16" x14ac:dyDescent="0.35">
      <c r="O2803" s="18">
        <v>43594</v>
      </c>
      <c r="P2803">
        <v>2036.09</v>
      </c>
    </row>
    <row r="2804" spans="15:16" x14ac:dyDescent="0.35">
      <c r="O2804" s="18">
        <v>43595</v>
      </c>
      <c r="P2804">
        <v>2035.4</v>
      </c>
    </row>
    <row r="2805" spans="15:16" x14ac:dyDescent="0.35">
      <c r="O2805" s="18">
        <v>43598</v>
      </c>
      <c r="P2805">
        <v>1875.17</v>
      </c>
    </row>
    <row r="2806" spans="15:16" x14ac:dyDescent="0.35">
      <c r="O2806" s="18">
        <v>43599</v>
      </c>
      <c r="P2806">
        <v>1923.09</v>
      </c>
    </row>
    <row r="2807" spans="15:16" x14ac:dyDescent="0.35">
      <c r="O2807" s="18">
        <v>43600</v>
      </c>
      <c r="P2807">
        <v>1999.78</v>
      </c>
    </row>
    <row r="2808" spans="15:16" x14ac:dyDescent="0.35">
      <c r="O2808" s="18">
        <v>43601</v>
      </c>
      <c r="P2808">
        <v>2030.53</v>
      </c>
    </row>
    <row r="2809" spans="15:16" x14ac:dyDescent="0.35">
      <c r="O2809" s="18">
        <v>43602</v>
      </c>
      <c r="P2809">
        <v>2093.6999999999998</v>
      </c>
    </row>
    <row r="2810" spans="15:16" x14ac:dyDescent="0.35">
      <c r="O2810" s="18">
        <v>43605</v>
      </c>
      <c r="P2810">
        <v>2129.7199999999998</v>
      </c>
    </row>
    <row r="2811" spans="15:16" x14ac:dyDescent="0.35">
      <c r="O2811" s="18">
        <v>43606</v>
      </c>
      <c r="P2811">
        <v>2090.1799999999998</v>
      </c>
    </row>
    <row r="2812" spans="15:16" x14ac:dyDescent="0.35">
      <c r="O2812" s="18">
        <v>43607</v>
      </c>
      <c r="P2812">
        <v>2122.4699999999998</v>
      </c>
    </row>
    <row r="2813" spans="15:16" x14ac:dyDescent="0.35">
      <c r="O2813" s="18">
        <v>43608</v>
      </c>
      <c r="P2813">
        <v>2032.12</v>
      </c>
    </row>
    <row r="2814" spans="15:16" x14ac:dyDescent="0.35">
      <c r="O2814" s="18">
        <v>43609</v>
      </c>
      <c r="P2814">
        <v>2085.0700000000002</v>
      </c>
    </row>
    <row r="2815" spans="15:16" x14ac:dyDescent="0.35">
      <c r="O2815" s="18">
        <v>43612</v>
      </c>
      <c r="P2815">
        <v>2088.7399999999998</v>
      </c>
    </row>
    <row r="2816" spans="15:16" x14ac:dyDescent="0.35">
      <c r="O2816" s="18">
        <v>43613</v>
      </c>
      <c r="P2816">
        <v>2079.0100000000002</v>
      </c>
    </row>
    <row r="2817" spans="15:16" x14ac:dyDescent="0.35">
      <c r="O2817" s="18">
        <v>43614</v>
      </c>
      <c r="P2817">
        <v>2042.38</v>
      </c>
    </row>
    <row r="2818" spans="15:16" x14ac:dyDescent="0.35">
      <c r="O2818" s="18">
        <v>43615</v>
      </c>
      <c r="P2818">
        <v>1989.15</v>
      </c>
    </row>
    <row r="2819" spans="15:16" x14ac:dyDescent="0.35">
      <c r="O2819" s="18">
        <v>43616</v>
      </c>
      <c r="P2819">
        <v>1994.78</v>
      </c>
    </row>
    <row r="2820" spans="15:16" x14ac:dyDescent="0.35">
      <c r="O2820" s="18">
        <v>43619</v>
      </c>
      <c r="P2820">
        <v>1994.82</v>
      </c>
    </row>
    <row r="2821" spans="15:16" x14ac:dyDescent="0.35">
      <c r="O2821" s="18">
        <v>43620</v>
      </c>
      <c r="P2821">
        <v>2004.35</v>
      </c>
    </row>
    <row r="2822" spans="15:16" x14ac:dyDescent="0.35">
      <c r="O2822" s="18">
        <v>43622</v>
      </c>
      <c r="P2822">
        <v>2008.38</v>
      </c>
    </row>
    <row r="2823" spans="15:16" x14ac:dyDescent="0.35">
      <c r="O2823" s="18">
        <v>43623</v>
      </c>
      <c r="P2823">
        <v>1999.78</v>
      </c>
    </row>
    <row r="2824" spans="15:16" x14ac:dyDescent="0.35">
      <c r="O2824" s="18">
        <v>43626</v>
      </c>
      <c r="P2824">
        <v>2013.14</v>
      </c>
    </row>
    <row r="2825" spans="15:16" x14ac:dyDescent="0.35">
      <c r="O2825" s="18">
        <v>43627</v>
      </c>
      <c r="P2825">
        <v>2013.2</v>
      </c>
    </row>
    <row r="2826" spans="15:16" x14ac:dyDescent="0.35">
      <c r="O2826" s="18">
        <v>43628</v>
      </c>
      <c r="P2826">
        <v>2010.6</v>
      </c>
    </row>
    <row r="2827" spans="15:16" x14ac:dyDescent="0.35">
      <c r="O2827" s="18">
        <v>43629</v>
      </c>
      <c r="P2827">
        <v>2016.2</v>
      </c>
    </row>
    <row r="2828" spans="15:16" x14ac:dyDescent="0.35">
      <c r="O2828" s="18">
        <v>43630</v>
      </c>
      <c r="P2828">
        <v>1976.7</v>
      </c>
    </row>
    <row r="2829" spans="15:16" x14ac:dyDescent="0.35">
      <c r="O2829" s="18">
        <v>43633</v>
      </c>
      <c r="P2829">
        <v>1972.79</v>
      </c>
    </row>
    <row r="2830" spans="15:16" x14ac:dyDescent="0.35">
      <c r="O2830" s="18">
        <v>43634</v>
      </c>
      <c r="P2830">
        <v>1973.18</v>
      </c>
    </row>
    <row r="2831" spans="15:16" x14ac:dyDescent="0.35">
      <c r="O2831" s="18">
        <v>43635</v>
      </c>
      <c r="P2831">
        <v>1979.07</v>
      </c>
    </row>
    <row r="2832" spans="15:16" x14ac:dyDescent="0.35">
      <c r="O2832" s="18">
        <v>43636</v>
      </c>
      <c r="P2832">
        <v>1979.32</v>
      </c>
    </row>
    <row r="2833" spans="15:16" x14ac:dyDescent="0.35">
      <c r="O2833" s="18">
        <v>43637</v>
      </c>
      <c r="P2833">
        <v>1971.92</v>
      </c>
    </row>
    <row r="2834" spans="15:16" x14ac:dyDescent="0.35">
      <c r="O2834" s="18">
        <v>43640</v>
      </c>
      <c r="P2834">
        <v>1909.82</v>
      </c>
    </row>
    <row r="2835" spans="15:16" x14ac:dyDescent="0.35">
      <c r="O2835" s="18">
        <v>43641</v>
      </c>
      <c r="P2835">
        <v>1911.68</v>
      </c>
    </row>
    <row r="2836" spans="15:16" x14ac:dyDescent="0.35">
      <c r="O2836" s="18">
        <v>43642</v>
      </c>
      <c r="P2836">
        <v>1915.18</v>
      </c>
    </row>
    <row r="2837" spans="15:16" x14ac:dyDescent="0.35">
      <c r="O2837" s="18">
        <v>43643</v>
      </c>
      <c r="P2837">
        <v>1947.93</v>
      </c>
    </row>
    <row r="2838" spans="15:16" x14ac:dyDescent="0.35">
      <c r="O2838" s="18">
        <v>43644</v>
      </c>
      <c r="P2838">
        <v>1913.88</v>
      </c>
    </row>
    <row r="2839" spans="15:16" x14ac:dyDescent="0.35">
      <c r="O2839" s="18">
        <v>43647</v>
      </c>
      <c r="P2839">
        <v>1962.53</v>
      </c>
    </row>
    <row r="2840" spans="15:16" x14ac:dyDescent="0.35">
      <c r="O2840" s="18">
        <v>43648</v>
      </c>
      <c r="P2840">
        <v>2013.74</v>
      </c>
    </row>
    <row r="2841" spans="15:16" x14ac:dyDescent="0.35">
      <c r="O2841" s="18">
        <v>43649</v>
      </c>
      <c r="P2841">
        <v>1965.01</v>
      </c>
    </row>
    <row r="2842" spans="15:16" x14ac:dyDescent="0.35">
      <c r="O2842" s="18">
        <v>43650</v>
      </c>
      <c r="P2842">
        <v>1982.54</v>
      </c>
    </row>
    <row r="2843" spans="15:16" x14ac:dyDescent="0.35">
      <c r="O2843" s="18">
        <v>43651</v>
      </c>
      <c r="P2843">
        <v>1964.51</v>
      </c>
    </row>
    <row r="2844" spans="15:16" x14ac:dyDescent="0.35">
      <c r="O2844" s="18">
        <v>43654</v>
      </c>
      <c r="P2844">
        <v>1903.29</v>
      </c>
    </row>
    <row r="2845" spans="15:16" x14ac:dyDescent="0.35">
      <c r="O2845" s="18">
        <v>43655</v>
      </c>
      <c r="P2845">
        <v>1903.86</v>
      </c>
    </row>
    <row r="2846" spans="15:16" x14ac:dyDescent="0.35">
      <c r="O2846" s="18">
        <v>43656</v>
      </c>
      <c r="P2846">
        <v>1875.1</v>
      </c>
    </row>
    <row r="2847" spans="15:16" x14ac:dyDescent="0.35">
      <c r="O2847" s="18">
        <v>43657</v>
      </c>
      <c r="P2847">
        <v>1903.41</v>
      </c>
    </row>
    <row r="2848" spans="15:16" x14ac:dyDescent="0.35">
      <c r="O2848" s="18">
        <v>43658</v>
      </c>
      <c r="P2848">
        <v>1895.53</v>
      </c>
    </row>
    <row r="2849" spans="15:16" x14ac:dyDescent="0.35">
      <c r="O2849" s="18">
        <v>43661</v>
      </c>
      <c r="P2849">
        <v>1883.38</v>
      </c>
    </row>
    <row r="2850" spans="15:16" x14ac:dyDescent="0.35">
      <c r="O2850" s="18">
        <v>43662</v>
      </c>
      <c r="P2850">
        <v>1904.12</v>
      </c>
    </row>
    <row r="2851" spans="15:16" x14ac:dyDescent="0.35">
      <c r="O2851" s="18">
        <v>43663</v>
      </c>
      <c r="P2851">
        <v>1843.37</v>
      </c>
    </row>
    <row r="2852" spans="15:16" x14ac:dyDescent="0.35">
      <c r="O2852" s="18">
        <v>43664</v>
      </c>
      <c r="P2852">
        <v>1840.6</v>
      </c>
    </row>
    <row r="2853" spans="15:16" x14ac:dyDescent="0.35">
      <c r="O2853" s="18">
        <v>43665</v>
      </c>
      <c r="P2853">
        <v>1766.4</v>
      </c>
    </row>
    <row r="2854" spans="15:16" x14ac:dyDescent="0.35">
      <c r="O2854" s="18">
        <v>43668</v>
      </c>
      <c r="P2854">
        <v>1707.2</v>
      </c>
    </row>
    <row r="2855" spans="15:16" x14ac:dyDescent="0.35">
      <c r="O2855" s="18">
        <v>43669</v>
      </c>
      <c r="P2855">
        <v>1709.85</v>
      </c>
    </row>
    <row r="2856" spans="15:16" x14ac:dyDescent="0.35">
      <c r="O2856" s="18">
        <v>43670</v>
      </c>
      <c r="P2856">
        <v>1638.11</v>
      </c>
    </row>
    <row r="2857" spans="15:16" x14ac:dyDescent="0.35">
      <c r="O2857" s="18">
        <v>43671</v>
      </c>
      <c r="P2857">
        <v>1643.68</v>
      </c>
    </row>
    <row r="2858" spans="15:16" x14ac:dyDescent="0.35">
      <c r="O2858" s="18">
        <v>43672</v>
      </c>
      <c r="P2858">
        <v>1718.65</v>
      </c>
    </row>
    <row r="2859" spans="15:16" x14ac:dyDescent="0.35">
      <c r="O2859" s="18">
        <v>43675</v>
      </c>
      <c r="P2859">
        <v>1638.81</v>
      </c>
    </row>
    <row r="2860" spans="15:16" x14ac:dyDescent="0.35">
      <c r="O2860" s="18">
        <v>43676</v>
      </c>
      <c r="P2860">
        <v>1616.36</v>
      </c>
    </row>
    <row r="2861" spans="15:16" x14ac:dyDescent="0.35">
      <c r="O2861" s="18">
        <v>43677</v>
      </c>
      <c r="P2861">
        <v>1634.81</v>
      </c>
    </row>
    <row r="2862" spans="15:16" x14ac:dyDescent="0.35">
      <c r="O2862" s="18">
        <v>43678</v>
      </c>
      <c r="P2862">
        <v>1656.28</v>
      </c>
    </row>
    <row r="2863" spans="15:16" x14ac:dyDescent="0.35">
      <c r="O2863" s="18">
        <v>43679</v>
      </c>
      <c r="P2863">
        <v>1690.5</v>
      </c>
    </row>
    <row r="2864" spans="15:16" x14ac:dyDescent="0.35">
      <c r="O2864" s="18">
        <v>43682</v>
      </c>
      <c r="P2864">
        <v>1650.4</v>
      </c>
    </row>
    <row r="2865" spans="15:16" x14ac:dyDescent="0.35">
      <c r="O2865" s="18">
        <v>43683</v>
      </c>
      <c r="P2865">
        <v>1701.08</v>
      </c>
    </row>
    <row r="2866" spans="15:16" x14ac:dyDescent="0.35">
      <c r="O2866" s="18">
        <v>43684</v>
      </c>
      <c r="P2866">
        <v>1645.66</v>
      </c>
    </row>
    <row r="2867" spans="15:16" x14ac:dyDescent="0.35">
      <c r="O2867" s="18">
        <v>43685</v>
      </c>
      <c r="P2867">
        <v>1681.16</v>
      </c>
    </row>
    <row r="2868" spans="15:16" x14ac:dyDescent="0.35">
      <c r="O2868" s="18">
        <v>43686</v>
      </c>
      <c r="P2868">
        <v>1758.72</v>
      </c>
    </row>
    <row r="2869" spans="15:16" x14ac:dyDescent="0.35">
      <c r="O2869" s="18">
        <v>43690</v>
      </c>
      <c r="P2869">
        <v>1664.5</v>
      </c>
    </row>
    <row r="2870" spans="15:16" x14ac:dyDescent="0.35">
      <c r="O2870" s="18">
        <v>43691</v>
      </c>
      <c r="P2870">
        <v>1657.46</v>
      </c>
    </row>
    <row r="2871" spans="15:16" x14ac:dyDescent="0.35">
      <c r="O2871" s="18">
        <v>43693</v>
      </c>
      <c r="P2871">
        <v>1660.05</v>
      </c>
    </row>
    <row r="2872" spans="15:16" x14ac:dyDescent="0.35">
      <c r="O2872" s="18">
        <v>43696</v>
      </c>
      <c r="P2872">
        <v>1633.77</v>
      </c>
    </row>
    <row r="2873" spans="15:16" x14ac:dyDescent="0.35">
      <c r="O2873" s="18">
        <v>43697</v>
      </c>
      <c r="P2873">
        <v>1589.58</v>
      </c>
    </row>
    <row r="2874" spans="15:16" x14ac:dyDescent="0.35">
      <c r="O2874" s="18">
        <v>43698</v>
      </c>
      <c r="P2874">
        <v>1600.05</v>
      </c>
    </row>
    <row r="2875" spans="15:16" x14ac:dyDescent="0.35">
      <c r="O2875" s="18">
        <v>43699</v>
      </c>
      <c r="P2875">
        <v>1552.34</v>
      </c>
    </row>
    <row r="2876" spans="15:16" x14ac:dyDescent="0.35">
      <c r="O2876" s="18">
        <v>43700</v>
      </c>
      <c r="P2876">
        <v>1538.35</v>
      </c>
    </row>
    <row r="2877" spans="15:16" x14ac:dyDescent="0.35">
      <c r="O2877" s="18">
        <v>43703</v>
      </c>
      <c r="P2877">
        <v>1554.82</v>
      </c>
    </row>
    <row r="2878" spans="15:16" x14ac:dyDescent="0.35">
      <c r="O2878" s="18">
        <v>43704</v>
      </c>
      <c r="P2878">
        <v>1599.54</v>
      </c>
    </row>
    <row r="2879" spans="15:16" x14ac:dyDescent="0.35">
      <c r="O2879" s="18">
        <v>43705</v>
      </c>
      <c r="P2879">
        <v>1629.74</v>
      </c>
    </row>
    <row r="2880" spans="15:16" x14ac:dyDescent="0.35">
      <c r="O2880" s="18">
        <v>43706</v>
      </c>
      <c r="P2880">
        <v>1653.8</v>
      </c>
    </row>
    <row r="2881" spans="15:16" x14ac:dyDescent="0.35">
      <c r="O2881" s="18">
        <v>43707</v>
      </c>
      <c r="P2881">
        <v>1625.85</v>
      </c>
    </row>
    <row r="2882" spans="15:16" x14ac:dyDescent="0.35">
      <c r="O2882" s="18">
        <v>43711</v>
      </c>
      <c r="P2882">
        <v>1577.58</v>
      </c>
    </row>
    <row r="2883" spans="15:16" x14ac:dyDescent="0.35">
      <c r="O2883" s="18">
        <v>43712</v>
      </c>
      <c r="P2883">
        <v>1564.24</v>
      </c>
    </row>
    <row r="2884" spans="15:16" x14ac:dyDescent="0.35">
      <c r="O2884" s="18">
        <v>43713</v>
      </c>
      <c r="P2884">
        <v>1575.42</v>
      </c>
    </row>
    <row r="2885" spans="15:16" x14ac:dyDescent="0.35">
      <c r="O2885" s="18">
        <v>43714</v>
      </c>
      <c r="P2885">
        <v>1640.72</v>
      </c>
    </row>
    <row r="2886" spans="15:16" x14ac:dyDescent="0.35">
      <c r="O2886" s="18">
        <v>43717</v>
      </c>
      <c r="P2886">
        <v>1620.67</v>
      </c>
    </row>
    <row r="2887" spans="15:16" x14ac:dyDescent="0.35">
      <c r="O2887" s="18">
        <v>43719</v>
      </c>
      <c r="P2887">
        <v>1701.37</v>
      </c>
    </row>
    <row r="2888" spans="15:16" x14ac:dyDescent="0.35">
      <c r="O2888" s="18">
        <v>43720</v>
      </c>
      <c r="P2888">
        <v>1668.06</v>
      </c>
    </row>
    <row r="2889" spans="15:16" x14ac:dyDescent="0.35">
      <c r="O2889" s="18">
        <v>43721</v>
      </c>
      <c r="P2889">
        <v>1668.94</v>
      </c>
    </row>
    <row r="2890" spans="15:16" x14ac:dyDescent="0.35">
      <c r="O2890" s="18">
        <v>43724</v>
      </c>
      <c r="P2890">
        <v>1676.43</v>
      </c>
    </row>
    <row r="2891" spans="15:16" x14ac:dyDescent="0.35">
      <c r="O2891" s="18">
        <v>43725</v>
      </c>
      <c r="P2891">
        <v>1628.49</v>
      </c>
    </row>
    <row r="2892" spans="15:16" x14ac:dyDescent="0.35">
      <c r="O2892" s="18">
        <v>43726</v>
      </c>
      <c r="P2892">
        <v>1603.04</v>
      </c>
    </row>
    <row r="2893" spans="15:16" x14ac:dyDescent="0.35">
      <c r="O2893" s="18">
        <v>43727</v>
      </c>
      <c r="P2893">
        <v>1575.25</v>
      </c>
    </row>
    <row r="2894" spans="15:16" x14ac:dyDescent="0.35">
      <c r="O2894" s="18">
        <v>43728</v>
      </c>
      <c r="P2894">
        <v>1786.02</v>
      </c>
    </row>
    <row r="2895" spans="15:16" x14ac:dyDescent="0.35">
      <c r="O2895" s="18">
        <v>43731</v>
      </c>
      <c r="P2895">
        <v>1923.93</v>
      </c>
    </row>
    <row r="2896" spans="15:16" x14ac:dyDescent="0.35">
      <c r="O2896" s="18">
        <v>43732</v>
      </c>
      <c r="P2896">
        <v>1843.42</v>
      </c>
    </row>
    <row r="2897" spans="15:16" x14ac:dyDescent="0.35">
      <c r="O2897" s="18">
        <v>43733</v>
      </c>
      <c r="P2897">
        <v>1760.01</v>
      </c>
    </row>
    <row r="2898" spans="15:16" x14ac:dyDescent="0.35">
      <c r="O2898" s="18">
        <v>43734</v>
      </c>
      <c r="P2898">
        <v>1791.15</v>
      </c>
    </row>
    <row r="2899" spans="15:16" x14ac:dyDescent="0.35">
      <c r="O2899" s="18">
        <v>43735</v>
      </c>
      <c r="P2899">
        <v>1779.24</v>
      </c>
    </row>
    <row r="2900" spans="15:16" x14ac:dyDescent="0.35">
      <c r="O2900" s="18">
        <v>43738</v>
      </c>
      <c r="P2900">
        <v>1776.52</v>
      </c>
    </row>
    <row r="2901" spans="15:16" x14ac:dyDescent="0.35">
      <c r="O2901" s="18">
        <v>43739</v>
      </c>
      <c r="P2901">
        <v>1782.68</v>
      </c>
    </row>
    <row r="2902" spans="15:16" x14ac:dyDescent="0.35">
      <c r="O2902" s="18">
        <v>43741</v>
      </c>
      <c r="P2902">
        <v>1828.46</v>
      </c>
    </row>
    <row r="2903" spans="15:16" x14ac:dyDescent="0.35">
      <c r="O2903" s="18">
        <v>43742</v>
      </c>
      <c r="P2903">
        <v>1799.9</v>
      </c>
    </row>
    <row r="2904" spans="15:16" x14ac:dyDescent="0.35">
      <c r="O2904" s="18">
        <v>43745</v>
      </c>
      <c r="P2904">
        <v>1800.06</v>
      </c>
    </row>
    <row r="2905" spans="15:16" x14ac:dyDescent="0.35">
      <c r="O2905" s="18">
        <v>43747</v>
      </c>
      <c r="P2905">
        <v>1823.93</v>
      </c>
    </row>
    <row r="2906" spans="15:16" x14ac:dyDescent="0.35">
      <c r="O2906" s="18">
        <v>43748</v>
      </c>
      <c r="P2906">
        <v>1805.25</v>
      </c>
    </row>
    <row r="2907" spans="15:16" x14ac:dyDescent="0.35">
      <c r="O2907" s="18">
        <v>43749</v>
      </c>
      <c r="P2907">
        <v>1820.12</v>
      </c>
    </row>
    <row r="2908" spans="15:16" x14ac:dyDescent="0.35">
      <c r="O2908" s="18">
        <v>43752</v>
      </c>
      <c r="P2908">
        <v>1832.8</v>
      </c>
    </row>
    <row r="2909" spans="15:16" x14ac:dyDescent="0.35">
      <c r="O2909" s="18">
        <v>43753</v>
      </c>
      <c r="P2909">
        <v>1919.91</v>
      </c>
    </row>
    <row r="2910" spans="15:16" x14ac:dyDescent="0.35">
      <c r="O2910" s="18">
        <v>43754</v>
      </c>
      <c r="P2910">
        <v>1922.06</v>
      </c>
    </row>
    <row r="2911" spans="15:16" x14ac:dyDescent="0.35">
      <c r="O2911" s="18">
        <v>43755</v>
      </c>
      <c r="P2911">
        <v>2049.1799999999998</v>
      </c>
    </row>
    <row r="2912" spans="15:16" x14ac:dyDescent="0.35">
      <c r="O2912" s="18">
        <v>43756</v>
      </c>
      <c r="P2912">
        <v>2027.59</v>
      </c>
    </row>
    <row r="2913" spans="15:16" x14ac:dyDescent="0.35">
      <c r="O2913" s="18">
        <v>43760</v>
      </c>
      <c r="P2913">
        <v>1997.88</v>
      </c>
    </row>
    <row r="2914" spans="15:16" x14ac:dyDescent="0.35">
      <c r="O2914" s="18">
        <v>43761</v>
      </c>
      <c r="P2914">
        <v>2052.12</v>
      </c>
    </row>
    <row r="2915" spans="15:16" x14ac:dyDescent="0.35">
      <c r="O2915" s="18">
        <v>43762</v>
      </c>
      <c r="P2915">
        <v>2103.2399999999998</v>
      </c>
    </row>
    <row r="2916" spans="15:16" x14ac:dyDescent="0.35">
      <c r="O2916" s="18">
        <v>43763</v>
      </c>
      <c r="P2916">
        <v>2132.1799999999998</v>
      </c>
    </row>
    <row r="2917" spans="15:16" x14ac:dyDescent="0.35">
      <c r="O2917" s="18">
        <v>43765</v>
      </c>
      <c r="P2917">
        <v>2132.36</v>
      </c>
    </row>
    <row r="2918" spans="15:16" x14ac:dyDescent="0.35">
      <c r="O2918" s="18">
        <v>43767</v>
      </c>
      <c r="P2918">
        <v>2204.94</v>
      </c>
    </row>
    <row r="2919" spans="15:16" x14ac:dyDescent="0.35">
      <c r="O2919" s="18">
        <v>43768</v>
      </c>
      <c r="P2919">
        <v>2251.15</v>
      </c>
    </row>
    <row r="2920" spans="15:16" x14ac:dyDescent="0.35">
      <c r="O2920" s="18">
        <v>43769</v>
      </c>
      <c r="P2920">
        <v>2253.81</v>
      </c>
    </row>
    <row r="2921" spans="15:16" x14ac:dyDescent="0.35">
      <c r="O2921" s="18">
        <v>43770</v>
      </c>
      <c r="P2921">
        <v>2197.61</v>
      </c>
    </row>
    <row r="2922" spans="15:16" x14ac:dyDescent="0.35">
      <c r="O2922" s="18">
        <v>43773</v>
      </c>
      <c r="P2922">
        <v>2174.0700000000002</v>
      </c>
    </row>
    <row r="2923" spans="15:16" x14ac:dyDescent="0.35">
      <c r="O2923" s="18">
        <v>43774</v>
      </c>
      <c r="P2923">
        <v>2128.7199999999998</v>
      </c>
    </row>
    <row r="2924" spans="15:16" x14ac:dyDescent="0.35">
      <c r="O2924" s="18">
        <v>43775</v>
      </c>
      <c r="P2924">
        <v>2160.5500000000002</v>
      </c>
    </row>
    <row r="2925" spans="15:16" x14ac:dyDescent="0.35">
      <c r="O2925" s="18">
        <v>43776</v>
      </c>
      <c r="P2925">
        <v>2142.39</v>
      </c>
    </row>
    <row r="2926" spans="15:16" x14ac:dyDescent="0.35">
      <c r="O2926" s="18">
        <v>43777</v>
      </c>
      <c r="P2926">
        <v>2168.9699999999998</v>
      </c>
    </row>
    <row r="2927" spans="15:16" x14ac:dyDescent="0.35">
      <c r="O2927" s="18">
        <v>43780</v>
      </c>
      <c r="P2927">
        <v>2137.69</v>
      </c>
    </row>
    <row r="2928" spans="15:16" x14ac:dyDescent="0.35">
      <c r="O2928" s="18">
        <v>43782</v>
      </c>
      <c r="P2928">
        <v>2135.2199999999998</v>
      </c>
    </row>
    <row r="2929" spans="15:16" x14ac:dyDescent="0.35">
      <c r="O2929" s="18">
        <v>43783</v>
      </c>
      <c r="P2929">
        <v>2155.8200000000002</v>
      </c>
    </row>
    <row r="2930" spans="15:16" x14ac:dyDescent="0.35">
      <c r="O2930" s="18">
        <v>43784</v>
      </c>
      <c r="P2930">
        <v>2132.41</v>
      </c>
    </row>
    <row r="2931" spans="15:16" x14ac:dyDescent="0.35">
      <c r="O2931" s="18">
        <v>43787</v>
      </c>
      <c r="P2931">
        <v>2147.7399999999998</v>
      </c>
    </row>
    <row r="2932" spans="15:16" x14ac:dyDescent="0.35">
      <c r="O2932" s="18">
        <v>43788</v>
      </c>
      <c r="P2932">
        <v>2174.7399999999998</v>
      </c>
    </row>
    <row r="2933" spans="15:16" x14ac:dyDescent="0.35">
      <c r="O2933" s="18">
        <v>43789</v>
      </c>
      <c r="P2933">
        <v>2148.98</v>
      </c>
    </row>
    <row r="2934" spans="15:16" x14ac:dyDescent="0.35">
      <c r="O2934" s="18">
        <v>43790</v>
      </c>
      <c r="P2934">
        <v>2195.46</v>
      </c>
    </row>
    <row r="2935" spans="15:16" x14ac:dyDescent="0.35">
      <c r="O2935" s="18">
        <v>43791</v>
      </c>
      <c r="P2935">
        <v>2275.3200000000002</v>
      </c>
    </row>
    <row r="2936" spans="15:16" x14ac:dyDescent="0.35">
      <c r="O2936" s="18">
        <v>43794</v>
      </c>
      <c r="P2936">
        <v>2326.13</v>
      </c>
    </row>
    <row r="2937" spans="15:16" x14ac:dyDescent="0.35">
      <c r="O2937" s="18">
        <v>43795</v>
      </c>
      <c r="P2937">
        <v>2280.5700000000002</v>
      </c>
    </row>
    <row r="2938" spans="15:16" x14ac:dyDescent="0.35">
      <c r="O2938" s="18">
        <v>43796</v>
      </c>
      <c r="P2938">
        <v>2302.16</v>
      </c>
    </row>
    <row r="2939" spans="15:16" x14ac:dyDescent="0.35">
      <c r="O2939" s="18">
        <v>43797</v>
      </c>
      <c r="P2939">
        <v>2309.16</v>
      </c>
    </row>
    <row r="2940" spans="15:16" x14ac:dyDescent="0.35">
      <c r="O2940" s="18">
        <v>43798</v>
      </c>
      <c r="P2940">
        <v>2288.14</v>
      </c>
    </row>
    <row r="2941" spans="15:16" x14ac:dyDescent="0.35">
      <c r="O2941" s="18">
        <v>43801</v>
      </c>
      <c r="P2941">
        <v>2171.31</v>
      </c>
    </row>
    <row r="2942" spans="15:16" x14ac:dyDescent="0.35">
      <c r="O2942" s="18">
        <v>43802</v>
      </c>
      <c r="P2942">
        <v>2137.2800000000002</v>
      </c>
    </row>
    <row r="2943" spans="15:16" x14ac:dyDescent="0.35">
      <c r="O2943" s="18">
        <v>43803</v>
      </c>
      <c r="P2943">
        <v>2140.8000000000002</v>
      </c>
    </row>
    <row r="2944" spans="15:16" x14ac:dyDescent="0.35">
      <c r="O2944" s="18">
        <v>43804</v>
      </c>
      <c r="P2944">
        <v>2141.6999999999998</v>
      </c>
    </row>
    <row r="2945" spans="15:16" x14ac:dyDescent="0.35">
      <c r="O2945" s="18">
        <v>43805</v>
      </c>
      <c r="P2945">
        <v>2092</v>
      </c>
    </row>
    <row r="2946" spans="15:16" x14ac:dyDescent="0.35">
      <c r="O2946" s="18">
        <v>43808</v>
      </c>
      <c r="P2946">
        <v>2099.7199999999998</v>
      </c>
    </row>
    <row r="2947" spans="15:16" x14ac:dyDescent="0.35">
      <c r="O2947" s="18">
        <v>43809</v>
      </c>
      <c r="P2947">
        <v>2125.92</v>
      </c>
    </row>
    <row r="2948" spans="15:16" x14ac:dyDescent="0.35">
      <c r="O2948" s="18">
        <v>43810</v>
      </c>
      <c r="P2948">
        <v>2154.1799999999998</v>
      </c>
    </row>
    <row r="2949" spans="15:16" x14ac:dyDescent="0.35">
      <c r="O2949" s="18">
        <v>43811</v>
      </c>
      <c r="P2949">
        <v>2195.36</v>
      </c>
    </row>
    <row r="2950" spans="15:16" x14ac:dyDescent="0.35">
      <c r="O2950" s="18">
        <v>43812</v>
      </c>
      <c r="P2950">
        <v>2203.4699999999998</v>
      </c>
    </row>
    <row r="2951" spans="15:16" x14ac:dyDescent="0.35">
      <c r="O2951" s="18">
        <v>43815</v>
      </c>
      <c r="P2951">
        <v>2165.1</v>
      </c>
    </row>
    <row r="2952" spans="15:16" x14ac:dyDescent="0.35">
      <c r="O2952" s="18">
        <v>43816</v>
      </c>
      <c r="P2952">
        <v>2170.4899999999998</v>
      </c>
    </row>
    <row r="2953" spans="15:16" x14ac:dyDescent="0.35">
      <c r="O2953" s="18">
        <v>43817</v>
      </c>
      <c r="P2953">
        <v>2173.59</v>
      </c>
    </row>
    <row r="2954" spans="15:16" x14ac:dyDescent="0.35">
      <c r="O2954" s="18">
        <v>43818</v>
      </c>
      <c r="P2954">
        <v>2242.7199999999998</v>
      </c>
    </row>
    <row r="2955" spans="15:16" x14ac:dyDescent="0.35">
      <c r="O2955" s="18">
        <v>43819</v>
      </c>
      <c r="P2955">
        <v>2222.11</v>
      </c>
    </row>
    <row r="2956" spans="15:16" x14ac:dyDescent="0.35">
      <c r="O2956" s="18">
        <v>43822</v>
      </c>
      <c r="P2956">
        <v>2217.61</v>
      </c>
    </row>
    <row r="2957" spans="15:16" x14ac:dyDescent="0.35">
      <c r="O2957" s="18">
        <v>43823</v>
      </c>
      <c r="P2957">
        <v>2186.86</v>
      </c>
    </row>
    <row r="2958" spans="15:16" x14ac:dyDescent="0.35">
      <c r="O2958" s="18">
        <v>43825</v>
      </c>
      <c r="P2958">
        <v>2204.5700000000002</v>
      </c>
    </row>
    <row r="2959" spans="15:16" x14ac:dyDescent="0.35">
      <c r="O2959" s="18">
        <v>43826</v>
      </c>
      <c r="P2959">
        <v>2222.2399999999998</v>
      </c>
    </row>
    <row r="2960" spans="15:16" x14ac:dyDescent="0.35">
      <c r="O2960" s="18">
        <v>43829</v>
      </c>
      <c r="P2960">
        <v>2278.4499999999998</v>
      </c>
    </row>
    <row r="2961" spans="15:16" x14ac:dyDescent="0.35">
      <c r="O2961" s="18">
        <v>43830</v>
      </c>
      <c r="P2961">
        <v>2251.5300000000002</v>
      </c>
    </row>
    <row r="2962" spans="15:16" x14ac:dyDescent="0.35">
      <c r="O2962" s="18">
        <v>43831</v>
      </c>
      <c r="P2962">
        <v>2207.58</v>
      </c>
    </row>
    <row r="2963" spans="15:16" x14ac:dyDescent="0.35">
      <c r="O2963" s="18">
        <v>43832</v>
      </c>
      <c r="P2963">
        <v>2160.09</v>
      </c>
    </row>
    <row r="2964" spans="15:16" x14ac:dyDescent="0.35">
      <c r="O2964" s="18">
        <v>43833</v>
      </c>
      <c r="P2964">
        <v>2118.9299999999998</v>
      </c>
    </row>
    <row r="2965" spans="15:16" x14ac:dyDescent="0.35">
      <c r="O2965" s="18">
        <v>43836</v>
      </c>
      <c r="P2965">
        <v>2086.0500000000002</v>
      </c>
    </row>
    <row r="2966" spans="15:16" x14ac:dyDescent="0.35">
      <c r="O2966" s="18">
        <v>43837</v>
      </c>
      <c r="P2966">
        <v>2080.38</v>
      </c>
    </row>
    <row r="2967" spans="15:16" x14ac:dyDescent="0.35">
      <c r="O2967" s="18">
        <v>43838</v>
      </c>
      <c r="P2967">
        <v>1989.22</v>
      </c>
    </row>
    <row r="2968" spans="15:16" x14ac:dyDescent="0.35">
      <c r="O2968" s="18">
        <v>43839</v>
      </c>
      <c r="P2968">
        <v>2032.89</v>
      </c>
    </row>
    <row r="2969" spans="15:16" x14ac:dyDescent="0.35">
      <c r="O2969" s="18">
        <v>43840</v>
      </c>
      <c r="P2969">
        <v>2043.28</v>
      </c>
    </row>
    <row r="2970" spans="15:16" x14ac:dyDescent="0.35">
      <c r="O2970" s="18">
        <v>43843</v>
      </c>
      <c r="P2970">
        <v>2028</v>
      </c>
    </row>
    <row r="2971" spans="15:16" x14ac:dyDescent="0.35">
      <c r="O2971" s="18">
        <v>43844</v>
      </c>
      <c r="P2971">
        <v>2048.9699999999998</v>
      </c>
    </row>
    <row r="2972" spans="15:16" x14ac:dyDescent="0.35">
      <c r="O2972" s="18">
        <v>43845</v>
      </c>
      <c r="P2972">
        <v>2062.48</v>
      </c>
    </row>
    <row r="2973" spans="15:16" x14ac:dyDescent="0.35">
      <c r="O2973" s="18">
        <v>43846</v>
      </c>
      <c r="P2973">
        <v>2153.62</v>
      </c>
    </row>
    <row r="2974" spans="15:16" x14ac:dyDescent="0.35">
      <c r="O2974" s="18">
        <v>43847</v>
      </c>
      <c r="P2974">
        <v>2129.2199999999998</v>
      </c>
    </row>
    <row r="2975" spans="15:16" x14ac:dyDescent="0.35">
      <c r="O2975" s="18">
        <v>43850</v>
      </c>
      <c r="P2975">
        <v>2136.5100000000002</v>
      </c>
    </row>
    <row r="2976" spans="15:16" x14ac:dyDescent="0.35">
      <c r="O2976" s="18">
        <v>43851</v>
      </c>
      <c r="P2976">
        <v>2105.66</v>
      </c>
    </row>
    <row r="2977" spans="15:16" x14ac:dyDescent="0.35">
      <c r="O2977" s="18">
        <v>43852</v>
      </c>
      <c r="P2977">
        <v>2110</v>
      </c>
    </row>
    <row r="2978" spans="15:16" x14ac:dyDescent="0.35">
      <c r="O2978" s="18">
        <v>43853</v>
      </c>
      <c r="P2978">
        <v>2091.5700000000002</v>
      </c>
    </row>
    <row r="2979" spans="15:16" x14ac:dyDescent="0.35">
      <c r="O2979" s="18">
        <v>43854</v>
      </c>
      <c r="P2979">
        <v>2093.08</v>
      </c>
    </row>
    <row r="2980" spans="15:16" x14ac:dyDescent="0.35">
      <c r="O2980" s="18">
        <v>43857</v>
      </c>
      <c r="P2980">
        <v>2109.52</v>
      </c>
    </row>
    <row r="2981" spans="15:16" x14ac:dyDescent="0.35">
      <c r="O2981" s="18">
        <v>43858</v>
      </c>
      <c r="P2981">
        <v>2108.66</v>
      </c>
    </row>
    <row r="2982" spans="15:16" x14ac:dyDescent="0.35">
      <c r="O2982" s="18">
        <v>43859</v>
      </c>
      <c r="P2982">
        <v>2019.22</v>
      </c>
    </row>
    <row r="2983" spans="15:16" x14ac:dyDescent="0.35">
      <c r="O2983" s="18">
        <v>43860</v>
      </c>
      <c r="P2983">
        <v>2034.03</v>
      </c>
    </row>
    <row r="2984" spans="15:16" x14ac:dyDescent="0.35">
      <c r="O2984" s="18">
        <v>43861</v>
      </c>
      <c r="P2984">
        <v>2028.93</v>
      </c>
    </row>
    <row r="2985" spans="15:16" x14ac:dyDescent="0.35">
      <c r="O2985" s="18">
        <v>43862</v>
      </c>
      <c r="P2985">
        <v>2005.92</v>
      </c>
    </row>
    <row r="2986" spans="15:16" x14ac:dyDescent="0.35">
      <c r="O2986" s="18">
        <v>43864</v>
      </c>
      <c r="P2986">
        <v>1988.35</v>
      </c>
    </row>
    <row r="2987" spans="15:16" x14ac:dyDescent="0.35">
      <c r="O2987" s="18">
        <v>43865</v>
      </c>
      <c r="P2987">
        <v>1951.27</v>
      </c>
    </row>
    <row r="2988" spans="15:16" x14ac:dyDescent="0.35">
      <c r="O2988" s="18">
        <v>43866</v>
      </c>
      <c r="P2988">
        <v>1948.7</v>
      </c>
    </row>
    <row r="2989" spans="15:16" x14ac:dyDescent="0.35">
      <c r="O2989" s="18">
        <v>43867</v>
      </c>
      <c r="P2989">
        <v>2039.12</v>
      </c>
    </row>
    <row r="2990" spans="15:16" x14ac:dyDescent="0.35">
      <c r="O2990" s="18">
        <v>43868</v>
      </c>
      <c r="P2990">
        <v>1973.63</v>
      </c>
    </row>
    <row r="2991" spans="15:16" x14ac:dyDescent="0.35">
      <c r="O2991" s="18">
        <v>43871</v>
      </c>
      <c r="P2991">
        <v>1905.72</v>
      </c>
    </row>
    <row r="2992" spans="15:16" x14ac:dyDescent="0.35">
      <c r="O2992" s="18">
        <v>43872</v>
      </c>
      <c r="P2992">
        <v>1900.92</v>
      </c>
    </row>
    <row r="2993" spans="15:16" x14ac:dyDescent="0.35">
      <c r="O2993" s="18">
        <v>43873</v>
      </c>
      <c r="P2993">
        <v>1927.79</v>
      </c>
    </row>
    <row r="2994" spans="15:16" x14ac:dyDescent="0.35">
      <c r="O2994" s="18">
        <v>43874</v>
      </c>
      <c r="P2994">
        <v>1935.53</v>
      </c>
    </row>
    <row r="2995" spans="15:16" x14ac:dyDescent="0.35">
      <c r="O2995" s="18">
        <v>43875</v>
      </c>
      <c r="P2995">
        <v>1870.36</v>
      </c>
    </row>
    <row r="2996" spans="15:16" x14ac:dyDescent="0.35">
      <c r="O2996" s="18">
        <v>43878</v>
      </c>
      <c r="P2996">
        <v>1853.59</v>
      </c>
    </row>
    <row r="2997" spans="15:16" x14ac:dyDescent="0.35">
      <c r="O2997" s="18">
        <v>43879</v>
      </c>
      <c r="P2997">
        <v>1876.04</v>
      </c>
    </row>
    <row r="2998" spans="15:16" x14ac:dyDescent="0.35">
      <c r="O2998" s="18">
        <v>43880</v>
      </c>
      <c r="P2998">
        <v>1887.52</v>
      </c>
    </row>
    <row r="2999" spans="15:16" x14ac:dyDescent="0.35">
      <c r="O2999" s="18">
        <v>43881</v>
      </c>
      <c r="P2999">
        <v>1884.87</v>
      </c>
    </row>
    <row r="3000" spans="15:16" x14ac:dyDescent="0.35">
      <c r="O3000" s="18">
        <v>43885</v>
      </c>
      <c r="P3000">
        <v>1794.99</v>
      </c>
    </row>
    <row r="3001" spans="15:16" x14ac:dyDescent="0.35">
      <c r="O3001" s="18">
        <v>43886</v>
      </c>
      <c r="P3001">
        <v>1753.23</v>
      </c>
    </row>
    <row r="3002" spans="15:16" x14ac:dyDescent="0.35">
      <c r="O3002" s="18">
        <v>43887</v>
      </c>
      <c r="P3002">
        <v>1715.69</v>
      </c>
    </row>
    <row r="3003" spans="15:16" x14ac:dyDescent="0.35">
      <c r="O3003" s="18">
        <v>43888</v>
      </c>
      <c r="P3003">
        <v>1705.34</v>
      </c>
    </row>
    <row r="3004" spans="15:16" x14ac:dyDescent="0.35">
      <c r="O3004" s="18">
        <v>43889</v>
      </c>
      <c r="P3004">
        <v>1660.23</v>
      </c>
    </row>
    <row r="3005" spans="15:16" x14ac:dyDescent="0.35">
      <c r="O3005" s="18">
        <v>43892</v>
      </c>
      <c r="P3005">
        <v>1701.34</v>
      </c>
    </row>
    <row r="3006" spans="15:16" x14ac:dyDescent="0.35">
      <c r="O3006" s="18">
        <v>43893</v>
      </c>
      <c r="P3006">
        <v>1788.85</v>
      </c>
    </row>
    <row r="3007" spans="15:16" x14ac:dyDescent="0.35">
      <c r="O3007" s="18">
        <v>43894</v>
      </c>
      <c r="P3007">
        <v>1725.42</v>
      </c>
    </row>
    <row r="3008" spans="15:16" x14ac:dyDescent="0.35">
      <c r="O3008" s="18">
        <v>43895</v>
      </c>
      <c r="P3008">
        <v>1777.54</v>
      </c>
    </row>
    <row r="3009" spans="15:16" x14ac:dyDescent="0.35">
      <c r="O3009" s="18">
        <v>43896</v>
      </c>
      <c r="P3009">
        <v>1774.36</v>
      </c>
    </row>
    <row r="3010" spans="15:16" x14ac:dyDescent="0.35">
      <c r="O3010" s="18">
        <v>43899</v>
      </c>
      <c r="P3010">
        <v>1788.58</v>
      </c>
    </row>
    <row r="3011" spans="15:16" x14ac:dyDescent="0.35">
      <c r="O3011" s="18">
        <v>43901</v>
      </c>
      <c r="P3011">
        <v>1775.36</v>
      </c>
    </row>
    <row r="3012" spans="15:16" x14ac:dyDescent="0.35">
      <c r="O3012" s="18">
        <v>43902</v>
      </c>
      <c r="P3012">
        <v>1687.78</v>
      </c>
    </row>
    <row r="3013" spans="15:16" x14ac:dyDescent="0.35">
      <c r="O3013" s="18">
        <v>43903</v>
      </c>
      <c r="P3013">
        <v>1767.21</v>
      </c>
    </row>
    <row r="3014" spans="15:16" x14ac:dyDescent="0.35">
      <c r="O3014" s="18">
        <v>43906</v>
      </c>
      <c r="P3014">
        <v>1649.37</v>
      </c>
    </row>
    <row r="3015" spans="15:16" x14ac:dyDescent="0.35">
      <c r="O3015" s="18">
        <v>43907</v>
      </c>
      <c r="P3015">
        <v>1706.11</v>
      </c>
    </row>
    <row r="3016" spans="15:16" x14ac:dyDescent="0.35">
      <c r="O3016" s="18">
        <v>43908</v>
      </c>
      <c r="P3016">
        <v>1595.41</v>
      </c>
    </row>
    <row r="3017" spans="15:16" x14ac:dyDescent="0.35">
      <c r="O3017" s="18">
        <v>43909</v>
      </c>
      <c r="P3017">
        <v>1504.64</v>
      </c>
    </row>
    <row r="3018" spans="15:16" x14ac:dyDescent="0.35">
      <c r="O3018" s="18">
        <v>43910</v>
      </c>
      <c r="P3018">
        <v>1567.85</v>
      </c>
    </row>
    <row r="3019" spans="15:16" x14ac:dyDescent="0.35">
      <c r="O3019" s="18">
        <v>43913</v>
      </c>
      <c r="P3019">
        <v>1370.59</v>
      </c>
    </row>
    <row r="3020" spans="15:16" x14ac:dyDescent="0.35">
      <c r="O3020" s="18">
        <v>43914</v>
      </c>
      <c r="P3020">
        <v>1420.85</v>
      </c>
    </row>
    <row r="3021" spans="15:16" x14ac:dyDescent="0.35">
      <c r="O3021" s="18">
        <v>43915</v>
      </c>
      <c r="P3021">
        <v>1451.66</v>
      </c>
    </row>
    <row r="3022" spans="15:16" x14ac:dyDescent="0.35">
      <c r="O3022" s="18">
        <v>43916</v>
      </c>
      <c r="P3022">
        <v>1475.8</v>
      </c>
    </row>
    <row r="3023" spans="15:16" x14ac:dyDescent="0.35">
      <c r="O3023" s="18">
        <v>43917</v>
      </c>
      <c r="P3023">
        <v>1431.98</v>
      </c>
    </row>
    <row r="3024" spans="15:16" x14ac:dyDescent="0.35">
      <c r="O3024" s="18">
        <v>43920</v>
      </c>
      <c r="P3024">
        <v>1333.31</v>
      </c>
    </row>
    <row r="3025" spans="15:16" x14ac:dyDescent="0.35">
      <c r="O3025" s="18">
        <v>43921</v>
      </c>
      <c r="P3025">
        <v>1309.5899999999999</v>
      </c>
    </row>
    <row r="3026" spans="15:16" x14ac:dyDescent="0.35">
      <c r="O3026" s="18">
        <v>43922</v>
      </c>
      <c r="P3026">
        <v>1300.1600000000001</v>
      </c>
    </row>
    <row r="3027" spans="15:16" x14ac:dyDescent="0.35">
      <c r="O3027" s="18">
        <v>43924</v>
      </c>
      <c r="P3027">
        <v>1268.01</v>
      </c>
    </row>
    <row r="3028" spans="15:16" x14ac:dyDescent="0.35">
      <c r="O3028" s="18">
        <v>43928</v>
      </c>
      <c r="P3028">
        <v>1309.6099999999999</v>
      </c>
    </row>
    <row r="3029" spans="15:16" x14ac:dyDescent="0.35">
      <c r="O3029" s="18">
        <v>43929</v>
      </c>
      <c r="P3029">
        <v>1315.85</v>
      </c>
    </row>
    <row r="3030" spans="15:16" x14ac:dyDescent="0.35">
      <c r="O3030" s="18">
        <v>43930</v>
      </c>
      <c r="P3030">
        <v>1374.23</v>
      </c>
    </row>
    <row r="3031" spans="15:16" x14ac:dyDescent="0.35">
      <c r="O3031" s="18">
        <v>43934</v>
      </c>
      <c r="P3031">
        <v>1340.06</v>
      </c>
    </row>
    <row r="3032" spans="15:16" x14ac:dyDescent="0.35">
      <c r="O3032" s="18">
        <v>43936</v>
      </c>
      <c r="P3032">
        <v>1331.49</v>
      </c>
    </row>
    <row r="3033" spans="15:16" x14ac:dyDescent="0.35">
      <c r="O3033" s="18">
        <v>43937</v>
      </c>
      <c r="P3033">
        <v>1337.13</v>
      </c>
    </row>
    <row r="3034" spans="15:16" x14ac:dyDescent="0.35">
      <c r="O3034" s="18">
        <v>43938</v>
      </c>
      <c r="P3034">
        <v>1477.04</v>
      </c>
    </row>
    <row r="3035" spans="15:16" x14ac:dyDescent="0.35">
      <c r="O3035" s="18">
        <v>43941</v>
      </c>
      <c r="P3035">
        <v>1421.44</v>
      </c>
    </row>
    <row r="3036" spans="15:16" x14ac:dyDescent="0.35">
      <c r="O3036" s="18">
        <v>43942</v>
      </c>
      <c r="P3036">
        <v>1349.5</v>
      </c>
    </row>
    <row r="3037" spans="15:16" x14ac:dyDescent="0.35">
      <c r="O3037" s="18">
        <v>43943</v>
      </c>
      <c r="P3037">
        <v>1370.33</v>
      </c>
    </row>
    <row r="3038" spans="15:16" x14ac:dyDescent="0.35">
      <c r="O3038" s="18">
        <v>43944</v>
      </c>
      <c r="P3038">
        <v>1406.84</v>
      </c>
    </row>
    <row r="3039" spans="15:16" x14ac:dyDescent="0.35">
      <c r="O3039" s="18">
        <v>43945</v>
      </c>
      <c r="P3039">
        <v>1358.92</v>
      </c>
    </row>
    <row r="3040" spans="15:16" x14ac:dyDescent="0.35">
      <c r="O3040" s="18">
        <v>43948</v>
      </c>
      <c r="P3040">
        <v>1399.95</v>
      </c>
    </row>
    <row r="3041" spans="15:16" x14ac:dyDescent="0.35">
      <c r="O3041" s="18">
        <v>43949</v>
      </c>
      <c r="P3041">
        <v>1432.68</v>
      </c>
    </row>
    <row r="3042" spans="15:16" x14ac:dyDescent="0.35">
      <c r="O3042" s="18">
        <v>43950</v>
      </c>
      <c r="P3042">
        <v>1431.58</v>
      </c>
    </row>
    <row r="3043" spans="15:16" x14ac:dyDescent="0.35">
      <c r="O3043" s="18">
        <v>43951</v>
      </c>
      <c r="P3043">
        <v>1470.8</v>
      </c>
    </row>
    <row r="3044" spans="15:16" x14ac:dyDescent="0.35">
      <c r="O3044" s="18">
        <v>43955</v>
      </c>
      <c r="P3044">
        <v>1374.88</v>
      </c>
    </row>
    <row r="3045" spans="15:16" x14ac:dyDescent="0.35">
      <c r="O3045" s="18">
        <v>43956</v>
      </c>
      <c r="P3045">
        <v>1381.1</v>
      </c>
    </row>
    <row r="3046" spans="15:16" x14ac:dyDescent="0.35">
      <c r="O3046" s="18">
        <v>43957</v>
      </c>
      <c r="P3046">
        <v>1385.99</v>
      </c>
    </row>
    <row r="3047" spans="15:16" x14ac:dyDescent="0.35">
      <c r="O3047" s="18">
        <v>43958</v>
      </c>
      <c r="P3047">
        <v>1401.05</v>
      </c>
    </row>
    <row r="3048" spans="15:16" x14ac:dyDescent="0.35">
      <c r="O3048" s="18">
        <v>43959</v>
      </c>
      <c r="P3048">
        <v>1385.88</v>
      </c>
    </row>
    <row r="3049" spans="15:16" x14ac:dyDescent="0.35">
      <c r="O3049" s="18">
        <v>43962</v>
      </c>
      <c r="P3049">
        <v>1428.89</v>
      </c>
    </row>
    <row r="3050" spans="15:16" x14ac:dyDescent="0.35">
      <c r="O3050" s="18">
        <v>43963</v>
      </c>
      <c r="P3050">
        <v>1416.7</v>
      </c>
    </row>
    <row r="3051" spans="15:16" x14ac:dyDescent="0.35">
      <c r="O3051" s="18">
        <v>43964</v>
      </c>
      <c r="P3051">
        <v>1427.16</v>
      </c>
    </row>
    <row r="3052" spans="15:16" x14ac:dyDescent="0.35">
      <c r="O3052" s="18">
        <v>43965</v>
      </c>
      <c r="P3052">
        <v>1403.18</v>
      </c>
    </row>
    <row r="3053" spans="15:16" x14ac:dyDescent="0.35">
      <c r="O3053" s="18">
        <v>43966</v>
      </c>
      <c r="P3053">
        <v>1409.96</v>
      </c>
    </row>
    <row r="3054" spans="15:16" x14ac:dyDescent="0.35">
      <c r="O3054" s="18">
        <v>43969</v>
      </c>
      <c r="P3054">
        <v>1298.82</v>
      </c>
    </row>
    <row r="3055" spans="15:16" x14ac:dyDescent="0.35">
      <c r="O3055" s="18">
        <v>43970</v>
      </c>
      <c r="P3055">
        <v>1296.6199999999999</v>
      </c>
    </row>
    <row r="3056" spans="15:16" x14ac:dyDescent="0.35">
      <c r="O3056" s="18">
        <v>43971</v>
      </c>
      <c r="P3056">
        <v>1367.51</v>
      </c>
    </row>
    <row r="3057" spans="15:16" x14ac:dyDescent="0.35">
      <c r="O3057" s="18">
        <v>43972</v>
      </c>
      <c r="P3057">
        <v>1408.76</v>
      </c>
    </row>
    <row r="3058" spans="15:16" x14ac:dyDescent="0.35">
      <c r="O3058" s="18">
        <v>43973</v>
      </c>
      <c r="P3058">
        <v>1392.24</v>
      </c>
    </row>
    <row r="3059" spans="15:16" x14ac:dyDescent="0.35">
      <c r="O3059" s="18">
        <v>43977</v>
      </c>
      <c r="P3059">
        <v>1480.51</v>
      </c>
    </row>
    <row r="3060" spans="15:16" x14ac:dyDescent="0.35">
      <c r="O3060" s="18">
        <v>43978</v>
      </c>
      <c r="P3060">
        <v>1496.69</v>
      </c>
    </row>
    <row r="3061" spans="15:16" x14ac:dyDescent="0.35">
      <c r="O3061" s="18">
        <v>43979</v>
      </c>
      <c r="P3061">
        <v>1623.65</v>
      </c>
    </row>
    <row r="3062" spans="15:16" x14ac:dyDescent="0.35">
      <c r="O3062" s="18">
        <v>43980</v>
      </c>
      <c r="P3062">
        <v>1654.85</v>
      </c>
    </row>
    <row r="3063" spans="15:16" x14ac:dyDescent="0.35">
      <c r="O3063" s="18">
        <v>43983</v>
      </c>
      <c r="P3063">
        <v>1698.58</v>
      </c>
    </row>
    <row r="3064" spans="15:16" x14ac:dyDescent="0.35">
      <c r="O3064" s="18">
        <v>43984</v>
      </c>
      <c r="P3064">
        <v>1739.62</v>
      </c>
    </row>
    <row r="3065" spans="15:16" x14ac:dyDescent="0.35">
      <c r="O3065" s="18">
        <v>43985</v>
      </c>
      <c r="P3065">
        <v>1754.29</v>
      </c>
    </row>
    <row r="3066" spans="15:16" x14ac:dyDescent="0.35">
      <c r="O3066" s="18">
        <v>43986</v>
      </c>
      <c r="P3066">
        <v>1727.3</v>
      </c>
    </row>
    <row r="3067" spans="15:16" x14ac:dyDescent="0.35">
      <c r="O3067" s="18">
        <v>43987</v>
      </c>
      <c r="P3067">
        <v>1749.54</v>
      </c>
    </row>
    <row r="3068" spans="15:16" x14ac:dyDescent="0.35">
      <c r="O3068" s="18">
        <v>43990</v>
      </c>
      <c r="P3068">
        <v>1689.48</v>
      </c>
    </row>
    <row r="3069" spans="15:16" x14ac:dyDescent="0.35">
      <c r="O3069" s="18">
        <v>43991</v>
      </c>
      <c r="P3069">
        <v>1702.68</v>
      </c>
    </row>
    <row r="3070" spans="15:16" x14ac:dyDescent="0.35">
      <c r="O3070" s="18">
        <v>43992</v>
      </c>
      <c r="P3070">
        <v>1709.01</v>
      </c>
    </row>
    <row r="3071" spans="15:16" x14ac:dyDescent="0.35">
      <c r="O3071" s="18">
        <v>43993</v>
      </c>
      <c r="P3071">
        <v>1644.28</v>
      </c>
    </row>
    <row r="3072" spans="15:16" x14ac:dyDescent="0.35">
      <c r="O3072" s="18">
        <v>43994</v>
      </c>
      <c r="P3072">
        <v>1685.73</v>
      </c>
    </row>
    <row r="3073" spans="15:16" x14ac:dyDescent="0.35">
      <c r="O3073" s="18">
        <v>43997</v>
      </c>
      <c r="P3073">
        <v>1648.19</v>
      </c>
    </row>
    <row r="3074" spans="15:16" x14ac:dyDescent="0.35">
      <c r="O3074" s="18">
        <v>43998</v>
      </c>
      <c r="P3074">
        <v>1670.9</v>
      </c>
    </row>
    <row r="3075" spans="15:16" x14ac:dyDescent="0.35">
      <c r="O3075" s="18">
        <v>43999</v>
      </c>
      <c r="P3075">
        <v>1679.68</v>
      </c>
    </row>
    <row r="3076" spans="15:16" x14ac:dyDescent="0.35">
      <c r="O3076" s="18">
        <v>44000</v>
      </c>
      <c r="P3076">
        <v>1711.61</v>
      </c>
    </row>
    <row r="3077" spans="15:16" x14ac:dyDescent="0.35">
      <c r="O3077" s="18">
        <v>44001</v>
      </c>
      <c r="P3077">
        <v>1734.93</v>
      </c>
    </row>
    <row r="3078" spans="15:16" x14ac:dyDescent="0.35">
      <c r="O3078" s="18">
        <v>44004</v>
      </c>
      <c r="P3078">
        <v>1758.89</v>
      </c>
    </row>
    <row r="3079" spans="15:16" x14ac:dyDescent="0.35">
      <c r="O3079" s="18">
        <v>44005</v>
      </c>
      <c r="P3079">
        <v>1789.12</v>
      </c>
    </row>
    <row r="3080" spans="15:16" x14ac:dyDescent="0.35">
      <c r="O3080" s="18">
        <v>44006</v>
      </c>
      <c r="P3080">
        <v>1843.68</v>
      </c>
    </row>
    <row r="3081" spans="15:16" x14ac:dyDescent="0.35">
      <c r="O3081" s="18">
        <v>44007</v>
      </c>
      <c r="P3081">
        <v>1809.07</v>
      </c>
    </row>
    <row r="3082" spans="15:16" x14ac:dyDescent="0.35">
      <c r="O3082" s="18">
        <v>44008</v>
      </c>
      <c r="P3082">
        <v>1847.34</v>
      </c>
    </row>
    <row r="3083" spans="15:16" x14ac:dyDescent="0.35">
      <c r="O3083" s="18">
        <v>44011</v>
      </c>
      <c r="P3083">
        <v>1811.35</v>
      </c>
    </row>
    <row r="3084" spans="15:16" x14ac:dyDescent="0.35">
      <c r="O3084" s="18">
        <v>44012</v>
      </c>
      <c r="P3084">
        <v>1833.43</v>
      </c>
    </row>
    <row r="3085" spans="15:16" x14ac:dyDescent="0.35">
      <c r="O3085" s="18">
        <v>44013</v>
      </c>
      <c r="P3085">
        <v>1840.19</v>
      </c>
    </row>
    <row r="3086" spans="15:16" x14ac:dyDescent="0.35">
      <c r="O3086" s="18">
        <v>44014</v>
      </c>
      <c r="P3086">
        <v>1835.36</v>
      </c>
    </row>
    <row r="3087" spans="15:16" x14ac:dyDescent="0.35">
      <c r="O3087" s="18">
        <v>44015</v>
      </c>
      <c r="P3087">
        <v>1898.35</v>
      </c>
    </row>
    <row r="3088" spans="15:16" x14ac:dyDescent="0.35">
      <c r="O3088" s="18">
        <v>44018</v>
      </c>
      <c r="P3088">
        <v>1925.1</v>
      </c>
    </row>
    <row r="3089" spans="15:16" x14ac:dyDescent="0.35">
      <c r="O3089" s="18">
        <v>44019</v>
      </c>
      <c r="P3089">
        <v>1993.07</v>
      </c>
    </row>
    <row r="3090" spans="15:16" x14ac:dyDescent="0.35">
      <c r="O3090" s="18">
        <v>44020</v>
      </c>
      <c r="P3090">
        <v>1939.17</v>
      </c>
    </row>
    <row r="3091" spans="15:16" x14ac:dyDescent="0.35">
      <c r="O3091" s="18">
        <v>44021</v>
      </c>
      <c r="P3091">
        <v>1948.33</v>
      </c>
    </row>
    <row r="3092" spans="15:16" x14ac:dyDescent="0.35">
      <c r="O3092" s="18">
        <v>44022</v>
      </c>
      <c r="P3092">
        <v>1944.79</v>
      </c>
    </row>
    <row r="3093" spans="15:16" x14ac:dyDescent="0.35">
      <c r="O3093" s="18">
        <v>44025</v>
      </c>
      <c r="P3093">
        <v>1965.5</v>
      </c>
    </row>
    <row r="3094" spans="15:16" x14ac:dyDescent="0.35">
      <c r="O3094" s="18">
        <v>44026</v>
      </c>
      <c r="P3094">
        <v>1885.02</v>
      </c>
    </row>
    <row r="3095" spans="15:16" x14ac:dyDescent="0.35">
      <c r="O3095" s="18">
        <v>44027</v>
      </c>
      <c r="P3095">
        <v>1856.26</v>
      </c>
    </row>
    <row r="3096" spans="15:16" x14ac:dyDescent="0.35">
      <c r="O3096" s="18">
        <v>44028</v>
      </c>
      <c r="P3096">
        <v>1863.95</v>
      </c>
    </row>
    <row r="3097" spans="15:16" x14ac:dyDescent="0.35">
      <c r="O3097" s="18">
        <v>44029</v>
      </c>
      <c r="P3097">
        <v>1881.08</v>
      </c>
    </row>
    <row r="3098" spans="15:16" x14ac:dyDescent="0.35">
      <c r="O3098" s="18">
        <v>44032</v>
      </c>
      <c r="P3098">
        <v>1918.77</v>
      </c>
    </row>
    <row r="3099" spans="15:16" x14ac:dyDescent="0.35">
      <c r="O3099" s="18">
        <v>44033</v>
      </c>
      <c r="P3099">
        <v>2011.66</v>
      </c>
    </row>
    <row r="3100" spans="15:16" x14ac:dyDescent="0.35">
      <c r="O3100" s="18">
        <v>44034</v>
      </c>
      <c r="P3100">
        <v>1989.06</v>
      </c>
    </row>
    <row r="3101" spans="15:16" x14ac:dyDescent="0.35">
      <c r="O3101" s="18">
        <v>44035</v>
      </c>
      <c r="P3101">
        <v>2088.2399999999998</v>
      </c>
    </row>
    <row r="3102" spans="15:16" x14ac:dyDescent="0.35">
      <c r="O3102" s="18">
        <v>44036</v>
      </c>
      <c r="P3102">
        <v>2080.0300000000002</v>
      </c>
    </row>
    <row r="3103" spans="15:16" x14ac:dyDescent="0.35">
      <c r="O3103" s="18">
        <v>44039</v>
      </c>
      <c r="P3103">
        <v>2053.77</v>
      </c>
    </row>
    <row r="3104" spans="15:16" x14ac:dyDescent="0.35">
      <c r="O3104" s="18">
        <v>44040</v>
      </c>
      <c r="P3104">
        <v>2105.3200000000002</v>
      </c>
    </row>
    <row r="3105" spans="15:16" x14ac:dyDescent="0.35">
      <c r="O3105" s="18">
        <v>44041</v>
      </c>
      <c r="P3105">
        <v>2140.09</v>
      </c>
    </row>
    <row r="3106" spans="15:16" x14ac:dyDescent="0.35">
      <c r="O3106" s="18">
        <v>44042</v>
      </c>
      <c r="P3106">
        <v>2120.14</v>
      </c>
    </row>
    <row r="3107" spans="15:16" x14ac:dyDescent="0.35">
      <c r="O3107" s="18">
        <v>44043</v>
      </c>
      <c r="P3107">
        <v>2063.87</v>
      </c>
    </row>
    <row r="3108" spans="15:16" x14ac:dyDescent="0.35">
      <c r="O3108" s="18">
        <v>44046</v>
      </c>
      <c r="P3108">
        <v>2078.2199999999998</v>
      </c>
    </row>
    <row r="3109" spans="15:16" x14ac:dyDescent="0.35">
      <c r="O3109" s="18">
        <v>44047</v>
      </c>
      <c r="P3109">
        <v>2101.5700000000002</v>
      </c>
    </row>
    <row r="3110" spans="15:16" x14ac:dyDescent="0.35">
      <c r="O3110" s="18">
        <v>44048</v>
      </c>
      <c r="P3110">
        <v>2195.88</v>
      </c>
    </row>
    <row r="3111" spans="15:16" x14ac:dyDescent="0.35">
      <c r="O3111" s="18">
        <v>44049</v>
      </c>
      <c r="P3111">
        <v>2168.13</v>
      </c>
    </row>
    <row r="3112" spans="15:16" x14ac:dyDescent="0.35">
      <c r="O3112" s="18">
        <v>44050</v>
      </c>
      <c r="P3112">
        <v>2180.7399999999998</v>
      </c>
    </row>
    <row r="3113" spans="15:16" x14ac:dyDescent="0.35">
      <c r="O3113" s="18">
        <v>44053</v>
      </c>
      <c r="P3113">
        <v>2135.31</v>
      </c>
    </row>
    <row r="3114" spans="15:16" x14ac:dyDescent="0.35">
      <c r="O3114" s="18">
        <v>44054</v>
      </c>
      <c r="P3114">
        <v>2144.2600000000002</v>
      </c>
    </row>
    <row r="3115" spans="15:16" x14ac:dyDescent="0.35">
      <c r="O3115" s="18">
        <v>44055</v>
      </c>
      <c r="P3115">
        <v>2211.66</v>
      </c>
    </row>
    <row r="3116" spans="15:16" x14ac:dyDescent="0.35">
      <c r="O3116" s="18">
        <v>44056</v>
      </c>
      <c r="P3116">
        <v>2167.3000000000002</v>
      </c>
    </row>
    <row r="3117" spans="15:16" x14ac:dyDescent="0.35">
      <c r="O3117" s="18">
        <v>44057</v>
      </c>
      <c r="P3117">
        <v>2014.41</v>
      </c>
    </row>
    <row r="3118" spans="15:16" x14ac:dyDescent="0.35">
      <c r="O3118" s="18">
        <v>44060</v>
      </c>
      <c r="P3118">
        <v>2113.4699999999998</v>
      </c>
    </row>
    <row r="3119" spans="15:16" x14ac:dyDescent="0.35">
      <c r="O3119" s="18">
        <v>44061</v>
      </c>
      <c r="P3119">
        <v>2140.4699999999998</v>
      </c>
    </row>
    <row r="3120" spans="15:16" x14ac:dyDescent="0.35">
      <c r="O3120" s="18">
        <v>44062</v>
      </c>
      <c r="P3120">
        <v>2126.14</v>
      </c>
    </row>
    <row r="3121" spans="15:16" x14ac:dyDescent="0.35">
      <c r="O3121" s="18">
        <v>44063</v>
      </c>
      <c r="P3121">
        <v>2137.14</v>
      </c>
    </row>
    <row r="3122" spans="15:16" x14ac:dyDescent="0.35">
      <c r="O3122" s="18">
        <v>44064</v>
      </c>
      <c r="P3122">
        <v>2170.2399999999998</v>
      </c>
    </row>
    <row r="3123" spans="15:16" x14ac:dyDescent="0.35">
      <c r="O3123" s="18">
        <v>44067</v>
      </c>
      <c r="P3123">
        <v>2176.4499999999998</v>
      </c>
    </row>
    <row r="3124" spans="15:16" x14ac:dyDescent="0.35">
      <c r="O3124" s="18">
        <v>44068</v>
      </c>
      <c r="P3124">
        <v>2217.25</v>
      </c>
    </row>
    <row r="3125" spans="15:16" x14ac:dyDescent="0.35">
      <c r="O3125" s="18">
        <v>44069</v>
      </c>
      <c r="P3125">
        <v>2248.85</v>
      </c>
    </row>
    <row r="3126" spans="15:16" x14ac:dyDescent="0.35">
      <c r="O3126" s="18">
        <v>44070</v>
      </c>
      <c r="P3126">
        <v>2236.35</v>
      </c>
    </row>
    <row r="3127" spans="15:16" x14ac:dyDescent="0.35">
      <c r="O3127" s="18">
        <v>44071</v>
      </c>
      <c r="P3127">
        <v>2213.6</v>
      </c>
    </row>
    <row r="3128" spans="15:16" x14ac:dyDescent="0.35">
      <c r="O3128" s="18">
        <v>44074</v>
      </c>
      <c r="P3128">
        <v>2092</v>
      </c>
    </row>
    <row r="3129" spans="15:16" x14ac:dyDescent="0.35">
      <c r="O3129" s="18">
        <v>44075</v>
      </c>
      <c r="P3129">
        <v>2131.1</v>
      </c>
    </row>
    <row r="3130" spans="15:16" x14ac:dyDescent="0.35">
      <c r="O3130" s="18">
        <v>44076</v>
      </c>
      <c r="P3130">
        <v>2169.85</v>
      </c>
    </row>
    <row r="3131" spans="15:16" x14ac:dyDescent="0.35">
      <c r="O3131" s="18">
        <v>44077</v>
      </c>
      <c r="P3131">
        <v>2231.15</v>
      </c>
    </row>
    <row r="3132" spans="15:16" x14ac:dyDescent="0.35">
      <c r="O3132" s="18">
        <v>44078</v>
      </c>
      <c r="P3132">
        <v>2180.85</v>
      </c>
    </row>
    <row r="3133" spans="15:16" x14ac:dyDescent="0.35">
      <c r="O3133" s="18">
        <v>44081</v>
      </c>
      <c r="P3133">
        <v>2192.9</v>
      </c>
    </row>
    <row r="3134" spans="15:16" x14ac:dyDescent="0.35">
      <c r="O3134" s="18">
        <v>44082</v>
      </c>
      <c r="P3134">
        <v>2161.5</v>
      </c>
    </row>
    <row r="3135" spans="15:16" x14ac:dyDescent="0.35">
      <c r="O3135" s="18">
        <v>44083</v>
      </c>
      <c r="P3135">
        <v>2176.9499999999998</v>
      </c>
    </row>
    <row r="3136" spans="15:16" x14ac:dyDescent="0.35">
      <c r="O3136" s="18">
        <v>44084</v>
      </c>
      <c r="P3136">
        <v>2175.6</v>
      </c>
    </row>
    <row r="3137" spans="15:16" x14ac:dyDescent="0.35">
      <c r="O3137" s="18">
        <v>44085</v>
      </c>
      <c r="P3137">
        <v>2160.3000000000002</v>
      </c>
    </row>
    <row r="3138" spans="15:16" x14ac:dyDescent="0.35">
      <c r="O3138" s="18">
        <v>44088</v>
      </c>
      <c r="P3138">
        <v>2159.4</v>
      </c>
    </row>
    <row r="3139" spans="15:16" x14ac:dyDescent="0.35">
      <c r="O3139" s="18">
        <v>44089</v>
      </c>
      <c r="P3139">
        <v>2140.6</v>
      </c>
    </row>
    <row r="3140" spans="15:16" x14ac:dyDescent="0.35">
      <c r="O3140" s="18">
        <v>44090</v>
      </c>
      <c r="P3140">
        <v>2163.75</v>
      </c>
    </row>
    <row r="3141" spans="15:16" x14ac:dyDescent="0.35">
      <c r="O3141" s="18">
        <v>44091</v>
      </c>
      <c r="P3141">
        <v>2145.4499999999998</v>
      </c>
    </row>
    <row r="3142" spans="15:16" x14ac:dyDescent="0.35">
      <c r="O3142" s="18">
        <v>44092</v>
      </c>
      <c r="P3142">
        <v>2152.9499999999998</v>
      </c>
    </row>
    <row r="3143" spans="15:16" x14ac:dyDescent="0.35">
      <c r="O3143" s="18">
        <v>44095</v>
      </c>
      <c r="P3143">
        <v>2102.9499999999998</v>
      </c>
    </row>
    <row r="3144" spans="15:16" x14ac:dyDescent="0.35">
      <c r="O3144" s="18">
        <v>44096</v>
      </c>
      <c r="P3144">
        <v>2064.35</v>
      </c>
    </row>
    <row r="3145" spans="15:16" x14ac:dyDescent="0.35">
      <c r="O3145" s="18">
        <v>44097</v>
      </c>
      <c r="P3145">
        <v>2076.8000000000002</v>
      </c>
    </row>
    <row r="3146" spans="15:16" x14ac:dyDescent="0.35">
      <c r="O3146" s="18">
        <v>44098</v>
      </c>
      <c r="P3146">
        <v>2034.45</v>
      </c>
    </row>
    <row r="3147" spans="15:16" x14ac:dyDescent="0.35">
      <c r="O3147" s="18">
        <v>44099</v>
      </c>
      <c r="P3147">
        <v>2117.5</v>
      </c>
    </row>
    <row r="3148" spans="15:16" x14ac:dyDescent="0.35">
      <c r="O3148" s="18">
        <v>44102</v>
      </c>
      <c r="P3148">
        <v>2180.9499999999998</v>
      </c>
    </row>
    <row r="3149" spans="15:16" x14ac:dyDescent="0.35">
      <c r="O3149" s="18">
        <v>44103</v>
      </c>
      <c r="P3149">
        <v>2198.5</v>
      </c>
    </row>
    <row r="3150" spans="15:16" x14ac:dyDescent="0.35">
      <c r="O3150" s="18">
        <v>44104</v>
      </c>
      <c r="P3150">
        <v>2202.8000000000002</v>
      </c>
    </row>
    <row r="3151" spans="15:16" x14ac:dyDescent="0.35">
      <c r="O3151" s="18">
        <v>44105</v>
      </c>
      <c r="P3151">
        <v>2197.65</v>
      </c>
    </row>
    <row r="3152" spans="15:16" x14ac:dyDescent="0.35">
      <c r="O3152" s="18">
        <v>44109</v>
      </c>
      <c r="P3152">
        <v>2210.15</v>
      </c>
    </row>
    <row r="3153" spans="15:16" x14ac:dyDescent="0.35">
      <c r="O3153" s="18">
        <v>44110</v>
      </c>
      <c r="P3153">
        <v>2197.6</v>
      </c>
    </row>
    <row r="3154" spans="15:16" x14ac:dyDescent="0.35">
      <c r="O3154" s="18">
        <v>44111</v>
      </c>
      <c r="P3154">
        <v>2238</v>
      </c>
    </row>
    <row r="3155" spans="15:16" x14ac:dyDescent="0.35">
      <c r="O3155" s="18">
        <v>44112</v>
      </c>
      <c r="P3155">
        <v>2208.8000000000002</v>
      </c>
    </row>
    <row r="3156" spans="15:16" x14ac:dyDescent="0.35">
      <c r="O3156" s="18">
        <v>44113</v>
      </c>
      <c r="P3156">
        <v>2217.9499999999998</v>
      </c>
    </row>
    <row r="3157" spans="15:16" x14ac:dyDescent="0.35">
      <c r="O3157" s="18">
        <v>44116</v>
      </c>
      <c r="P3157">
        <v>2181.35</v>
      </c>
    </row>
    <row r="3158" spans="15:16" x14ac:dyDescent="0.35">
      <c r="O3158" s="18">
        <v>44117</v>
      </c>
      <c r="P3158">
        <v>2219.5500000000002</v>
      </c>
    </row>
    <row r="3159" spans="15:16" x14ac:dyDescent="0.35">
      <c r="O3159" s="18">
        <v>44118</v>
      </c>
      <c r="P3159">
        <v>2253.9</v>
      </c>
    </row>
    <row r="3160" spans="15:16" x14ac:dyDescent="0.35">
      <c r="O3160" s="18">
        <v>44119</v>
      </c>
      <c r="P3160">
        <v>2248.6</v>
      </c>
    </row>
    <row r="3161" spans="15:16" x14ac:dyDescent="0.35">
      <c r="O3161" s="18">
        <v>44120</v>
      </c>
      <c r="P3161">
        <v>2269.9</v>
      </c>
    </row>
    <row r="3162" spans="15:16" x14ac:dyDescent="0.35">
      <c r="O3162" s="18">
        <v>44123</v>
      </c>
      <c r="P3162">
        <v>2198.15</v>
      </c>
    </row>
    <row r="3163" spans="15:16" x14ac:dyDescent="0.35">
      <c r="O3163" s="18">
        <v>44124</v>
      </c>
      <c r="P3163">
        <v>2194.4499999999998</v>
      </c>
    </row>
    <row r="3164" spans="15:16" x14ac:dyDescent="0.35">
      <c r="O3164" s="18">
        <v>44125</v>
      </c>
      <c r="P3164">
        <v>2181.35</v>
      </c>
    </row>
    <row r="3165" spans="15:16" x14ac:dyDescent="0.35">
      <c r="O3165" s="18">
        <v>44126</v>
      </c>
      <c r="P3165">
        <v>2159.4499999999998</v>
      </c>
    </row>
    <row r="3166" spans="15:16" x14ac:dyDescent="0.35">
      <c r="O3166" s="18">
        <v>44127</v>
      </c>
      <c r="P3166">
        <v>2181.9</v>
      </c>
    </row>
    <row r="3167" spans="15:16" x14ac:dyDescent="0.35">
      <c r="O3167" s="18">
        <v>44130</v>
      </c>
      <c r="P3167">
        <v>2108.1</v>
      </c>
    </row>
    <row r="3168" spans="15:16" x14ac:dyDescent="0.35">
      <c r="O3168" s="18">
        <v>44131</v>
      </c>
      <c r="P3168">
        <v>2118.25</v>
      </c>
    </row>
    <row r="3169" spans="15:16" x14ac:dyDescent="0.35">
      <c r="O3169" s="18">
        <v>44132</v>
      </c>
      <c r="P3169">
        <v>2135</v>
      </c>
    </row>
    <row r="3170" spans="15:16" x14ac:dyDescent="0.35">
      <c r="O3170" s="18">
        <v>44133</v>
      </c>
      <c r="P3170">
        <v>2136.85</v>
      </c>
    </row>
    <row r="3171" spans="15:16" x14ac:dyDescent="0.35">
      <c r="O3171" s="18">
        <v>44134</v>
      </c>
      <c r="P3171">
        <v>2085.6</v>
      </c>
    </row>
    <row r="3172" spans="15:16" x14ac:dyDescent="0.35">
      <c r="O3172" s="18">
        <v>44137</v>
      </c>
      <c r="P3172">
        <v>2029.65</v>
      </c>
    </row>
    <row r="3173" spans="15:16" x14ac:dyDescent="0.35">
      <c r="O3173" s="18">
        <v>44138</v>
      </c>
      <c r="P3173">
        <v>2095</v>
      </c>
    </row>
    <row r="3174" spans="15:16" x14ac:dyDescent="0.35">
      <c r="O3174" s="18">
        <v>44139</v>
      </c>
      <c r="P3174">
        <v>2097.4</v>
      </c>
    </row>
    <row r="3175" spans="15:16" x14ac:dyDescent="0.35">
      <c r="O3175" s="18">
        <v>44140</v>
      </c>
      <c r="P3175">
        <v>2119.8000000000002</v>
      </c>
    </row>
    <row r="3176" spans="15:16" x14ac:dyDescent="0.35">
      <c r="O3176" s="18">
        <v>44141</v>
      </c>
      <c r="P3176">
        <v>2139.0500000000002</v>
      </c>
    </row>
    <row r="3177" spans="15:16" x14ac:dyDescent="0.35">
      <c r="O3177" s="18">
        <v>44144</v>
      </c>
      <c r="P3177">
        <v>2192.85</v>
      </c>
    </row>
    <row r="3178" spans="15:16" x14ac:dyDescent="0.35">
      <c r="O3178" s="18">
        <v>44145</v>
      </c>
      <c r="P3178">
        <v>2234.85</v>
      </c>
    </row>
    <row r="3179" spans="15:16" x14ac:dyDescent="0.35">
      <c r="O3179" s="18">
        <v>44146</v>
      </c>
      <c r="P3179">
        <v>2326.6999999999998</v>
      </c>
    </row>
    <row r="3180" spans="15:16" x14ac:dyDescent="0.35">
      <c r="O3180" s="18">
        <v>44147</v>
      </c>
      <c r="P3180">
        <v>2350.75</v>
      </c>
    </row>
    <row r="3181" spans="15:16" x14ac:dyDescent="0.35">
      <c r="O3181" s="18">
        <v>44148</v>
      </c>
      <c r="P3181">
        <v>2514.6</v>
      </c>
    </row>
    <row r="3182" spans="15:16" x14ac:dyDescent="0.35">
      <c r="O3182" s="18">
        <v>44152</v>
      </c>
      <c r="P3182">
        <v>2541.6999999999998</v>
      </c>
    </row>
    <row r="3183" spans="15:16" x14ac:dyDescent="0.35">
      <c r="O3183" s="18">
        <v>44153</v>
      </c>
      <c r="P3183">
        <v>2614.15</v>
      </c>
    </row>
    <row r="3184" spans="15:16" x14ac:dyDescent="0.35">
      <c r="O3184" s="18">
        <v>44154</v>
      </c>
      <c r="P3184">
        <v>2551.25</v>
      </c>
    </row>
    <row r="3185" spans="15:16" x14ac:dyDescent="0.35">
      <c r="O3185" s="18">
        <v>44155</v>
      </c>
      <c r="P3185">
        <v>2590.65</v>
      </c>
    </row>
    <row r="3186" spans="15:16" x14ac:dyDescent="0.35">
      <c r="O3186" s="18">
        <v>44158</v>
      </c>
      <c r="P3186">
        <v>2597.35</v>
      </c>
    </row>
    <row r="3187" spans="15:16" x14ac:dyDescent="0.35">
      <c r="O3187" s="18">
        <v>44159</v>
      </c>
      <c r="P3187">
        <v>2693.3</v>
      </c>
    </row>
    <row r="3188" spans="15:16" x14ac:dyDescent="0.35">
      <c r="O3188" s="18">
        <v>44160</v>
      </c>
      <c r="P3188">
        <v>2595.1</v>
      </c>
    </row>
    <row r="3189" spans="15:16" x14ac:dyDescent="0.35">
      <c r="O3189" s="18">
        <v>44161</v>
      </c>
      <c r="P3189">
        <v>2549.1999999999998</v>
      </c>
    </row>
    <row r="3190" spans="15:16" x14ac:dyDescent="0.35">
      <c r="O3190" s="18">
        <v>44162</v>
      </c>
      <c r="P3190">
        <v>2534.65</v>
      </c>
    </row>
    <row r="3191" spans="15:16" x14ac:dyDescent="0.35">
      <c r="O3191" s="18">
        <v>44166</v>
      </c>
      <c r="P3191">
        <v>2532.6999999999998</v>
      </c>
    </row>
    <row r="3192" spans="15:16" x14ac:dyDescent="0.35">
      <c r="O3192" s="18">
        <v>44167</v>
      </c>
      <c r="P3192">
        <v>2532.5</v>
      </c>
    </row>
    <row r="3193" spans="15:16" x14ac:dyDescent="0.35">
      <c r="O3193" s="18">
        <v>44168</v>
      </c>
      <c r="P3193">
        <v>2549.5</v>
      </c>
    </row>
    <row r="3194" spans="15:16" x14ac:dyDescent="0.35">
      <c r="O3194" s="18">
        <v>44169</v>
      </c>
      <c r="P3194">
        <v>2553.5</v>
      </c>
    </row>
    <row r="3195" spans="15:16" x14ac:dyDescent="0.35">
      <c r="O3195" s="18">
        <v>44172</v>
      </c>
      <c r="P3195">
        <v>2561.15</v>
      </c>
    </row>
    <row r="3196" spans="15:16" x14ac:dyDescent="0.35">
      <c r="O3196" s="18">
        <v>44173</v>
      </c>
      <c r="P3196">
        <v>2548.1999999999998</v>
      </c>
    </row>
    <row r="3197" spans="15:16" x14ac:dyDescent="0.35">
      <c r="O3197" s="18">
        <v>44174</v>
      </c>
      <c r="P3197">
        <v>2547.25</v>
      </c>
    </row>
    <row r="3198" spans="15:16" x14ac:dyDescent="0.35">
      <c r="O3198" s="18">
        <v>44175</v>
      </c>
      <c r="P3198">
        <v>2492.65</v>
      </c>
    </row>
    <row r="3199" spans="15:16" x14ac:dyDescent="0.35">
      <c r="O3199" s="18">
        <v>44176</v>
      </c>
      <c r="P3199">
        <v>2470.8000000000002</v>
      </c>
    </row>
    <row r="3200" spans="15:16" x14ac:dyDescent="0.35">
      <c r="O3200" s="18">
        <v>44179</v>
      </c>
      <c r="P3200">
        <v>2400.4499999999998</v>
      </c>
    </row>
    <row r="3201" spans="15:16" x14ac:dyDescent="0.35">
      <c r="O3201" s="18">
        <v>44180</v>
      </c>
      <c r="P3201">
        <v>2475.1999999999998</v>
      </c>
    </row>
    <row r="3202" spans="15:16" x14ac:dyDescent="0.35">
      <c r="O3202" s="18">
        <v>44181</v>
      </c>
      <c r="P3202">
        <v>2470.1</v>
      </c>
    </row>
    <row r="3203" spans="15:16" x14ac:dyDescent="0.35">
      <c r="O3203" s="18">
        <v>44182</v>
      </c>
      <c r="P3203">
        <v>2466.6</v>
      </c>
    </row>
    <row r="3204" spans="15:16" x14ac:dyDescent="0.35">
      <c r="O3204" s="18">
        <v>44183</v>
      </c>
      <c r="P3204">
        <v>2480.9499999999998</v>
      </c>
    </row>
    <row r="3205" spans="15:16" x14ac:dyDescent="0.35">
      <c r="O3205" s="18">
        <v>44186</v>
      </c>
      <c r="P3205">
        <v>2396.4</v>
      </c>
    </row>
    <row r="3206" spans="15:16" x14ac:dyDescent="0.35">
      <c r="O3206" s="18">
        <v>44187</v>
      </c>
      <c r="P3206">
        <v>2446.6999999999998</v>
      </c>
    </row>
    <row r="3207" spans="15:16" x14ac:dyDescent="0.35">
      <c r="O3207" s="18">
        <v>44188</v>
      </c>
      <c r="P3207">
        <v>2446.6999999999998</v>
      </c>
    </row>
    <row r="3208" spans="15:16" x14ac:dyDescent="0.35">
      <c r="O3208" s="18">
        <v>44189</v>
      </c>
      <c r="P3208">
        <v>2436.75</v>
      </c>
    </row>
    <row r="3209" spans="15:16" x14ac:dyDescent="0.35">
      <c r="O3209" s="18">
        <v>44193</v>
      </c>
      <c r="P3209">
        <v>2451.35</v>
      </c>
    </row>
    <row r="3210" spans="15:16" x14ac:dyDescent="0.35">
      <c r="O3210" s="18">
        <v>44194</v>
      </c>
      <c r="P3210">
        <v>2460.5500000000002</v>
      </c>
    </row>
    <row r="3211" spans="15:16" x14ac:dyDescent="0.35">
      <c r="O3211" s="18">
        <v>44195</v>
      </c>
      <c r="P3211">
        <v>2517.35</v>
      </c>
    </row>
    <row r="3212" spans="15:16" x14ac:dyDescent="0.35">
      <c r="O3212" s="18">
        <v>44196</v>
      </c>
      <c r="P3212">
        <v>2530.9</v>
      </c>
    </row>
    <row r="3213" spans="15:16" x14ac:dyDescent="0.35">
      <c r="O3213" s="18">
        <v>44197</v>
      </c>
      <c r="P3213">
        <v>2542.6999999999998</v>
      </c>
    </row>
    <row r="3214" spans="15:16" x14ac:dyDescent="0.35">
      <c r="O3214" s="18">
        <v>44200</v>
      </c>
      <c r="P3214">
        <v>2655.7</v>
      </c>
    </row>
    <row r="3215" spans="15:16" x14ac:dyDescent="0.35">
      <c r="O3215" s="18">
        <v>44201</v>
      </c>
      <c r="P3215">
        <v>2674.9</v>
      </c>
    </row>
    <row r="3216" spans="15:16" x14ac:dyDescent="0.35">
      <c r="O3216" s="18">
        <v>44202</v>
      </c>
      <c r="P3216">
        <v>2645.35</v>
      </c>
    </row>
    <row r="3217" spans="15:16" x14ac:dyDescent="0.35">
      <c r="O3217" s="18">
        <v>44203</v>
      </c>
      <c r="P3217">
        <v>2649.8</v>
      </c>
    </row>
    <row r="3218" spans="15:16" x14ac:dyDescent="0.35">
      <c r="O3218" s="18">
        <v>44204</v>
      </c>
      <c r="P3218">
        <v>2760.85</v>
      </c>
    </row>
    <row r="3219" spans="15:16" x14ac:dyDescent="0.35">
      <c r="O3219" s="18">
        <v>44207</v>
      </c>
      <c r="P3219">
        <v>2777.15</v>
      </c>
    </row>
    <row r="3220" spans="15:16" x14ac:dyDescent="0.35">
      <c r="O3220" s="18">
        <v>44208</v>
      </c>
      <c r="P3220">
        <v>2881.65</v>
      </c>
    </row>
    <row r="3221" spans="15:16" x14ac:dyDescent="0.35">
      <c r="O3221" s="18">
        <v>44209</v>
      </c>
      <c r="P3221">
        <v>2868.65</v>
      </c>
    </row>
    <row r="3222" spans="15:16" x14ac:dyDescent="0.35">
      <c r="O3222" s="18">
        <v>44210</v>
      </c>
      <c r="P3222">
        <v>2886.6</v>
      </c>
    </row>
    <row r="3223" spans="15:16" x14ac:dyDescent="0.35">
      <c r="O3223" s="18">
        <v>44211</v>
      </c>
      <c r="P3223">
        <v>2857.3</v>
      </c>
    </row>
    <row r="3224" spans="15:16" x14ac:dyDescent="0.35">
      <c r="O3224" s="18">
        <v>44214</v>
      </c>
      <c r="P3224">
        <v>2873</v>
      </c>
    </row>
    <row r="3225" spans="15:16" x14ac:dyDescent="0.35">
      <c r="O3225" s="18">
        <v>44215</v>
      </c>
      <c r="P3225">
        <v>2883.5</v>
      </c>
    </row>
    <row r="3226" spans="15:16" x14ac:dyDescent="0.35">
      <c r="O3226" s="18">
        <v>44216</v>
      </c>
      <c r="P3226">
        <v>2881.55</v>
      </c>
    </row>
    <row r="3227" spans="15:16" x14ac:dyDescent="0.35">
      <c r="O3227" s="18">
        <v>44217</v>
      </c>
      <c r="P3227">
        <v>2926.6</v>
      </c>
    </row>
    <row r="3228" spans="15:16" x14ac:dyDescent="0.35">
      <c r="O3228" s="18">
        <v>44218</v>
      </c>
      <c r="P3228">
        <v>2972.6</v>
      </c>
    </row>
    <row r="3229" spans="15:16" x14ac:dyDescent="0.35">
      <c r="O3229" s="18">
        <v>44221</v>
      </c>
      <c r="P3229">
        <v>2869.55</v>
      </c>
    </row>
    <row r="3230" spans="15:16" x14ac:dyDescent="0.35">
      <c r="O3230" s="18">
        <v>44223</v>
      </c>
      <c r="P3230">
        <v>2789.9</v>
      </c>
    </row>
    <row r="3231" spans="15:16" x14ac:dyDescent="0.35">
      <c r="O3231" s="18">
        <v>44224</v>
      </c>
      <c r="P3231">
        <v>2798.45</v>
      </c>
    </row>
    <row r="3232" spans="15:16" x14ac:dyDescent="0.35">
      <c r="O3232" s="18">
        <v>44225</v>
      </c>
      <c r="P3232">
        <v>2744.3</v>
      </c>
    </row>
    <row r="3233" spans="15:16" x14ac:dyDescent="0.35">
      <c r="O3233" s="18">
        <v>44228</v>
      </c>
      <c r="P3233">
        <v>2842.85</v>
      </c>
    </row>
    <row r="3234" spans="15:16" x14ac:dyDescent="0.35">
      <c r="O3234" s="18">
        <v>44229</v>
      </c>
      <c r="P3234">
        <v>2904.85</v>
      </c>
    </row>
    <row r="3235" spans="15:16" x14ac:dyDescent="0.35">
      <c r="O3235" s="18">
        <v>44230</v>
      </c>
      <c r="P3235">
        <v>2916.9</v>
      </c>
    </row>
    <row r="3236" spans="15:16" x14ac:dyDescent="0.35">
      <c r="O3236" s="18">
        <v>44231</v>
      </c>
      <c r="P3236">
        <v>2963.45</v>
      </c>
    </row>
    <row r="3237" spans="15:16" x14ac:dyDescent="0.35">
      <c r="O3237" s="18">
        <v>44232</v>
      </c>
      <c r="P3237">
        <v>2932.15</v>
      </c>
    </row>
    <row r="3238" spans="15:16" x14ac:dyDescent="0.35">
      <c r="O3238" s="18">
        <v>44235</v>
      </c>
      <c r="P3238">
        <v>2970.4</v>
      </c>
    </row>
    <row r="3239" spans="15:16" x14ac:dyDescent="0.35">
      <c r="O3239" s="18">
        <v>44236</v>
      </c>
      <c r="P3239">
        <v>2947.65</v>
      </c>
    </row>
    <row r="3240" spans="15:16" x14ac:dyDescent="0.35">
      <c r="O3240" s="18">
        <v>44237</v>
      </c>
      <c r="P3240">
        <v>2901.3</v>
      </c>
    </row>
    <row r="3241" spans="15:16" x14ac:dyDescent="0.35">
      <c r="O3241" s="18">
        <v>44238</v>
      </c>
      <c r="P3241">
        <v>2818.15</v>
      </c>
    </row>
    <row r="3242" spans="15:16" x14ac:dyDescent="0.35">
      <c r="O3242" s="18">
        <v>44239</v>
      </c>
      <c r="P3242">
        <v>2781.25</v>
      </c>
    </row>
    <row r="3243" spans="15:16" x14ac:dyDescent="0.35">
      <c r="O3243" s="18">
        <v>44242</v>
      </c>
      <c r="P3243">
        <v>2770.05</v>
      </c>
    </row>
    <row r="3244" spans="15:16" x14ac:dyDescent="0.35">
      <c r="O3244" s="18">
        <v>44243</v>
      </c>
      <c r="P3244">
        <v>2726.95</v>
      </c>
    </row>
    <row r="3245" spans="15:16" x14ac:dyDescent="0.35">
      <c r="O3245" s="18">
        <v>44244</v>
      </c>
      <c r="P3245">
        <v>2695.5</v>
      </c>
    </row>
    <row r="3246" spans="15:16" x14ac:dyDescent="0.35">
      <c r="O3246" s="18">
        <v>44245</v>
      </c>
      <c r="P3246">
        <v>2650.2</v>
      </c>
    </row>
    <row r="3247" spans="15:16" x14ac:dyDescent="0.35">
      <c r="O3247" s="18">
        <v>44246</v>
      </c>
      <c r="P3247">
        <v>2584.65</v>
      </c>
    </row>
    <row r="3248" spans="15:16" x14ac:dyDescent="0.35">
      <c r="O3248" s="18">
        <v>44249</v>
      </c>
      <c r="P3248">
        <v>2482.35</v>
      </c>
    </row>
    <row r="3249" spans="15:16" x14ac:dyDescent="0.35">
      <c r="O3249" s="18">
        <v>44250</v>
      </c>
      <c r="P3249">
        <v>2514.6999999999998</v>
      </c>
    </row>
    <row r="3250" spans="15:16" x14ac:dyDescent="0.35">
      <c r="O3250" s="18">
        <v>44251</v>
      </c>
      <c r="P3250">
        <v>2535.8000000000002</v>
      </c>
    </row>
    <row r="3251" spans="15:16" x14ac:dyDescent="0.35">
      <c r="O3251" s="18">
        <v>44252</v>
      </c>
      <c r="P3251">
        <v>2551.9499999999998</v>
      </c>
    </row>
    <row r="3252" spans="15:16" x14ac:dyDescent="0.35">
      <c r="O3252" s="18">
        <v>44253</v>
      </c>
      <c r="P3252">
        <v>2498.6</v>
      </c>
    </row>
    <row r="3253" spans="15:16" x14ac:dyDescent="0.35">
      <c r="O3253" s="18">
        <v>44256</v>
      </c>
      <c r="P3253">
        <v>2556.15</v>
      </c>
    </row>
    <row r="3254" spans="15:16" x14ac:dyDescent="0.35">
      <c r="O3254" s="18">
        <v>44257</v>
      </c>
      <c r="P3254">
        <v>2602.3000000000002</v>
      </c>
    </row>
    <row r="3255" spans="15:16" x14ac:dyDescent="0.35">
      <c r="O3255" s="18">
        <v>44258</v>
      </c>
      <c r="P3255">
        <v>2599.0500000000002</v>
      </c>
    </row>
    <row r="3256" spans="15:16" x14ac:dyDescent="0.35">
      <c r="O3256" s="18">
        <v>44259</v>
      </c>
      <c r="P3256">
        <v>2593.1999999999998</v>
      </c>
    </row>
    <row r="3257" spans="15:16" x14ac:dyDescent="0.35">
      <c r="O3257" s="18">
        <v>44260</v>
      </c>
      <c r="P3257">
        <v>2587.75</v>
      </c>
    </row>
    <row r="3258" spans="15:16" x14ac:dyDescent="0.35">
      <c r="O3258" s="18">
        <v>44263</v>
      </c>
      <c r="P3258">
        <v>2583.25</v>
      </c>
    </row>
    <row r="3259" spans="15:16" x14ac:dyDescent="0.35">
      <c r="O3259" s="18">
        <v>44264</v>
      </c>
      <c r="P3259">
        <v>2592.6999999999998</v>
      </c>
    </row>
    <row r="3260" spans="15:16" x14ac:dyDescent="0.35">
      <c r="O3260" s="18">
        <v>44265</v>
      </c>
      <c r="P3260">
        <v>2672.3</v>
      </c>
    </row>
    <row r="3261" spans="15:16" x14ac:dyDescent="0.35">
      <c r="O3261" s="18">
        <v>44267</v>
      </c>
      <c r="P3261">
        <v>2637.5</v>
      </c>
    </row>
    <row r="3262" spans="15:16" x14ac:dyDescent="0.35">
      <c r="O3262" s="18">
        <v>44270</v>
      </c>
      <c r="P3262">
        <v>2669.45</v>
      </c>
    </row>
    <row r="3263" spans="15:16" x14ac:dyDescent="0.35">
      <c r="O3263" s="18">
        <v>44271</v>
      </c>
      <c r="P3263">
        <v>2661.05</v>
      </c>
    </row>
    <row r="3264" spans="15:16" x14ac:dyDescent="0.35">
      <c r="O3264" s="18">
        <v>44272</v>
      </c>
      <c r="P3264">
        <v>2647</v>
      </c>
    </row>
    <row r="3265" spans="15:16" x14ac:dyDescent="0.35">
      <c r="O3265" s="18">
        <v>44273</v>
      </c>
      <c r="P3265">
        <v>2664.6</v>
      </c>
    </row>
    <row r="3266" spans="15:16" x14ac:dyDescent="0.35">
      <c r="O3266" s="18">
        <v>44274</v>
      </c>
      <c r="P3266">
        <v>2661.5</v>
      </c>
    </row>
    <row r="3267" spans="15:16" x14ac:dyDescent="0.35">
      <c r="O3267" s="18">
        <v>44277</v>
      </c>
      <c r="P3267">
        <v>2676.85</v>
      </c>
    </row>
    <row r="3268" spans="15:16" x14ac:dyDescent="0.35">
      <c r="O3268" s="18">
        <v>44278</v>
      </c>
      <c r="P3268">
        <v>2702.75</v>
      </c>
    </row>
    <row r="3269" spans="15:16" x14ac:dyDescent="0.35">
      <c r="O3269" s="18">
        <v>44279</v>
      </c>
      <c r="P3269">
        <v>2660.65</v>
      </c>
    </row>
    <row r="3270" spans="15:16" x14ac:dyDescent="0.35">
      <c r="O3270" s="18">
        <v>44280</v>
      </c>
      <c r="P3270">
        <v>2580.4499999999998</v>
      </c>
    </row>
    <row r="3271" spans="15:16" x14ac:dyDescent="0.35">
      <c r="O3271" s="18">
        <v>44281</v>
      </c>
      <c r="P3271">
        <v>2560.5500000000002</v>
      </c>
    </row>
    <row r="3272" spans="15:16" x14ac:dyDescent="0.35">
      <c r="O3272" s="18">
        <v>44285</v>
      </c>
      <c r="P3272">
        <v>2639.95</v>
      </c>
    </row>
    <row r="3273" spans="15:16" x14ac:dyDescent="0.35">
      <c r="O3273" s="18">
        <v>44286</v>
      </c>
      <c r="P3273">
        <v>2603.9499999999998</v>
      </c>
    </row>
    <row r="3274" spans="15:16" x14ac:dyDescent="0.35">
      <c r="O3274" s="18">
        <v>44287</v>
      </c>
      <c r="P3274">
        <v>2631.15</v>
      </c>
    </row>
    <row r="3275" spans="15:16" x14ac:dyDescent="0.35">
      <c r="O3275" s="18">
        <v>44291</v>
      </c>
      <c r="P3275">
        <v>2517.1999999999998</v>
      </c>
    </row>
    <row r="3276" spans="15:16" x14ac:dyDescent="0.35">
      <c r="O3276" s="18">
        <v>44292</v>
      </c>
      <c r="P3276">
        <v>2486.6</v>
      </c>
    </row>
    <row r="3277" spans="15:16" x14ac:dyDescent="0.35">
      <c r="O3277" s="18">
        <v>44293</v>
      </c>
      <c r="P3277">
        <v>2538.1999999999998</v>
      </c>
    </row>
    <row r="3278" spans="15:16" x14ac:dyDescent="0.35">
      <c r="O3278" s="18">
        <v>44294</v>
      </c>
      <c r="P3278">
        <v>2553</v>
      </c>
    </row>
    <row r="3279" spans="15:16" x14ac:dyDescent="0.35">
      <c r="O3279" s="18">
        <v>44295</v>
      </c>
      <c r="P3279">
        <v>2521.6</v>
      </c>
    </row>
    <row r="3280" spans="15:16" x14ac:dyDescent="0.35">
      <c r="O3280" s="18">
        <v>44298</v>
      </c>
      <c r="P3280">
        <v>2427.1999999999998</v>
      </c>
    </row>
    <row r="3281" spans="15:16" x14ac:dyDescent="0.35">
      <c r="O3281" s="18">
        <v>44299</v>
      </c>
      <c r="P3281">
        <v>2493.85</v>
      </c>
    </row>
    <row r="3282" spans="15:16" x14ac:dyDescent="0.35">
      <c r="O3282" s="18">
        <v>44301</v>
      </c>
      <c r="P3282">
        <v>2412.6</v>
      </c>
    </row>
    <row r="3283" spans="15:16" x14ac:dyDescent="0.35">
      <c r="O3283" s="18">
        <v>44302</v>
      </c>
      <c r="P3283">
        <v>2434.85</v>
      </c>
    </row>
    <row r="3284" spans="15:16" x14ac:dyDescent="0.35">
      <c r="O3284" s="18">
        <v>44305</v>
      </c>
      <c r="P3284">
        <v>2370.35</v>
      </c>
    </row>
    <row r="3285" spans="15:16" x14ac:dyDescent="0.35">
      <c r="O3285" s="18">
        <v>44306</v>
      </c>
      <c r="P3285">
        <v>2340</v>
      </c>
    </row>
    <row r="3286" spans="15:16" x14ac:dyDescent="0.35">
      <c r="O3286" s="18">
        <v>44308</v>
      </c>
      <c r="P3286">
        <v>2337.85</v>
      </c>
    </row>
    <row r="3287" spans="15:16" x14ac:dyDescent="0.35">
      <c r="O3287" s="18">
        <v>44309</v>
      </c>
      <c r="P3287">
        <v>2317.3000000000002</v>
      </c>
    </row>
    <row r="3288" spans="15:16" x14ac:dyDescent="0.35">
      <c r="O3288" s="18">
        <v>44312</v>
      </c>
      <c r="P3288">
        <v>2369.85</v>
      </c>
    </row>
    <row r="3289" spans="15:16" x14ac:dyDescent="0.35">
      <c r="O3289" s="18">
        <v>44313</v>
      </c>
      <c r="P3289">
        <v>2400.1</v>
      </c>
    </row>
    <row r="3290" spans="15:16" x14ac:dyDescent="0.35">
      <c r="O3290" s="18">
        <v>44314</v>
      </c>
      <c r="P3290">
        <v>2521.1999999999998</v>
      </c>
    </row>
    <row r="3291" spans="15:16" x14ac:dyDescent="0.35">
      <c r="O3291" s="18">
        <v>44315</v>
      </c>
      <c r="P3291">
        <v>2462.9</v>
      </c>
    </row>
    <row r="3292" spans="15:16" x14ac:dyDescent="0.35">
      <c r="O3292" s="18">
        <v>44316</v>
      </c>
      <c r="P3292">
        <v>2421.65</v>
      </c>
    </row>
    <row r="3293" spans="15:16" x14ac:dyDescent="0.35">
      <c r="O3293" s="18">
        <v>44319</v>
      </c>
      <c r="P3293">
        <v>2396.25</v>
      </c>
    </row>
    <row r="3294" spans="15:16" x14ac:dyDescent="0.35">
      <c r="O3294" s="18">
        <v>44320</v>
      </c>
      <c r="P3294">
        <v>2368</v>
      </c>
    </row>
    <row r="3295" spans="15:16" x14ac:dyDescent="0.35">
      <c r="O3295" s="18">
        <v>44321</v>
      </c>
      <c r="P3295">
        <v>2372.4</v>
      </c>
    </row>
    <row r="3296" spans="15:16" x14ac:dyDescent="0.35">
      <c r="O3296" s="18">
        <v>44322</v>
      </c>
      <c r="P3296">
        <v>2443.25</v>
      </c>
    </row>
    <row r="3297" spans="15:16" x14ac:dyDescent="0.35">
      <c r="O3297" s="18">
        <v>44323</v>
      </c>
      <c r="P3297">
        <v>2417.15</v>
      </c>
    </row>
    <row r="3298" spans="15:16" x14ac:dyDescent="0.35">
      <c r="O3298" s="18">
        <v>44326</v>
      </c>
      <c r="P3298">
        <v>2447.25</v>
      </c>
    </row>
    <row r="3299" spans="15:16" x14ac:dyDescent="0.35">
      <c r="O3299" s="18">
        <v>44327</v>
      </c>
      <c r="P3299">
        <v>2471.1999999999998</v>
      </c>
    </row>
    <row r="3300" spans="15:16" x14ac:dyDescent="0.35">
      <c r="O3300" s="18">
        <v>44328</v>
      </c>
      <c r="P3300">
        <v>2456.4499999999998</v>
      </c>
    </row>
    <row r="3301" spans="15:16" x14ac:dyDescent="0.35">
      <c r="O3301" s="18">
        <v>44330</v>
      </c>
      <c r="P3301">
        <v>2415.1999999999998</v>
      </c>
    </row>
    <row r="3302" spans="15:16" x14ac:dyDescent="0.35">
      <c r="O3302" s="18">
        <v>44333</v>
      </c>
      <c r="P3302">
        <v>2484.35</v>
      </c>
    </row>
    <row r="3303" spans="15:16" x14ac:dyDescent="0.35">
      <c r="O3303" s="18">
        <v>44334</v>
      </c>
      <c r="P3303">
        <v>2571.85</v>
      </c>
    </row>
    <row r="3304" spans="15:16" x14ac:dyDescent="0.35">
      <c r="O3304" s="18">
        <v>44335</v>
      </c>
      <c r="P3304">
        <v>2564.6999999999998</v>
      </c>
    </row>
    <row r="3305" spans="15:16" x14ac:dyDescent="0.35">
      <c r="O3305" s="18">
        <v>44336</v>
      </c>
      <c r="P3305">
        <v>2530.6</v>
      </c>
    </row>
    <row r="3306" spans="15:16" x14ac:dyDescent="0.35">
      <c r="O3306" s="18">
        <v>44337</v>
      </c>
      <c r="P3306">
        <v>2522.3000000000002</v>
      </c>
    </row>
    <row r="3307" spans="15:16" x14ac:dyDescent="0.35">
      <c r="O3307" s="18">
        <v>44340</v>
      </c>
      <c r="P3307">
        <v>2551.1999999999998</v>
      </c>
    </row>
    <row r="3308" spans="15:16" x14ac:dyDescent="0.35">
      <c r="O3308" s="18">
        <v>44341</v>
      </c>
      <c r="P3308">
        <v>2625.05</v>
      </c>
    </row>
    <row r="3309" spans="15:16" x14ac:dyDescent="0.35">
      <c r="O3309" s="18">
        <v>44342</v>
      </c>
      <c r="P3309">
        <v>2633.5</v>
      </c>
    </row>
    <row r="3310" spans="15:16" x14ac:dyDescent="0.35">
      <c r="O3310" s="18">
        <v>44343</v>
      </c>
      <c r="P3310">
        <v>2604.0500000000002</v>
      </c>
    </row>
    <row r="3311" spans="15:16" x14ac:dyDescent="0.35">
      <c r="O3311" s="18">
        <v>44344</v>
      </c>
      <c r="P3311">
        <v>2638.45</v>
      </c>
    </row>
    <row r="3312" spans="15:16" x14ac:dyDescent="0.35">
      <c r="O3312" s="18">
        <v>44347</v>
      </c>
      <c r="P3312">
        <v>2676.15</v>
      </c>
    </row>
    <row r="3313" spans="15:16" x14ac:dyDescent="0.35">
      <c r="O3313" s="18">
        <v>44348</v>
      </c>
      <c r="P3313">
        <v>2665.8</v>
      </c>
    </row>
    <row r="3314" spans="15:16" x14ac:dyDescent="0.35">
      <c r="O3314" s="18">
        <v>44349</v>
      </c>
      <c r="P3314">
        <v>2677.75</v>
      </c>
    </row>
    <row r="3315" spans="15:16" x14ac:dyDescent="0.35">
      <c r="O3315" s="18">
        <v>44350</v>
      </c>
      <c r="P3315">
        <v>2767.75</v>
      </c>
    </row>
    <row r="3316" spans="15:16" x14ac:dyDescent="0.35">
      <c r="O3316" s="18">
        <v>44351</v>
      </c>
      <c r="P3316">
        <v>2744.6</v>
      </c>
    </row>
    <row r="3317" spans="15:16" x14ac:dyDescent="0.35">
      <c r="O3317" s="18">
        <v>44354</v>
      </c>
      <c r="P3317">
        <v>2754.45</v>
      </c>
    </row>
    <row r="3318" spans="15:16" x14ac:dyDescent="0.35">
      <c r="O3318" s="18">
        <v>44355</v>
      </c>
      <c r="P3318">
        <v>2763.8</v>
      </c>
    </row>
    <row r="3319" spans="15:16" x14ac:dyDescent="0.35">
      <c r="O3319" s="18">
        <v>44356</v>
      </c>
      <c r="P3319">
        <v>2729.05</v>
      </c>
    </row>
    <row r="3320" spans="15:16" x14ac:dyDescent="0.35">
      <c r="O3320" s="18">
        <v>44357</v>
      </c>
      <c r="P3320">
        <v>2705.05</v>
      </c>
    </row>
    <row r="3321" spans="15:16" x14ac:dyDescent="0.35">
      <c r="O3321" s="18">
        <v>44358</v>
      </c>
      <c r="P3321">
        <v>2746.4</v>
      </c>
    </row>
    <row r="3322" spans="15:16" x14ac:dyDescent="0.35">
      <c r="O3322" s="18">
        <v>44361</v>
      </c>
      <c r="P3322">
        <v>2744.95</v>
      </c>
    </row>
    <row r="3323" spans="15:16" x14ac:dyDescent="0.35">
      <c r="O3323" s="18">
        <v>44362</v>
      </c>
      <c r="P3323">
        <v>2763.5</v>
      </c>
    </row>
    <row r="3324" spans="15:16" x14ac:dyDescent="0.35">
      <c r="O3324" s="18">
        <v>44363</v>
      </c>
      <c r="P3324">
        <v>2741.05</v>
      </c>
    </row>
    <row r="3325" spans="15:16" x14ac:dyDescent="0.35">
      <c r="O3325" s="18">
        <v>44364</v>
      </c>
      <c r="P3325">
        <v>2673.75</v>
      </c>
    </row>
    <row r="3326" spans="15:16" x14ac:dyDescent="0.35">
      <c r="O3326" s="18">
        <v>44365</v>
      </c>
      <c r="P3326">
        <v>2707.55</v>
      </c>
    </row>
    <row r="3327" spans="15:16" x14ac:dyDescent="0.35">
      <c r="O3327" s="18">
        <v>44368</v>
      </c>
      <c r="P3327">
        <v>2698.45</v>
      </c>
    </row>
    <row r="3328" spans="15:16" x14ac:dyDescent="0.35">
      <c r="O3328" s="18">
        <v>44369</v>
      </c>
      <c r="P3328">
        <v>2718.2</v>
      </c>
    </row>
    <row r="3329" spans="15:16" x14ac:dyDescent="0.35">
      <c r="O3329" s="18">
        <v>44370</v>
      </c>
      <c r="P3329">
        <v>2728.6</v>
      </c>
    </row>
    <row r="3330" spans="15:16" x14ac:dyDescent="0.35">
      <c r="O3330" s="18">
        <v>44371</v>
      </c>
      <c r="P3330">
        <v>2706.75</v>
      </c>
    </row>
    <row r="3331" spans="15:16" x14ac:dyDescent="0.35">
      <c r="O3331" s="18">
        <v>44372</v>
      </c>
      <c r="P3331">
        <v>2720.8</v>
      </c>
    </row>
    <row r="3332" spans="15:16" x14ac:dyDescent="0.35">
      <c r="O3332" s="18">
        <v>44375</v>
      </c>
      <c r="P3332">
        <v>2740.45</v>
      </c>
    </row>
    <row r="3333" spans="15:16" x14ac:dyDescent="0.35">
      <c r="O3333" s="18">
        <v>44376</v>
      </c>
      <c r="P3333">
        <v>2705.1</v>
      </c>
    </row>
    <row r="3334" spans="15:16" x14ac:dyDescent="0.35">
      <c r="O3334" s="18">
        <v>44377</v>
      </c>
      <c r="P3334">
        <v>2671.15</v>
      </c>
    </row>
    <row r="3335" spans="15:16" x14ac:dyDescent="0.35">
      <c r="O3335" s="18">
        <v>44378</v>
      </c>
      <c r="P3335">
        <v>2675.3</v>
      </c>
    </row>
    <row r="3336" spans="15:16" x14ac:dyDescent="0.35">
      <c r="O3336" s="18">
        <v>44379</v>
      </c>
      <c r="P3336">
        <v>2661</v>
      </c>
    </row>
    <row r="3337" spans="15:16" x14ac:dyDescent="0.35">
      <c r="O3337" s="18">
        <v>44382</v>
      </c>
      <c r="P3337">
        <v>2701.05</v>
      </c>
    </row>
    <row r="3338" spans="15:16" x14ac:dyDescent="0.35">
      <c r="O3338" s="18">
        <v>44383</v>
      </c>
      <c r="P3338">
        <v>2711.15</v>
      </c>
    </row>
    <row r="3339" spans="15:16" x14ac:dyDescent="0.35">
      <c r="O3339" s="18">
        <v>44384</v>
      </c>
      <c r="P3339">
        <v>2710.85</v>
      </c>
    </row>
    <row r="3340" spans="15:16" x14ac:dyDescent="0.35">
      <c r="O3340" s="18">
        <v>44385</v>
      </c>
      <c r="P3340">
        <v>2729.3</v>
      </c>
    </row>
    <row r="3341" spans="15:16" x14ac:dyDescent="0.35">
      <c r="O3341" s="18">
        <v>44386</v>
      </c>
      <c r="P3341">
        <v>2712.15</v>
      </c>
    </row>
    <row r="3342" spans="15:16" x14ac:dyDescent="0.35">
      <c r="O3342" s="18">
        <v>44389</v>
      </c>
      <c r="P3342">
        <v>2709.5</v>
      </c>
    </row>
    <row r="3343" spans="15:16" x14ac:dyDescent="0.35">
      <c r="O3343" s="18">
        <v>44390</v>
      </c>
      <c r="P3343">
        <v>2706.7</v>
      </c>
    </row>
    <row r="3344" spans="15:16" x14ac:dyDescent="0.35">
      <c r="O3344" s="18">
        <v>44391</v>
      </c>
      <c r="P3344">
        <v>2700</v>
      </c>
    </row>
    <row r="3345" spans="15:16" x14ac:dyDescent="0.35">
      <c r="O3345" s="18">
        <v>44392</v>
      </c>
      <c r="P3345">
        <v>2667.5</v>
      </c>
    </row>
    <row r="3346" spans="15:16" x14ac:dyDescent="0.35">
      <c r="O3346" s="18">
        <v>44393</v>
      </c>
      <c r="P3346">
        <v>2617.25</v>
      </c>
    </row>
    <row r="3347" spans="15:16" x14ac:dyDescent="0.35">
      <c r="O3347" s="18">
        <v>44396</v>
      </c>
      <c r="P3347">
        <v>2579.75</v>
      </c>
    </row>
    <row r="3348" spans="15:16" x14ac:dyDescent="0.35">
      <c r="O3348" s="18">
        <v>44397</v>
      </c>
      <c r="P3348">
        <v>2554.85</v>
      </c>
    </row>
    <row r="3349" spans="15:16" x14ac:dyDescent="0.35">
      <c r="O3349" s="18">
        <v>44399</v>
      </c>
      <c r="P3349">
        <v>2560.1</v>
      </c>
    </row>
    <row r="3350" spans="15:16" x14ac:dyDescent="0.35">
      <c r="O3350" s="18">
        <v>44400</v>
      </c>
      <c r="P3350">
        <v>2549.65</v>
      </c>
    </row>
    <row r="3351" spans="15:16" x14ac:dyDescent="0.35">
      <c r="O3351" s="18">
        <v>44403</v>
      </c>
      <c r="P3351">
        <v>2563.1999999999998</v>
      </c>
    </row>
    <row r="3352" spans="15:16" x14ac:dyDescent="0.35">
      <c r="O3352" s="18">
        <v>44404</v>
      </c>
      <c r="P3352">
        <v>2571.35</v>
      </c>
    </row>
    <row r="3353" spans="15:16" x14ac:dyDescent="0.35">
      <c r="O3353" s="18">
        <v>44405</v>
      </c>
      <c r="P3353">
        <v>2550.4</v>
      </c>
    </row>
    <row r="3354" spans="15:16" x14ac:dyDescent="0.35">
      <c r="O3354" s="18">
        <v>44406</v>
      </c>
      <c r="P3354">
        <v>2528.15</v>
      </c>
    </row>
    <row r="3355" spans="15:16" x14ac:dyDescent="0.35">
      <c r="O3355" s="18">
        <v>44407</v>
      </c>
      <c r="P3355">
        <v>2530.25</v>
      </c>
    </row>
    <row r="3356" spans="15:16" x14ac:dyDescent="0.35">
      <c r="O3356" s="18">
        <v>44410</v>
      </c>
      <c r="P3356">
        <v>2602.6</v>
      </c>
    </row>
    <row r="3357" spans="15:16" x14ac:dyDescent="0.35">
      <c r="O3357" s="18">
        <v>44411</v>
      </c>
      <c r="P3357">
        <v>2649.3</v>
      </c>
    </row>
    <row r="3358" spans="15:16" x14ac:dyDescent="0.35">
      <c r="O3358" s="18">
        <v>44412</v>
      </c>
      <c r="P3358">
        <v>2641.8</v>
      </c>
    </row>
    <row r="3359" spans="15:16" x14ac:dyDescent="0.35">
      <c r="O3359" s="18">
        <v>44413</v>
      </c>
      <c r="P3359">
        <v>2732.15</v>
      </c>
    </row>
    <row r="3360" spans="15:16" x14ac:dyDescent="0.35">
      <c r="O3360" s="18">
        <v>44414</v>
      </c>
      <c r="P3360">
        <v>2747.35</v>
      </c>
    </row>
    <row r="3361" spans="15:16" x14ac:dyDescent="0.35">
      <c r="O3361" s="18">
        <v>44417</v>
      </c>
      <c r="P3361">
        <v>2729</v>
      </c>
    </row>
    <row r="3362" spans="15:16" x14ac:dyDescent="0.35">
      <c r="O3362" s="18">
        <v>44418</v>
      </c>
      <c r="P3362">
        <v>2734.35</v>
      </c>
    </row>
    <row r="3363" spans="15:16" x14ac:dyDescent="0.35">
      <c r="O3363" s="18">
        <v>44419</v>
      </c>
      <c r="P3363">
        <v>2718.25</v>
      </c>
    </row>
    <row r="3364" spans="15:16" x14ac:dyDescent="0.35">
      <c r="O3364" s="18">
        <v>44420</v>
      </c>
      <c r="P3364">
        <v>2616.5500000000002</v>
      </c>
    </row>
    <row r="3365" spans="15:16" x14ac:dyDescent="0.35">
      <c r="O3365" s="18">
        <v>44421</v>
      </c>
      <c r="P3365">
        <v>2546.8000000000002</v>
      </c>
    </row>
    <row r="3366" spans="15:16" x14ac:dyDescent="0.35">
      <c r="O3366" s="18">
        <v>44424</v>
      </c>
      <c r="P3366">
        <v>2495.85</v>
      </c>
    </row>
    <row r="3367" spans="15:16" x14ac:dyDescent="0.35">
      <c r="O3367" s="18">
        <v>44425</v>
      </c>
      <c r="P3367">
        <v>2515.65</v>
      </c>
    </row>
    <row r="3368" spans="15:16" x14ac:dyDescent="0.35">
      <c r="O3368" s="18">
        <v>44426</v>
      </c>
      <c r="P3368">
        <v>2589.65</v>
      </c>
    </row>
    <row r="3369" spans="15:16" x14ac:dyDescent="0.35">
      <c r="O3369" s="18">
        <v>44428</v>
      </c>
      <c r="P3369">
        <v>2601.65</v>
      </c>
    </row>
    <row r="3370" spans="15:16" x14ac:dyDescent="0.35">
      <c r="O3370" s="18">
        <v>44431</v>
      </c>
      <c r="P3370">
        <v>2544</v>
      </c>
    </row>
    <row r="3371" spans="15:16" x14ac:dyDescent="0.35">
      <c r="O3371" s="18">
        <v>44432</v>
      </c>
      <c r="P3371">
        <v>2547.9</v>
      </c>
    </row>
    <row r="3372" spans="15:16" x14ac:dyDescent="0.35">
      <c r="O3372" s="18">
        <v>44433</v>
      </c>
      <c r="P3372">
        <v>2579.5</v>
      </c>
    </row>
    <row r="3373" spans="15:16" x14ac:dyDescent="0.35">
      <c r="O3373" s="18">
        <v>44434</v>
      </c>
      <c r="P3373">
        <v>2578.75</v>
      </c>
    </row>
    <row r="3374" spans="15:16" x14ac:dyDescent="0.35">
      <c r="O3374" s="18">
        <v>44435</v>
      </c>
      <c r="P3374">
        <v>2576.1</v>
      </c>
    </row>
    <row r="3375" spans="15:16" x14ac:dyDescent="0.35">
      <c r="O3375" s="18">
        <v>44438</v>
      </c>
      <c r="P3375">
        <v>2553.9499999999998</v>
      </c>
    </row>
    <row r="3376" spans="15:16" x14ac:dyDescent="0.35">
      <c r="O3376" s="18">
        <v>44439</v>
      </c>
      <c r="P3376">
        <v>2679.25</v>
      </c>
    </row>
    <row r="3377" spans="15:16" x14ac:dyDescent="0.35">
      <c r="O3377" s="18">
        <v>44440</v>
      </c>
      <c r="P3377">
        <v>2703.15</v>
      </c>
    </row>
    <row r="3378" spans="15:16" x14ac:dyDescent="0.35">
      <c r="O3378" s="18">
        <v>44441</v>
      </c>
      <c r="P3378">
        <v>2733.2</v>
      </c>
    </row>
    <row r="3379" spans="15:16" x14ac:dyDescent="0.35">
      <c r="O3379" s="18">
        <v>44442</v>
      </c>
      <c r="P3379">
        <v>2802.6</v>
      </c>
    </row>
    <row r="3380" spans="15:16" x14ac:dyDescent="0.35">
      <c r="O3380" s="18">
        <v>44445</v>
      </c>
      <c r="P3380">
        <v>2844.9</v>
      </c>
    </row>
    <row r="3381" spans="15:16" x14ac:dyDescent="0.35">
      <c r="O3381" s="18">
        <v>44446</v>
      </c>
      <c r="P3381">
        <v>2823.15</v>
      </c>
    </row>
    <row r="3382" spans="15:16" x14ac:dyDescent="0.35">
      <c r="O3382" s="18">
        <v>44447</v>
      </c>
      <c r="P3382">
        <v>2800</v>
      </c>
    </row>
    <row r="3383" spans="15:16" x14ac:dyDescent="0.35">
      <c r="O3383" s="18">
        <v>44448</v>
      </c>
      <c r="P3383">
        <v>2818.2</v>
      </c>
    </row>
    <row r="3384" spans="15:16" x14ac:dyDescent="0.35">
      <c r="O3384" s="18">
        <v>44452</v>
      </c>
      <c r="P3384">
        <v>2805</v>
      </c>
    </row>
    <row r="3385" spans="15:16" x14ac:dyDescent="0.35">
      <c r="O3385" s="18">
        <v>44453</v>
      </c>
      <c r="P3385">
        <v>2820.3</v>
      </c>
    </row>
    <row r="3386" spans="15:16" x14ac:dyDescent="0.35">
      <c r="O3386" s="18">
        <v>44454</v>
      </c>
      <c r="P3386">
        <v>2841.95</v>
      </c>
    </row>
    <row r="3387" spans="15:16" x14ac:dyDescent="0.35">
      <c r="O3387" s="18">
        <v>44455</v>
      </c>
      <c r="P3387">
        <v>2860.2</v>
      </c>
    </row>
    <row r="3388" spans="15:16" x14ac:dyDescent="0.35">
      <c r="O3388" s="18">
        <v>44456</v>
      </c>
      <c r="P3388">
        <v>2898.55</v>
      </c>
    </row>
    <row r="3389" spans="15:16" x14ac:dyDescent="0.35">
      <c r="O3389" s="18">
        <v>44459</v>
      </c>
      <c r="P3389">
        <v>2813</v>
      </c>
    </row>
    <row r="3390" spans="15:16" x14ac:dyDescent="0.35">
      <c r="O3390" s="18">
        <v>44460</v>
      </c>
      <c r="P3390">
        <v>2854.4</v>
      </c>
    </row>
    <row r="3391" spans="15:16" x14ac:dyDescent="0.35">
      <c r="O3391" s="18">
        <v>44461</v>
      </c>
      <c r="P3391">
        <v>2842.85</v>
      </c>
    </row>
    <row r="3392" spans="15:16" x14ac:dyDescent="0.35">
      <c r="O3392" s="18">
        <v>44462</v>
      </c>
      <c r="P3392">
        <v>2857.05</v>
      </c>
    </row>
    <row r="3393" spans="15:16" x14ac:dyDescent="0.35">
      <c r="O3393" s="18">
        <v>44463</v>
      </c>
      <c r="P3393">
        <v>2931</v>
      </c>
    </row>
    <row r="3394" spans="15:16" x14ac:dyDescent="0.35">
      <c r="O3394" s="18">
        <v>44466</v>
      </c>
      <c r="P3394">
        <v>2879.35</v>
      </c>
    </row>
    <row r="3395" spans="15:16" x14ac:dyDescent="0.35">
      <c r="O3395" s="18">
        <v>44467</v>
      </c>
      <c r="P3395">
        <v>2883.05</v>
      </c>
    </row>
    <row r="3396" spans="15:16" x14ac:dyDescent="0.35">
      <c r="O3396" s="18">
        <v>44468</v>
      </c>
      <c r="P3396">
        <v>2843.25</v>
      </c>
    </row>
    <row r="3397" spans="15:16" x14ac:dyDescent="0.35">
      <c r="O3397" s="18">
        <v>44469</v>
      </c>
      <c r="P3397">
        <v>2790.2</v>
      </c>
    </row>
    <row r="3398" spans="15:16" x14ac:dyDescent="0.35">
      <c r="O3398" s="18">
        <v>44470</v>
      </c>
      <c r="P3398">
        <v>2772.45</v>
      </c>
    </row>
    <row r="3399" spans="15:16" x14ac:dyDescent="0.35">
      <c r="O3399" s="18">
        <v>44473</v>
      </c>
      <c r="P3399">
        <v>2745.9</v>
      </c>
    </row>
    <row r="3400" spans="15:16" x14ac:dyDescent="0.35">
      <c r="O3400" s="18">
        <v>44474</v>
      </c>
      <c r="P3400">
        <v>2760.1</v>
      </c>
    </row>
    <row r="3401" spans="15:16" x14ac:dyDescent="0.35">
      <c r="O3401" s="18">
        <v>44475</v>
      </c>
      <c r="P3401">
        <v>2728.95</v>
      </c>
    </row>
    <row r="3402" spans="15:16" x14ac:dyDescent="0.35">
      <c r="O3402" s="18">
        <v>44476</v>
      </c>
      <c r="P3402">
        <v>2820.95</v>
      </c>
    </row>
    <row r="3403" spans="15:16" x14ac:dyDescent="0.35">
      <c r="O3403" s="18">
        <v>44477</v>
      </c>
      <c r="P3403">
        <v>2817.95</v>
      </c>
    </row>
    <row r="3404" spans="15:16" x14ac:dyDescent="0.35">
      <c r="O3404" s="18">
        <v>44480</v>
      </c>
      <c r="P3404">
        <v>2851.75</v>
      </c>
    </row>
    <row r="3405" spans="15:16" x14ac:dyDescent="0.35">
      <c r="O3405" s="18">
        <v>44481</v>
      </c>
      <c r="P3405">
        <v>2909.6</v>
      </c>
    </row>
    <row r="3406" spans="15:16" x14ac:dyDescent="0.35">
      <c r="O3406" s="18">
        <v>44482</v>
      </c>
      <c r="P3406">
        <v>2905.75</v>
      </c>
    </row>
    <row r="3407" spans="15:16" x14ac:dyDescent="0.35">
      <c r="O3407" s="18">
        <v>44483</v>
      </c>
      <c r="P3407">
        <v>2853.2</v>
      </c>
    </row>
    <row r="3408" spans="15:16" x14ac:dyDescent="0.35">
      <c r="O3408" s="18">
        <v>44487</v>
      </c>
      <c r="P3408">
        <v>2826.35</v>
      </c>
    </row>
    <row r="3409" spans="15:16" x14ac:dyDescent="0.35">
      <c r="O3409" s="18">
        <v>44488</v>
      </c>
      <c r="P3409">
        <v>2703.7</v>
      </c>
    </row>
    <row r="3410" spans="15:16" x14ac:dyDescent="0.35">
      <c r="O3410" s="18">
        <v>44489</v>
      </c>
      <c r="P3410">
        <v>2651.2</v>
      </c>
    </row>
    <row r="3411" spans="15:16" x14ac:dyDescent="0.35">
      <c r="O3411" s="18">
        <v>44490</v>
      </c>
      <c r="P3411">
        <v>2663.35</v>
      </c>
    </row>
    <row r="3412" spans="15:16" x14ac:dyDescent="0.35">
      <c r="O3412" s="18">
        <v>44491</v>
      </c>
      <c r="P3412">
        <v>2612.5500000000002</v>
      </c>
    </row>
    <row r="3413" spans="15:16" x14ac:dyDescent="0.35">
      <c r="O3413" s="18">
        <v>44494</v>
      </c>
      <c r="P3413">
        <v>2561.75</v>
      </c>
    </row>
    <row r="3414" spans="15:16" x14ac:dyDescent="0.35">
      <c r="O3414" s="18">
        <v>44495</v>
      </c>
      <c r="P3414">
        <v>2590.25</v>
      </c>
    </row>
    <row r="3415" spans="15:16" x14ac:dyDescent="0.35">
      <c r="O3415" s="18">
        <v>44496</v>
      </c>
      <c r="P3415">
        <v>2583.9</v>
      </c>
    </row>
    <row r="3416" spans="15:16" x14ac:dyDescent="0.35">
      <c r="O3416" s="18">
        <v>44497</v>
      </c>
      <c r="P3416">
        <v>2527.5</v>
      </c>
    </row>
    <row r="3417" spans="15:16" x14ac:dyDescent="0.35">
      <c r="O3417" s="18">
        <v>44498</v>
      </c>
      <c r="P3417">
        <v>2484.8000000000002</v>
      </c>
    </row>
    <row r="3418" spans="15:16" x14ac:dyDescent="0.35">
      <c r="O3418" s="18">
        <v>44501</v>
      </c>
      <c r="P3418">
        <v>2560</v>
      </c>
    </row>
    <row r="3419" spans="15:16" x14ac:dyDescent="0.35">
      <c r="O3419" s="18">
        <v>44502</v>
      </c>
      <c r="P3419">
        <v>2542.4499999999998</v>
      </c>
    </row>
    <row r="3420" spans="15:16" x14ac:dyDescent="0.35">
      <c r="O3420" s="18">
        <v>44503</v>
      </c>
      <c r="P3420">
        <v>2521.85</v>
      </c>
    </row>
    <row r="3421" spans="15:16" x14ac:dyDescent="0.35">
      <c r="O3421" s="18">
        <v>44504</v>
      </c>
      <c r="P3421">
        <v>2661.6</v>
      </c>
    </row>
    <row r="3422" spans="15:16" x14ac:dyDescent="0.35">
      <c r="O3422" s="18">
        <v>44508</v>
      </c>
      <c r="P3422">
        <v>2711.25</v>
      </c>
    </row>
    <row r="3423" spans="15:16" x14ac:dyDescent="0.35">
      <c r="O3423" s="18">
        <v>44509</v>
      </c>
      <c r="P3423">
        <v>2724.25</v>
      </c>
    </row>
    <row r="3424" spans="15:16" x14ac:dyDescent="0.35">
      <c r="O3424" s="18">
        <v>44510</v>
      </c>
      <c r="P3424">
        <v>2746.75</v>
      </c>
    </row>
    <row r="3425" spans="15:16" x14ac:dyDescent="0.35">
      <c r="O3425" s="18">
        <v>44511</v>
      </c>
      <c r="P3425">
        <v>2704.35</v>
      </c>
    </row>
    <row r="3426" spans="15:16" x14ac:dyDescent="0.35">
      <c r="O3426" s="18">
        <v>44512</v>
      </c>
      <c r="P3426">
        <v>2723</v>
      </c>
    </row>
    <row r="3427" spans="15:16" x14ac:dyDescent="0.35">
      <c r="O3427" s="18">
        <v>44515</v>
      </c>
      <c r="P3427">
        <v>2684.35</v>
      </c>
    </row>
    <row r="3428" spans="15:16" x14ac:dyDescent="0.35">
      <c r="O3428" s="18">
        <v>44516</v>
      </c>
      <c r="P3428">
        <v>2710.3</v>
      </c>
    </row>
    <row r="3429" spans="15:16" x14ac:dyDescent="0.35">
      <c r="O3429" s="18">
        <v>44517</v>
      </c>
      <c r="P3429">
        <v>2674.2</v>
      </c>
    </row>
    <row r="3430" spans="15:16" x14ac:dyDescent="0.35">
      <c r="O3430" s="18">
        <v>44518</v>
      </c>
      <c r="P3430">
        <v>2603.3000000000002</v>
      </c>
    </row>
    <row r="3431" spans="15:16" x14ac:dyDescent="0.35">
      <c r="O3431" s="18">
        <v>44522</v>
      </c>
      <c r="P3431">
        <v>2548.0500000000002</v>
      </c>
    </row>
    <row r="3432" spans="15:16" x14ac:dyDescent="0.35">
      <c r="O3432" s="18">
        <v>44523</v>
      </c>
      <c r="P3432">
        <v>2599.1999999999998</v>
      </c>
    </row>
    <row r="3433" spans="15:16" x14ac:dyDescent="0.35">
      <c r="O3433" s="18">
        <v>44524</v>
      </c>
      <c r="P3433">
        <v>2536.9499999999998</v>
      </c>
    </row>
    <row r="3434" spans="15:16" x14ac:dyDescent="0.35">
      <c r="O3434" s="18">
        <v>44525</v>
      </c>
      <c r="P3434">
        <v>2520.4</v>
      </c>
    </row>
    <row r="3435" spans="15:16" x14ac:dyDescent="0.35">
      <c r="O3435" s="18">
        <v>44526</v>
      </c>
      <c r="P3435">
        <v>2433.9</v>
      </c>
    </row>
    <row r="3436" spans="15:16" x14ac:dyDescent="0.35">
      <c r="O3436" s="18">
        <v>44529</v>
      </c>
      <c r="P3436">
        <v>2413.4</v>
      </c>
    </row>
    <row r="3437" spans="15:16" x14ac:dyDescent="0.35">
      <c r="O3437" s="18">
        <v>44530</v>
      </c>
      <c r="P3437">
        <v>2370.4499999999998</v>
      </c>
    </row>
    <row r="3438" spans="15:16" x14ac:dyDescent="0.35">
      <c r="O3438" s="18">
        <v>44531</v>
      </c>
      <c r="P3438">
        <v>2438.3000000000002</v>
      </c>
    </row>
    <row r="3439" spans="15:16" x14ac:dyDescent="0.35">
      <c r="O3439" s="18">
        <v>44532</v>
      </c>
      <c r="P3439">
        <v>2451.5500000000002</v>
      </c>
    </row>
    <row r="3440" spans="15:16" x14ac:dyDescent="0.35">
      <c r="O3440" s="18">
        <v>44533</v>
      </c>
      <c r="P3440">
        <v>2455.5500000000002</v>
      </c>
    </row>
    <row r="3441" spans="15:16" x14ac:dyDescent="0.35">
      <c r="O3441" s="18">
        <v>44536</v>
      </c>
      <c r="P3441">
        <v>2444.1</v>
      </c>
    </row>
    <row r="3442" spans="15:16" x14ac:dyDescent="0.35">
      <c r="O3442" s="18">
        <v>44537</v>
      </c>
      <c r="P3442">
        <v>2471.8000000000002</v>
      </c>
    </row>
    <row r="3443" spans="15:16" x14ac:dyDescent="0.35">
      <c r="O3443" s="18">
        <v>44538</v>
      </c>
      <c r="P3443">
        <v>2505.5500000000002</v>
      </c>
    </row>
    <row r="3444" spans="15:16" x14ac:dyDescent="0.35">
      <c r="O3444" s="18">
        <v>44539</v>
      </c>
      <c r="P3444">
        <v>2542.9499999999998</v>
      </c>
    </row>
    <row r="3445" spans="15:16" x14ac:dyDescent="0.35">
      <c r="O3445" s="18">
        <v>44540</v>
      </c>
      <c r="P3445">
        <v>2527.65</v>
      </c>
    </row>
    <row r="3446" spans="15:16" x14ac:dyDescent="0.35">
      <c r="O3446" s="18">
        <v>44543</v>
      </c>
      <c r="P3446">
        <v>2496.6999999999998</v>
      </c>
    </row>
    <row r="3447" spans="15:16" x14ac:dyDescent="0.35">
      <c r="O3447" s="18">
        <v>44544</v>
      </c>
      <c r="P3447">
        <v>2487.4499999999998</v>
      </c>
    </row>
    <row r="3448" spans="15:16" x14ac:dyDescent="0.35">
      <c r="O3448" s="18">
        <v>44545</v>
      </c>
      <c r="P3448">
        <v>2493.35</v>
      </c>
    </row>
    <row r="3449" spans="15:16" x14ac:dyDescent="0.35">
      <c r="O3449" s="18">
        <v>44546</v>
      </c>
      <c r="P3449">
        <v>2471.15</v>
      </c>
    </row>
    <row r="3450" spans="15:16" x14ac:dyDescent="0.35">
      <c r="O3450" s="18">
        <v>44547</v>
      </c>
      <c r="P3450">
        <v>2459</v>
      </c>
    </row>
    <row r="3451" spans="15:16" x14ac:dyDescent="0.35">
      <c r="O3451" s="18">
        <v>44550</v>
      </c>
      <c r="P3451">
        <v>2406.4499999999998</v>
      </c>
    </row>
    <row r="3452" spans="15:16" x14ac:dyDescent="0.35">
      <c r="O3452" s="18">
        <v>44551</v>
      </c>
      <c r="P3452">
        <v>2416.65</v>
      </c>
    </row>
    <row r="3453" spans="15:16" x14ac:dyDescent="0.35">
      <c r="O3453" s="18">
        <v>44552</v>
      </c>
      <c r="P3453">
        <v>2486.85</v>
      </c>
    </row>
    <row r="3454" spans="15:16" x14ac:dyDescent="0.35">
      <c r="O3454" s="18">
        <v>44553</v>
      </c>
      <c r="P3454">
        <v>2480.25</v>
      </c>
    </row>
    <row r="3455" spans="15:16" x14ac:dyDescent="0.35">
      <c r="O3455" s="18">
        <v>44554</v>
      </c>
      <c r="P3455">
        <v>2437.9</v>
      </c>
    </row>
    <row r="3456" spans="15:16" x14ac:dyDescent="0.35">
      <c r="O3456" s="18">
        <v>44557</v>
      </c>
      <c r="P3456">
        <v>2438.9499999999998</v>
      </c>
    </row>
    <row r="3457" spans="15:16" x14ac:dyDescent="0.35">
      <c r="O3457" s="18">
        <v>44558</v>
      </c>
      <c r="P3457">
        <v>2480.4</v>
      </c>
    </row>
    <row r="3458" spans="15:16" x14ac:dyDescent="0.35">
      <c r="O3458" s="18">
        <v>44559</v>
      </c>
      <c r="P3458">
        <v>2562.25</v>
      </c>
    </row>
    <row r="3459" spans="15:16" x14ac:dyDescent="0.35">
      <c r="O3459" s="18">
        <v>44560</v>
      </c>
      <c r="P3459">
        <v>2557</v>
      </c>
    </row>
    <row r="3460" spans="15:16" x14ac:dyDescent="0.35">
      <c r="O3460" s="18">
        <v>44561</v>
      </c>
      <c r="P3460">
        <v>2591.9</v>
      </c>
    </row>
    <row r="3461" spans="15:16" x14ac:dyDescent="0.35">
      <c r="O3461" s="18">
        <v>44564</v>
      </c>
      <c r="P3461">
        <v>2718.8</v>
      </c>
    </row>
    <row r="3462" spans="15:16" x14ac:dyDescent="0.35">
      <c r="O3462" s="18">
        <v>44565</v>
      </c>
      <c r="P3462">
        <v>2705</v>
      </c>
    </row>
    <row r="3463" spans="15:16" x14ac:dyDescent="0.35">
      <c r="O3463" s="18">
        <v>44566</v>
      </c>
      <c r="P3463">
        <v>2778.6</v>
      </c>
    </row>
    <row r="3464" spans="15:16" x14ac:dyDescent="0.35">
      <c r="O3464" s="18">
        <v>44567</v>
      </c>
      <c r="P3464">
        <v>2817.15</v>
      </c>
    </row>
    <row r="3465" spans="15:16" x14ac:dyDescent="0.35">
      <c r="O3465" s="18">
        <v>44568</v>
      </c>
      <c r="P3465">
        <v>2824.4</v>
      </c>
    </row>
    <row r="3466" spans="15:16" x14ac:dyDescent="0.35">
      <c r="O3466" s="18">
        <v>44571</v>
      </c>
      <c r="P3466">
        <v>2815.5</v>
      </c>
    </row>
    <row r="3467" spans="15:16" x14ac:dyDescent="0.35">
      <c r="O3467" s="18">
        <v>44572</v>
      </c>
      <c r="P3467">
        <v>2794.35</v>
      </c>
    </row>
    <row r="3468" spans="15:16" x14ac:dyDescent="0.35">
      <c r="O3468" s="18">
        <v>44573</v>
      </c>
      <c r="P3468">
        <v>2815.9</v>
      </c>
    </row>
    <row r="3469" spans="15:16" x14ac:dyDescent="0.35">
      <c r="O3469" s="18">
        <v>44574</v>
      </c>
      <c r="P3469">
        <v>2832.7</v>
      </c>
    </row>
    <row r="3470" spans="15:16" x14ac:dyDescent="0.35">
      <c r="O3470" s="18">
        <v>44575</v>
      </c>
      <c r="P3470">
        <v>2819.7</v>
      </c>
    </row>
    <row r="3471" spans="15:16" x14ac:dyDescent="0.35">
      <c r="O3471" s="18">
        <v>44578</v>
      </c>
      <c r="P3471">
        <v>2844.3</v>
      </c>
    </row>
    <row r="3472" spans="15:16" x14ac:dyDescent="0.35">
      <c r="O3472" s="18">
        <v>44579</v>
      </c>
      <c r="P3472">
        <v>2736.25</v>
      </c>
    </row>
    <row r="3473" spans="15:16" x14ac:dyDescent="0.35">
      <c r="O3473" s="18">
        <v>44580</v>
      </c>
      <c r="P3473">
        <v>2718.7</v>
      </c>
    </row>
    <row r="3474" spans="15:16" x14ac:dyDescent="0.35">
      <c r="O3474" s="18">
        <v>44581</v>
      </c>
      <c r="P3474">
        <v>2733.8</v>
      </c>
    </row>
    <row r="3475" spans="15:16" x14ac:dyDescent="0.35">
      <c r="O3475" s="18">
        <v>44582</v>
      </c>
      <c r="P3475">
        <v>2711.1</v>
      </c>
    </row>
    <row r="3476" spans="15:16" x14ac:dyDescent="0.35">
      <c r="O3476" s="18">
        <v>44585</v>
      </c>
      <c r="P3476">
        <v>2656.4</v>
      </c>
    </row>
    <row r="3477" spans="15:16" x14ac:dyDescent="0.35">
      <c r="O3477" s="18">
        <v>44586</v>
      </c>
      <c r="P3477">
        <v>2692</v>
      </c>
    </row>
    <row r="3478" spans="15:16" x14ac:dyDescent="0.35">
      <c r="O3478" s="18">
        <v>44588</v>
      </c>
      <c r="P3478">
        <v>2643.85</v>
      </c>
    </row>
    <row r="3479" spans="15:16" x14ac:dyDescent="0.35">
      <c r="O3479" s="18">
        <v>44589</v>
      </c>
      <c r="P3479">
        <v>2610.9499999999998</v>
      </c>
    </row>
    <row r="3480" spans="15:16" x14ac:dyDescent="0.35">
      <c r="O3480" s="18">
        <v>44592</v>
      </c>
      <c r="P3480">
        <v>2645.5</v>
      </c>
    </row>
    <row r="3481" spans="15:16" x14ac:dyDescent="0.35">
      <c r="O3481" s="18">
        <v>44593</v>
      </c>
      <c r="P3481">
        <v>2622.2</v>
      </c>
    </row>
    <row r="3482" spans="15:16" x14ac:dyDescent="0.35">
      <c r="O3482" s="18">
        <v>44594</v>
      </c>
      <c r="P3482">
        <v>2669.75</v>
      </c>
    </row>
    <row r="3483" spans="15:16" x14ac:dyDescent="0.35">
      <c r="O3483" s="18">
        <v>44595</v>
      </c>
      <c r="P3483">
        <v>2670.85</v>
      </c>
    </row>
    <row r="3484" spans="15:16" x14ac:dyDescent="0.35">
      <c r="O3484" s="18">
        <v>44596</v>
      </c>
      <c r="P3484">
        <v>2631.4</v>
      </c>
    </row>
    <row r="3485" spans="15:16" x14ac:dyDescent="0.35">
      <c r="O3485" s="18">
        <v>44599</v>
      </c>
      <c r="P3485">
        <v>2601.35</v>
      </c>
    </row>
    <row r="3486" spans="15:16" x14ac:dyDescent="0.35">
      <c r="O3486" s="18">
        <v>44600</v>
      </c>
      <c r="P3486">
        <v>2589.15</v>
      </c>
    </row>
    <row r="3487" spans="15:16" x14ac:dyDescent="0.35">
      <c r="O3487" s="18">
        <v>44601</v>
      </c>
      <c r="P3487">
        <v>2625.65</v>
      </c>
    </row>
    <row r="3488" spans="15:16" x14ac:dyDescent="0.35">
      <c r="O3488" s="18">
        <v>44602</v>
      </c>
      <c r="P3488">
        <v>2640.35</v>
      </c>
    </row>
    <row r="3489" spans="15:16" x14ac:dyDescent="0.35">
      <c r="O3489" s="18">
        <v>44603</v>
      </c>
      <c r="P3489">
        <v>2598.15</v>
      </c>
    </row>
    <row r="3490" spans="15:16" x14ac:dyDescent="0.35">
      <c r="O3490" s="18">
        <v>44606</v>
      </c>
      <c r="P3490">
        <v>2570.8000000000002</v>
      </c>
    </row>
    <row r="3491" spans="15:16" x14ac:dyDescent="0.35">
      <c r="O3491" s="18">
        <v>44607</v>
      </c>
      <c r="P3491">
        <v>2724</v>
      </c>
    </row>
    <row r="3492" spans="15:16" x14ac:dyDescent="0.35">
      <c r="O3492" s="18">
        <v>44608</v>
      </c>
      <c r="P3492">
        <v>2706.45</v>
      </c>
    </row>
    <row r="3493" spans="15:16" x14ac:dyDescent="0.35">
      <c r="O3493" s="18">
        <v>44609</v>
      </c>
      <c r="P3493">
        <v>2722.75</v>
      </c>
    </row>
    <row r="3494" spans="15:16" x14ac:dyDescent="0.35">
      <c r="O3494" s="18">
        <v>44610</v>
      </c>
      <c r="P3494">
        <v>2699.25</v>
      </c>
    </row>
    <row r="3495" spans="15:16" x14ac:dyDescent="0.35">
      <c r="O3495" s="18">
        <v>44613</v>
      </c>
      <c r="P3495">
        <v>2699</v>
      </c>
    </row>
    <row r="3496" spans="15:16" x14ac:dyDescent="0.35">
      <c r="O3496" s="18">
        <v>44614</v>
      </c>
      <c r="P3496">
        <v>2725.5</v>
      </c>
    </row>
    <row r="3497" spans="15:16" x14ac:dyDescent="0.35">
      <c r="O3497" s="18">
        <v>44615</v>
      </c>
      <c r="P3497">
        <v>2706.65</v>
      </c>
    </row>
    <row r="3498" spans="15:16" x14ac:dyDescent="0.35">
      <c r="O3498" s="18">
        <v>44616</v>
      </c>
      <c r="P3498">
        <v>2617.15</v>
      </c>
    </row>
    <row r="3499" spans="15:16" x14ac:dyDescent="0.35">
      <c r="O3499" s="18">
        <v>44617</v>
      </c>
      <c r="P3499">
        <v>2628.4</v>
      </c>
    </row>
    <row r="3500" spans="15:16" x14ac:dyDescent="0.35">
      <c r="O3500" s="18">
        <v>44620</v>
      </c>
      <c r="P3500">
        <v>2589.8000000000002</v>
      </c>
    </row>
    <row r="3501" spans="15:16" x14ac:dyDescent="0.35">
      <c r="O3501" s="18">
        <v>44622</v>
      </c>
      <c r="P3501">
        <v>2508.1</v>
      </c>
    </row>
    <row r="3502" spans="15:16" x14ac:dyDescent="0.35">
      <c r="O3502" s="18">
        <v>44623</v>
      </c>
      <c r="P3502">
        <v>2409.5</v>
      </c>
    </row>
    <row r="3503" spans="15:16" x14ac:dyDescent="0.35">
      <c r="O3503" s="18">
        <v>44624</v>
      </c>
      <c r="P3503">
        <v>2339.25</v>
      </c>
    </row>
    <row r="3504" spans="15:16" x14ac:dyDescent="0.35">
      <c r="O3504" s="18">
        <v>44627</v>
      </c>
      <c r="P3504">
        <v>2259.65</v>
      </c>
    </row>
    <row r="3505" spans="15:16" x14ac:dyDescent="0.35">
      <c r="O3505" s="18">
        <v>44628</v>
      </c>
      <c r="P3505">
        <v>2256.0500000000002</v>
      </c>
    </row>
    <row r="3506" spans="15:16" x14ac:dyDescent="0.35">
      <c r="O3506" s="18">
        <v>44629</v>
      </c>
      <c r="P3506">
        <v>2293.0500000000002</v>
      </c>
    </row>
    <row r="3507" spans="15:16" x14ac:dyDescent="0.35">
      <c r="O3507" s="18">
        <v>44630</v>
      </c>
      <c r="P3507">
        <v>2303</v>
      </c>
    </row>
    <row r="3508" spans="15:16" x14ac:dyDescent="0.35">
      <c r="O3508" s="18">
        <v>44631</v>
      </c>
      <c r="P3508">
        <v>2290.75</v>
      </c>
    </row>
    <row r="3509" spans="15:16" x14ac:dyDescent="0.35">
      <c r="O3509" s="18">
        <v>44634</v>
      </c>
      <c r="P3509">
        <v>2313.5500000000002</v>
      </c>
    </row>
    <row r="3510" spans="15:16" x14ac:dyDescent="0.35">
      <c r="O3510" s="18">
        <v>44635</v>
      </c>
      <c r="P3510">
        <v>2305.25</v>
      </c>
    </row>
    <row r="3511" spans="15:16" x14ac:dyDescent="0.35">
      <c r="O3511" s="18">
        <v>44636</v>
      </c>
      <c r="P3511">
        <v>2357.9</v>
      </c>
    </row>
    <row r="3512" spans="15:16" x14ac:dyDescent="0.35">
      <c r="O3512" s="18">
        <v>44637</v>
      </c>
      <c r="P3512">
        <v>2436.9499999999998</v>
      </c>
    </row>
    <row r="3513" spans="15:16" x14ac:dyDescent="0.35">
      <c r="O3513" s="18">
        <v>44641</v>
      </c>
      <c r="P3513">
        <v>2378.75</v>
      </c>
    </row>
    <row r="3514" spans="15:16" x14ac:dyDescent="0.35">
      <c r="O3514" s="18">
        <v>44642</v>
      </c>
      <c r="P3514">
        <v>2380.4</v>
      </c>
    </row>
    <row r="3515" spans="15:16" x14ac:dyDescent="0.35">
      <c r="O3515" s="18">
        <v>44643</v>
      </c>
      <c r="P3515">
        <v>2394.1</v>
      </c>
    </row>
    <row r="3516" spans="15:16" x14ac:dyDescent="0.35">
      <c r="O3516" s="18">
        <v>44644</v>
      </c>
      <c r="P3516">
        <v>2369.65</v>
      </c>
    </row>
    <row r="3517" spans="15:16" x14ac:dyDescent="0.35">
      <c r="O3517" s="18">
        <v>44645</v>
      </c>
      <c r="P3517">
        <v>2336.85</v>
      </c>
    </row>
    <row r="3518" spans="15:16" x14ac:dyDescent="0.35">
      <c r="O3518" s="18">
        <v>44648</v>
      </c>
      <c r="P3518">
        <v>2380</v>
      </c>
    </row>
    <row r="3519" spans="15:16" x14ac:dyDescent="0.35">
      <c r="O3519" s="18">
        <v>44649</v>
      </c>
      <c r="P3519">
        <v>2480.5</v>
      </c>
    </row>
    <row r="3520" spans="15:16" x14ac:dyDescent="0.35">
      <c r="O3520" s="18">
        <v>44650</v>
      </c>
      <c r="P3520">
        <v>2486.5500000000002</v>
      </c>
    </row>
    <row r="3521" spans="15:16" x14ac:dyDescent="0.35">
      <c r="O3521" s="18">
        <v>44651</v>
      </c>
      <c r="P3521">
        <v>2457.15</v>
      </c>
    </row>
    <row r="3522" spans="15:16" x14ac:dyDescent="0.35">
      <c r="O3522" s="18">
        <v>44652</v>
      </c>
      <c r="P3522">
        <v>2481.1999999999998</v>
      </c>
    </row>
    <row r="3523" spans="15:16" x14ac:dyDescent="0.35">
      <c r="O3523" s="18">
        <v>44655</v>
      </c>
      <c r="P3523">
        <v>2508.9499999999998</v>
      </c>
    </row>
    <row r="3524" spans="15:16" x14ac:dyDescent="0.35">
      <c r="O3524" s="18">
        <v>44656</v>
      </c>
      <c r="P3524">
        <v>2543.4499999999998</v>
      </c>
    </row>
    <row r="3525" spans="15:16" x14ac:dyDescent="0.35">
      <c r="O3525" s="18">
        <v>44657</v>
      </c>
      <c r="P3525">
        <v>2530.6999999999998</v>
      </c>
    </row>
    <row r="3526" spans="15:16" x14ac:dyDescent="0.35">
      <c r="O3526" s="18">
        <v>44658</v>
      </c>
      <c r="P3526">
        <v>2538.4</v>
      </c>
    </row>
    <row r="3527" spans="15:16" x14ac:dyDescent="0.35">
      <c r="O3527" s="18">
        <v>44659</v>
      </c>
      <c r="P3527">
        <v>2555.1999999999998</v>
      </c>
    </row>
    <row r="3528" spans="15:16" x14ac:dyDescent="0.35">
      <c r="O3528" s="18">
        <v>44662</v>
      </c>
      <c r="P3528">
        <v>2545.6</v>
      </c>
    </row>
    <row r="3529" spans="15:16" x14ac:dyDescent="0.35">
      <c r="O3529" s="18">
        <v>44663</v>
      </c>
      <c r="P3529">
        <v>2521.8000000000002</v>
      </c>
    </row>
    <row r="3530" spans="15:16" x14ac:dyDescent="0.35">
      <c r="O3530" s="18">
        <v>44664</v>
      </c>
      <c r="P3530">
        <v>2491.4499999999998</v>
      </c>
    </row>
    <row r="3531" spans="15:16" x14ac:dyDescent="0.35">
      <c r="O3531" s="18">
        <v>44669</v>
      </c>
      <c r="P3531">
        <v>2511</v>
      </c>
    </row>
    <row r="3532" spans="15:16" x14ac:dyDescent="0.35">
      <c r="O3532" s="18">
        <v>44670</v>
      </c>
      <c r="P3532">
        <v>2454.85</v>
      </c>
    </row>
    <row r="3533" spans="15:16" x14ac:dyDescent="0.35">
      <c r="O3533" s="18">
        <v>44671</v>
      </c>
      <c r="P3533">
        <v>2536.8000000000002</v>
      </c>
    </row>
    <row r="3534" spans="15:16" x14ac:dyDescent="0.35">
      <c r="O3534" s="18">
        <v>44672</v>
      </c>
      <c r="P3534">
        <v>2651.5</v>
      </c>
    </row>
    <row r="3535" spans="15:16" x14ac:dyDescent="0.35">
      <c r="O3535" s="18">
        <v>44673</v>
      </c>
      <c r="P3535">
        <v>2631.5</v>
      </c>
    </row>
    <row r="3536" spans="15:16" x14ac:dyDescent="0.35">
      <c r="O3536" s="18">
        <v>44676</v>
      </c>
      <c r="P3536">
        <v>2594.15</v>
      </c>
    </row>
    <row r="3537" spans="15:16" x14ac:dyDescent="0.35">
      <c r="O3537" s="18">
        <v>44677</v>
      </c>
      <c r="P3537">
        <v>2649.3</v>
      </c>
    </row>
    <row r="3538" spans="15:16" x14ac:dyDescent="0.35">
      <c r="O3538" s="18">
        <v>44678</v>
      </c>
      <c r="P3538">
        <v>2655.45</v>
      </c>
    </row>
    <row r="3539" spans="15:16" x14ac:dyDescent="0.35">
      <c r="O3539" s="18">
        <v>44679</v>
      </c>
      <c r="P3539">
        <v>2679.95</v>
      </c>
    </row>
    <row r="3540" spans="15:16" x14ac:dyDescent="0.35">
      <c r="O3540" s="18">
        <v>44680</v>
      </c>
      <c r="P3540">
        <v>2630.35</v>
      </c>
    </row>
    <row r="3541" spans="15:16" x14ac:dyDescent="0.35">
      <c r="O3541" s="18">
        <v>44683</v>
      </c>
      <c r="P3541">
        <v>2552.5</v>
      </c>
    </row>
    <row r="3542" spans="15:16" x14ac:dyDescent="0.35">
      <c r="O3542" s="18">
        <v>44685</v>
      </c>
      <c r="P3542">
        <v>2483.1999999999998</v>
      </c>
    </row>
    <row r="3543" spans="15:16" x14ac:dyDescent="0.35">
      <c r="O3543" s="18">
        <v>44686</v>
      </c>
      <c r="P3543">
        <v>2433.5500000000002</v>
      </c>
    </row>
    <row r="3544" spans="15:16" x14ac:dyDescent="0.35">
      <c r="O3544" s="18">
        <v>44687</v>
      </c>
      <c r="P3544">
        <v>2362.4499999999998</v>
      </c>
    </row>
    <row r="3545" spans="15:16" x14ac:dyDescent="0.35">
      <c r="O3545" s="18">
        <v>44690</v>
      </c>
      <c r="P3545">
        <v>2344.3000000000002</v>
      </c>
    </row>
    <row r="3546" spans="15:16" x14ac:dyDescent="0.35">
      <c r="O3546" s="18">
        <v>44691</v>
      </c>
      <c r="P3546">
        <v>2415.5500000000002</v>
      </c>
    </row>
    <row r="3547" spans="15:16" x14ac:dyDescent="0.35">
      <c r="O3547" s="18">
        <v>44692</v>
      </c>
      <c r="P3547">
        <v>2389.15</v>
      </c>
    </row>
    <row r="3548" spans="15:16" x14ac:dyDescent="0.35">
      <c r="O3548" s="18">
        <v>44693</v>
      </c>
      <c r="P3548">
        <v>2384.65</v>
      </c>
    </row>
    <row r="3549" spans="15:16" x14ac:dyDescent="0.35">
      <c r="O3549" s="18">
        <v>44694</v>
      </c>
      <c r="P3549">
        <v>2432.65</v>
      </c>
    </row>
    <row r="3550" spans="15:16" x14ac:dyDescent="0.35">
      <c r="O3550" s="18">
        <v>44697</v>
      </c>
      <c r="P3550">
        <v>2617.9499999999998</v>
      </c>
    </row>
    <row r="3551" spans="15:16" x14ac:dyDescent="0.35">
      <c r="O3551" s="18">
        <v>44698</v>
      </c>
      <c r="P3551">
        <v>2706.7</v>
      </c>
    </row>
    <row r="3552" spans="15:16" x14ac:dyDescent="0.35">
      <c r="O3552" s="18">
        <v>44699</v>
      </c>
      <c r="P3552">
        <v>2696</v>
      </c>
    </row>
    <row r="3553" spans="15:16" x14ac:dyDescent="0.35">
      <c r="O3553" s="18">
        <v>44700</v>
      </c>
      <c r="P3553">
        <v>2650.5</v>
      </c>
    </row>
    <row r="3554" spans="15:16" x14ac:dyDescent="0.35">
      <c r="O3554" s="18">
        <v>44701</v>
      </c>
      <c r="P3554">
        <v>2707.8</v>
      </c>
    </row>
    <row r="3555" spans="15:16" x14ac:dyDescent="0.35">
      <c r="O3555" s="18">
        <v>44704</v>
      </c>
      <c r="P3555">
        <v>2741.3</v>
      </c>
    </row>
    <row r="3556" spans="15:16" x14ac:dyDescent="0.35">
      <c r="O3556" s="18">
        <v>44705</v>
      </c>
      <c r="P3556">
        <v>2719.3</v>
      </c>
    </row>
    <row r="3557" spans="15:16" x14ac:dyDescent="0.35">
      <c r="O3557" s="18">
        <v>44706</v>
      </c>
      <c r="P3557">
        <v>2686.15</v>
      </c>
    </row>
    <row r="3558" spans="15:16" x14ac:dyDescent="0.35">
      <c r="O3558" s="18">
        <v>44707</v>
      </c>
      <c r="P3558">
        <v>2725.1</v>
      </c>
    </row>
    <row r="3559" spans="15:16" x14ac:dyDescent="0.35">
      <c r="O3559" s="18">
        <v>44708</v>
      </c>
      <c r="P3559">
        <v>2742.1</v>
      </c>
    </row>
    <row r="3560" spans="15:16" x14ac:dyDescent="0.35">
      <c r="O3560" s="18">
        <v>44711</v>
      </c>
      <c r="P3560">
        <v>2758.45</v>
      </c>
    </row>
    <row r="3561" spans="15:16" x14ac:dyDescent="0.35">
      <c r="O3561" s="18">
        <v>44712</v>
      </c>
      <c r="P3561">
        <v>2780.75</v>
      </c>
    </row>
    <row r="3562" spans="15:16" x14ac:dyDescent="0.35">
      <c r="O3562" s="18">
        <v>44713</v>
      </c>
      <c r="P3562">
        <v>2771.7</v>
      </c>
    </row>
    <row r="3563" spans="15:16" x14ac:dyDescent="0.35">
      <c r="O3563" s="18">
        <v>44714</v>
      </c>
      <c r="P3563">
        <v>2723.55</v>
      </c>
    </row>
    <row r="3564" spans="15:16" x14ac:dyDescent="0.35">
      <c r="O3564" s="18">
        <v>44715</v>
      </c>
      <c r="P3564">
        <v>2685.25</v>
      </c>
    </row>
    <row r="3565" spans="15:16" x14ac:dyDescent="0.35">
      <c r="O3565" s="18">
        <v>44718</v>
      </c>
      <c r="P3565">
        <v>2653.1</v>
      </c>
    </row>
    <row r="3566" spans="15:16" x14ac:dyDescent="0.35">
      <c r="O3566" s="18">
        <v>44719</v>
      </c>
      <c r="P3566">
        <v>2647.9</v>
      </c>
    </row>
    <row r="3567" spans="15:16" x14ac:dyDescent="0.35">
      <c r="O3567" s="18">
        <v>44720</v>
      </c>
      <c r="P3567">
        <v>2649.15</v>
      </c>
    </row>
    <row r="3568" spans="15:16" x14ac:dyDescent="0.35">
      <c r="O3568" s="18">
        <v>44721</v>
      </c>
      <c r="P3568">
        <v>2716</v>
      </c>
    </row>
    <row r="3569" spans="15:16" x14ac:dyDescent="0.35">
      <c r="O3569" s="18">
        <v>44722</v>
      </c>
      <c r="P3569">
        <v>2712.85</v>
      </c>
    </row>
    <row r="3570" spans="15:16" x14ac:dyDescent="0.35">
      <c r="O3570" s="18">
        <v>44725</v>
      </c>
      <c r="P3570">
        <v>2700.8</v>
      </c>
    </row>
    <row r="3571" spans="15:16" x14ac:dyDescent="0.35">
      <c r="O3571" s="18">
        <v>44726</v>
      </c>
      <c r="P3571">
        <v>2722.75</v>
      </c>
    </row>
    <row r="3572" spans="15:16" x14ac:dyDescent="0.35">
      <c r="O3572" s="18">
        <v>44727</v>
      </c>
      <c r="P3572">
        <v>2720.1</v>
      </c>
    </row>
    <row r="3573" spans="15:16" x14ac:dyDescent="0.35">
      <c r="O3573" s="18">
        <v>44728</v>
      </c>
      <c r="P3573">
        <v>2652.5</v>
      </c>
    </row>
    <row r="3574" spans="15:16" x14ac:dyDescent="0.35">
      <c r="O3574" s="18">
        <v>44729</v>
      </c>
      <c r="P3574">
        <v>2604.8000000000002</v>
      </c>
    </row>
    <row r="3575" spans="15:16" x14ac:dyDescent="0.35">
      <c r="O3575" s="18">
        <v>44732</v>
      </c>
      <c r="P3575">
        <v>2623.25</v>
      </c>
    </row>
    <row r="3576" spans="15:16" x14ac:dyDescent="0.35">
      <c r="O3576" s="18">
        <v>44733</v>
      </c>
      <c r="P3576">
        <v>2702.8</v>
      </c>
    </row>
    <row r="3577" spans="15:16" x14ac:dyDescent="0.35">
      <c r="O3577" s="18">
        <v>44734</v>
      </c>
      <c r="P3577">
        <v>2662.75</v>
      </c>
    </row>
    <row r="3578" spans="15:16" x14ac:dyDescent="0.35">
      <c r="O3578" s="18">
        <v>44735</v>
      </c>
      <c r="P3578">
        <v>2819.05</v>
      </c>
    </row>
    <row r="3579" spans="15:16" x14ac:dyDescent="0.35">
      <c r="O3579" s="18">
        <v>44736</v>
      </c>
      <c r="P3579">
        <v>2877.9</v>
      </c>
    </row>
    <row r="3580" spans="15:16" x14ac:dyDescent="0.35">
      <c r="O3580" s="18">
        <v>44739</v>
      </c>
      <c r="P3580">
        <v>2848.3</v>
      </c>
    </row>
    <row r="3581" spans="15:16" x14ac:dyDescent="0.35">
      <c r="O3581" s="18">
        <v>44740</v>
      </c>
      <c r="P3581">
        <v>2863.8</v>
      </c>
    </row>
    <row r="3582" spans="15:16" x14ac:dyDescent="0.35">
      <c r="O3582" s="18">
        <v>44741</v>
      </c>
      <c r="P3582">
        <v>2886.6</v>
      </c>
    </row>
    <row r="3583" spans="15:16" x14ac:dyDescent="0.35">
      <c r="O3583" s="18">
        <v>44742</v>
      </c>
      <c r="P3583">
        <v>2794.35</v>
      </c>
    </row>
    <row r="3584" spans="15:16" x14ac:dyDescent="0.35">
      <c r="O3584" s="18">
        <v>44743</v>
      </c>
      <c r="P3584">
        <v>2782.8</v>
      </c>
    </row>
    <row r="3585" spans="15:16" x14ac:dyDescent="0.35">
      <c r="O3585" s="18">
        <v>44746</v>
      </c>
      <c r="P3585">
        <v>2796.4</v>
      </c>
    </row>
    <row r="3586" spans="15:16" x14ac:dyDescent="0.35">
      <c r="O3586" s="18">
        <v>44747</v>
      </c>
      <c r="P3586">
        <v>2805.6</v>
      </c>
    </row>
    <row r="3587" spans="15:16" x14ac:dyDescent="0.35">
      <c r="O3587" s="18">
        <v>44748</v>
      </c>
      <c r="P3587">
        <v>2907.95</v>
      </c>
    </row>
    <row r="3588" spans="15:16" x14ac:dyDescent="0.35">
      <c r="O3588" s="18">
        <v>44749</v>
      </c>
      <c r="P3588">
        <v>2944.2</v>
      </c>
    </row>
    <row r="3589" spans="15:16" x14ac:dyDescent="0.35">
      <c r="O3589" s="18">
        <v>44750</v>
      </c>
      <c r="P3589">
        <v>2931.6</v>
      </c>
    </row>
    <row r="3590" spans="15:16" x14ac:dyDescent="0.35">
      <c r="O3590" s="18">
        <v>44753</v>
      </c>
      <c r="P3590">
        <v>3046.85</v>
      </c>
    </row>
    <row r="3591" spans="15:16" x14ac:dyDescent="0.35">
      <c r="O3591" s="18">
        <v>44754</v>
      </c>
      <c r="P3591">
        <v>2954.05</v>
      </c>
    </row>
    <row r="3592" spans="15:16" x14ac:dyDescent="0.35">
      <c r="O3592" s="18">
        <v>44755</v>
      </c>
      <c r="P3592">
        <v>2967.4</v>
      </c>
    </row>
    <row r="3593" spans="15:16" x14ac:dyDescent="0.35">
      <c r="O3593" s="18">
        <v>44756</v>
      </c>
      <c r="P3593">
        <v>2955.1</v>
      </c>
    </row>
    <row r="3594" spans="15:16" x14ac:dyDescent="0.35">
      <c r="O3594" s="18">
        <v>44757</v>
      </c>
      <c r="P3594">
        <v>3034</v>
      </c>
    </row>
    <row r="3595" spans="15:16" x14ac:dyDescent="0.35">
      <c r="O3595" s="18">
        <v>44760</v>
      </c>
      <c r="P3595">
        <v>3036.5</v>
      </c>
    </row>
    <row r="3596" spans="15:16" x14ac:dyDescent="0.35">
      <c r="O3596" s="18">
        <v>44761</v>
      </c>
      <c r="P3596">
        <v>3077.7</v>
      </c>
    </row>
    <row r="3597" spans="15:16" x14ac:dyDescent="0.35">
      <c r="O3597" s="18">
        <v>44762</v>
      </c>
      <c r="P3597">
        <v>3045</v>
      </c>
    </row>
    <row r="3598" spans="15:16" x14ac:dyDescent="0.35">
      <c r="O3598" s="18">
        <v>44763</v>
      </c>
      <c r="P3598">
        <v>3081.2</v>
      </c>
    </row>
    <row r="3599" spans="15:16" x14ac:dyDescent="0.35">
      <c r="O3599" s="18">
        <v>44764</v>
      </c>
      <c r="P3599">
        <v>3147.6</v>
      </c>
    </row>
    <row r="3600" spans="15:16" x14ac:dyDescent="0.35">
      <c r="O3600" s="18">
        <v>44767</v>
      </c>
      <c r="P3600">
        <v>3086.7</v>
      </c>
    </row>
    <row r="3601" spans="15:16" x14ac:dyDescent="0.35">
      <c r="O3601" s="18">
        <v>44768</v>
      </c>
      <c r="P3601">
        <v>3023.3</v>
      </c>
    </row>
    <row r="3602" spans="15:16" x14ac:dyDescent="0.35">
      <c r="O3602" s="18">
        <v>44769</v>
      </c>
      <c r="P3602">
        <v>3057.4</v>
      </c>
    </row>
    <row r="3603" spans="15:16" x14ac:dyDescent="0.35">
      <c r="O3603" s="18">
        <v>44770</v>
      </c>
      <c r="P3603">
        <v>3054</v>
      </c>
    </row>
    <row r="3604" spans="15:16" x14ac:dyDescent="0.35">
      <c r="O3604" s="18">
        <v>44771</v>
      </c>
      <c r="P3604">
        <v>3093.45</v>
      </c>
    </row>
    <row r="3605" spans="15:16" x14ac:dyDescent="0.35">
      <c r="O3605" s="18">
        <v>44774</v>
      </c>
      <c r="P3605">
        <v>3088.4</v>
      </c>
    </row>
    <row r="3606" spans="15:16" x14ac:dyDescent="0.35">
      <c r="O3606" s="18">
        <v>44775</v>
      </c>
      <c r="P3606">
        <v>3120.95</v>
      </c>
    </row>
    <row r="3607" spans="15:16" x14ac:dyDescent="0.35">
      <c r="O3607" s="18">
        <v>44776</v>
      </c>
      <c r="P3607">
        <v>3138.2</v>
      </c>
    </row>
    <row r="3608" spans="15:16" x14ac:dyDescent="0.35">
      <c r="O3608" s="18">
        <v>44777</v>
      </c>
      <c r="P3608">
        <v>3145.8</v>
      </c>
    </row>
    <row r="3609" spans="15:16" x14ac:dyDescent="0.35">
      <c r="O3609" s="18">
        <v>44778</v>
      </c>
      <c r="P3609">
        <v>3089.6</v>
      </c>
    </row>
    <row r="3610" spans="15:16" x14ac:dyDescent="0.35">
      <c r="O3610" s="18">
        <v>44781</v>
      </c>
      <c r="P3610">
        <v>3116.75</v>
      </c>
    </row>
    <row r="3611" spans="15:16" x14ac:dyDescent="0.35">
      <c r="O3611" s="18">
        <v>44783</v>
      </c>
      <c r="P3611">
        <v>3154.55</v>
      </c>
    </row>
    <row r="3612" spans="15:16" x14ac:dyDescent="0.35">
      <c r="O3612" s="18">
        <v>44784</v>
      </c>
      <c r="P3612">
        <v>3176.45</v>
      </c>
    </row>
    <row r="3613" spans="15:16" x14ac:dyDescent="0.35">
      <c r="O3613" s="18">
        <v>44785</v>
      </c>
      <c r="P3613">
        <v>3210.15</v>
      </c>
    </row>
    <row r="3614" spans="15:16" x14ac:dyDescent="0.35">
      <c r="O3614" s="18">
        <v>44789</v>
      </c>
      <c r="P3614">
        <v>3338.05</v>
      </c>
    </row>
    <row r="3615" spans="15:16" x14ac:dyDescent="0.35">
      <c r="O3615" s="18">
        <v>44790</v>
      </c>
      <c r="P3615">
        <v>3397.6</v>
      </c>
    </row>
    <row r="3616" spans="15:16" x14ac:dyDescent="0.35">
      <c r="O3616" s="18">
        <v>44791</v>
      </c>
      <c r="P3616">
        <v>3411.4</v>
      </c>
    </row>
    <row r="3617" spans="15:16" x14ac:dyDescent="0.35">
      <c r="O3617" s="18">
        <v>44792</v>
      </c>
      <c r="P3617">
        <v>3424.1</v>
      </c>
    </row>
    <row r="3618" spans="15:16" x14ac:dyDescent="0.35">
      <c r="O3618" s="18">
        <v>44795</v>
      </c>
      <c r="P3618">
        <v>3363.25</v>
      </c>
    </row>
    <row r="3619" spans="15:16" x14ac:dyDescent="0.35">
      <c r="O3619" s="18">
        <v>44796</v>
      </c>
      <c r="P3619">
        <v>3464.75</v>
      </c>
    </row>
    <row r="3620" spans="15:16" x14ac:dyDescent="0.35">
      <c r="O3620" s="18">
        <v>44797</v>
      </c>
      <c r="P3620">
        <v>3450.7</v>
      </c>
    </row>
    <row r="3621" spans="15:16" x14ac:dyDescent="0.35">
      <c r="O3621" s="18">
        <v>44798</v>
      </c>
      <c r="P3621">
        <v>3481.45</v>
      </c>
    </row>
    <row r="3622" spans="15:16" x14ac:dyDescent="0.35">
      <c r="O3622" s="18">
        <v>44799</v>
      </c>
      <c r="P3622">
        <v>3355.1</v>
      </c>
    </row>
    <row r="3623" spans="15:16" x14ac:dyDescent="0.35">
      <c r="O3623" s="18">
        <v>44802</v>
      </c>
      <c r="P3623">
        <v>3291.6</v>
      </c>
    </row>
    <row r="3624" spans="15:16" x14ac:dyDescent="0.35">
      <c r="O3624" s="18">
        <v>44803</v>
      </c>
      <c r="P3624">
        <v>3358.75</v>
      </c>
    </row>
    <row r="3625" spans="15:16" x14ac:dyDescent="0.35">
      <c r="O3625" s="18">
        <v>44805</v>
      </c>
      <c r="P3625">
        <v>3411.6</v>
      </c>
    </row>
    <row r="3626" spans="15:16" x14ac:dyDescent="0.35">
      <c r="O3626" s="18">
        <v>44806</v>
      </c>
      <c r="P3626">
        <v>3422.1</v>
      </c>
    </row>
    <row r="3627" spans="15:16" x14ac:dyDescent="0.35">
      <c r="O3627" s="18">
        <v>44809</v>
      </c>
      <c r="P3627">
        <v>3400.5</v>
      </c>
    </row>
    <row r="3628" spans="15:16" x14ac:dyDescent="0.35">
      <c r="O3628" s="18">
        <v>44810</v>
      </c>
      <c r="P3628">
        <v>3410.35</v>
      </c>
    </row>
    <row r="3629" spans="15:16" x14ac:dyDescent="0.35">
      <c r="O3629" s="18">
        <v>44811</v>
      </c>
      <c r="P3629">
        <v>3383.65</v>
      </c>
    </row>
    <row r="3630" spans="15:16" x14ac:dyDescent="0.35">
      <c r="O3630" s="18">
        <v>44812</v>
      </c>
      <c r="P3630">
        <v>3425.75</v>
      </c>
    </row>
    <row r="3631" spans="15:16" x14ac:dyDescent="0.35">
      <c r="O3631" s="18">
        <v>44813</v>
      </c>
      <c r="P3631">
        <v>3473.15</v>
      </c>
    </row>
    <row r="3632" spans="15:16" x14ac:dyDescent="0.35">
      <c r="O3632" s="18">
        <v>44816</v>
      </c>
      <c r="P3632">
        <v>3538.95</v>
      </c>
    </row>
    <row r="3633" spans="15:16" x14ac:dyDescent="0.35">
      <c r="O3633" s="18">
        <v>44817</v>
      </c>
      <c r="P3633">
        <v>3522</v>
      </c>
    </row>
    <row r="3634" spans="15:16" x14ac:dyDescent="0.35">
      <c r="O3634" s="18">
        <v>44818</v>
      </c>
      <c r="P3634">
        <v>3541.8</v>
      </c>
    </row>
    <row r="3635" spans="15:16" x14ac:dyDescent="0.35">
      <c r="O3635" s="18">
        <v>44819</v>
      </c>
      <c r="P3635">
        <v>3622.25</v>
      </c>
    </row>
    <row r="3636" spans="15:16" x14ac:dyDescent="0.35">
      <c r="O3636" s="18">
        <v>44820</v>
      </c>
      <c r="P3636">
        <v>3549</v>
      </c>
    </row>
    <row r="3637" spans="15:16" x14ac:dyDescent="0.35">
      <c r="O3637" s="18">
        <v>44823</v>
      </c>
      <c r="P3637">
        <v>3590.25</v>
      </c>
    </row>
    <row r="3638" spans="15:16" x14ac:dyDescent="0.35">
      <c r="O3638" s="18">
        <v>44824</v>
      </c>
      <c r="P3638">
        <v>3711.55</v>
      </c>
    </row>
    <row r="3639" spans="15:16" x14ac:dyDescent="0.35">
      <c r="O3639" s="18">
        <v>44825</v>
      </c>
      <c r="P3639">
        <v>3682.05</v>
      </c>
    </row>
    <row r="3640" spans="15:16" x14ac:dyDescent="0.35">
      <c r="O3640" s="18">
        <v>44826</v>
      </c>
      <c r="P3640">
        <v>3748.75</v>
      </c>
    </row>
    <row r="3641" spans="15:16" x14ac:dyDescent="0.35">
      <c r="O3641" s="18">
        <v>44827</v>
      </c>
      <c r="P3641">
        <v>3688.45</v>
      </c>
    </row>
    <row r="3642" spans="15:16" x14ac:dyDescent="0.35">
      <c r="O3642" s="18">
        <v>44830</v>
      </c>
      <c r="P3642">
        <v>3515.55</v>
      </c>
    </row>
    <row r="3643" spans="15:16" x14ac:dyDescent="0.35">
      <c r="O3643" s="18">
        <v>44831</v>
      </c>
      <c r="P3643">
        <v>3570.55</v>
      </c>
    </row>
    <row r="3644" spans="15:16" x14ac:dyDescent="0.35">
      <c r="O3644" s="18">
        <v>44832</v>
      </c>
      <c r="P3644">
        <v>3628.3</v>
      </c>
    </row>
    <row r="3645" spans="15:16" x14ac:dyDescent="0.35">
      <c r="O3645" s="18">
        <v>44833</v>
      </c>
      <c r="P3645">
        <v>3624.1</v>
      </c>
    </row>
    <row r="3646" spans="15:16" x14ac:dyDescent="0.35">
      <c r="O3646" s="18">
        <v>44834</v>
      </c>
      <c r="P3646">
        <v>3671.6</v>
      </c>
    </row>
    <row r="3647" spans="15:16" x14ac:dyDescent="0.35">
      <c r="O3647" s="18">
        <v>44837</v>
      </c>
      <c r="P3647">
        <v>3463.35</v>
      </c>
    </row>
    <row r="3648" spans="15:16" x14ac:dyDescent="0.35">
      <c r="O3648" s="18">
        <v>44838</v>
      </c>
      <c r="P3648">
        <v>3555</v>
      </c>
    </row>
    <row r="3649" spans="15:16" x14ac:dyDescent="0.35">
      <c r="O3649" s="18">
        <v>44840</v>
      </c>
      <c r="P3649">
        <v>3531.35</v>
      </c>
    </row>
    <row r="3650" spans="15:16" x14ac:dyDescent="0.35">
      <c r="O3650" s="18">
        <v>44841</v>
      </c>
      <c r="P3650">
        <v>3498.55</v>
      </c>
    </row>
    <row r="3651" spans="15:16" x14ac:dyDescent="0.35">
      <c r="O3651" s="18">
        <v>44844</v>
      </c>
      <c r="P3651">
        <v>3531.6</v>
      </c>
    </row>
    <row r="3652" spans="15:16" x14ac:dyDescent="0.35">
      <c r="O3652" s="18">
        <v>44845</v>
      </c>
      <c r="P3652">
        <v>3408</v>
      </c>
    </row>
    <row r="3653" spans="15:16" x14ac:dyDescent="0.35">
      <c r="O3653" s="18">
        <v>44846</v>
      </c>
      <c r="P3653">
        <v>3458.2</v>
      </c>
    </row>
    <row r="3654" spans="15:16" x14ac:dyDescent="0.35">
      <c r="O3654" s="18">
        <v>44847</v>
      </c>
      <c r="P3654">
        <v>3471.2</v>
      </c>
    </row>
    <row r="3655" spans="15:16" x14ac:dyDescent="0.35">
      <c r="O3655" s="18">
        <v>44848</v>
      </c>
      <c r="P3655">
        <v>3477.2</v>
      </c>
    </row>
    <row r="3656" spans="15:16" x14ac:dyDescent="0.35">
      <c r="O3656" s="18">
        <v>44851</v>
      </c>
      <c r="P3656">
        <v>3514.7</v>
      </c>
    </row>
    <row r="3657" spans="15:16" x14ac:dyDescent="0.35">
      <c r="O3657" s="18">
        <v>44852</v>
      </c>
      <c r="P3657">
        <v>3612.5</v>
      </c>
    </row>
    <row r="3658" spans="15:16" x14ac:dyDescent="0.35">
      <c r="O3658" s="18">
        <v>44853</v>
      </c>
      <c r="P3658">
        <v>3612.3</v>
      </c>
    </row>
    <row r="3659" spans="15:16" x14ac:dyDescent="0.35">
      <c r="O3659" s="18">
        <v>44854</v>
      </c>
      <c r="P3659">
        <v>3651.15</v>
      </c>
    </row>
    <row r="3660" spans="15:16" x14ac:dyDescent="0.35">
      <c r="O3660" s="18">
        <v>44855</v>
      </c>
      <c r="P3660">
        <v>3629.5</v>
      </c>
    </row>
    <row r="3661" spans="15:16" x14ac:dyDescent="0.35">
      <c r="O3661" s="18">
        <v>44858</v>
      </c>
      <c r="P3661">
        <v>3641.2</v>
      </c>
    </row>
    <row r="3662" spans="15:16" x14ac:dyDescent="0.35">
      <c r="O3662" s="18">
        <v>44859</v>
      </c>
      <c r="P3662">
        <v>3710.65</v>
      </c>
    </row>
    <row r="3663" spans="15:16" x14ac:dyDescent="0.35">
      <c r="O3663" s="18">
        <v>44861</v>
      </c>
      <c r="P3663">
        <v>3710.65</v>
      </c>
    </row>
    <row r="3664" spans="15:16" x14ac:dyDescent="0.35">
      <c r="O3664" s="18">
        <v>44862</v>
      </c>
      <c r="P3664">
        <v>3745.75</v>
      </c>
    </row>
    <row r="3665" spans="15:16" x14ac:dyDescent="0.35">
      <c r="O3665" s="18">
        <v>44865</v>
      </c>
      <c r="P3665">
        <v>3850.45</v>
      </c>
    </row>
    <row r="3666" spans="15:16" x14ac:dyDescent="0.35">
      <c r="O3666" s="18">
        <v>44866</v>
      </c>
      <c r="P3666">
        <v>3798.4</v>
      </c>
    </row>
    <row r="3667" spans="15:16" x14ac:dyDescent="0.35">
      <c r="O3667" s="18">
        <v>44867</v>
      </c>
      <c r="P3667">
        <v>3729.2</v>
      </c>
    </row>
    <row r="3668" spans="15:16" x14ac:dyDescent="0.35">
      <c r="O3668" s="18">
        <v>44868</v>
      </c>
      <c r="P3668">
        <v>3675.25</v>
      </c>
    </row>
    <row r="3669" spans="15:16" x14ac:dyDescent="0.35">
      <c r="O3669" s="18">
        <v>44869</v>
      </c>
      <c r="P3669">
        <v>3666.9</v>
      </c>
    </row>
    <row r="3670" spans="15:16" x14ac:dyDescent="0.35">
      <c r="O3670" s="18">
        <v>44872</v>
      </c>
      <c r="P3670">
        <v>3755.15</v>
      </c>
    </row>
    <row r="3671" spans="15:16" x14ac:dyDescent="0.35">
      <c r="O3671" s="18">
        <v>44874</v>
      </c>
      <c r="P3671">
        <v>3732.95</v>
      </c>
    </row>
    <row r="3672" spans="15:16" x14ac:dyDescent="0.35">
      <c r="O3672" s="18">
        <v>44875</v>
      </c>
      <c r="P3672">
        <v>3700.85</v>
      </c>
    </row>
    <row r="3673" spans="15:16" x14ac:dyDescent="0.35">
      <c r="O3673" s="18">
        <v>44876</v>
      </c>
      <c r="P3673">
        <v>3519.65</v>
      </c>
    </row>
    <row r="3674" spans="15:16" x14ac:dyDescent="0.35">
      <c r="O3674" s="18">
        <v>44879</v>
      </c>
      <c r="P3674">
        <v>3516.6</v>
      </c>
    </row>
    <row r="3675" spans="15:16" x14ac:dyDescent="0.35">
      <c r="O3675" s="18">
        <v>44880</v>
      </c>
      <c r="P3675">
        <v>3507.95</v>
      </c>
    </row>
    <row r="3676" spans="15:16" x14ac:dyDescent="0.35">
      <c r="O3676" s="18">
        <v>44881</v>
      </c>
      <c r="P3676">
        <v>3503.05</v>
      </c>
    </row>
    <row r="3677" spans="15:16" x14ac:dyDescent="0.35">
      <c r="O3677" s="18">
        <v>44882</v>
      </c>
      <c r="P3677">
        <v>3441.85</v>
      </c>
    </row>
    <row r="3678" spans="15:16" x14ac:dyDescent="0.35">
      <c r="O3678" s="18">
        <v>44883</v>
      </c>
      <c r="P3678">
        <v>3390.25</v>
      </c>
    </row>
    <row r="3679" spans="15:16" x14ac:dyDescent="0.35">
      <c r="O3679" s="18">
        <v>44886</v>
      </c>
      <c r="P3679">
        <v>3378.6</v>
      </c>
    </row>
    <row r="3680" spans="15:16" x14ac:dyDescent="0.35">
      <c r="O3680" s="18">
        <v>44887</v>
      </c>
      <c r="P3680">
        <v>3375.05</v>
      </c>
    </row>
    <row r="3681" spans="15:16" x14ac:dyDescent="0.35">
      <c r="O3681" s="18">
        <v>44888</v>
      </c>
      <c r="P3681">
        <v>3380.9</v>
      </c>
    </row>
    <row r="3682" spans="15:16" x14ac:dyDescent="0.35">
      <c r="O3682" s="18">
        <v>44889</v>
      </c>
      <c r="P3682">
        <v>3377.35</v>
      </c>
    </row>
    <row r="3683" spans="15:16" x14ac:dyDescent="0.35">
      <c r="O3683" s="18">
        <v>44890</v>
      </c>
      <c r="P3683">
        <v>3414.1</v>
      </c>
    </row>
    <row r="3684" spans="15:16" x14ac:dyDescent="0.35">
      <c r="O3684" s="18">
        <v>44893</v>
      </c>
      <c r="P3684">
        <v>3441.4</v>
      </c>
    </row>
    <row r="3685" spans="15:16" x14ac:dyDescent="0.35">
      <c r="O3685" s="18">
        <v>44894</v>
      </c>
      <c r="P3685">
        <v>3416.1</v>
      </c>
    </row>
    <row r="3686" spans="15:16" x14ac:dyDescent="0.35">
      <c r="O3686" s="18">
        <v>44895</v>
      </c>
      <c r="P3686">
        <v>3484.5</v>
      </c>
    </row>
    <row r="3687" spans="15:16" x14ac:dyDescent="0.35">
      <c r="O3687" s="18">
        <v>44896</v>
      </c>
      <c r="P3687">
        <v>3437.45</v>
      </c>
    </row>
    <row r="3688" spans="15:16" x14ac:dyDescent="0.35">
      <c r="O3688" s="18">
        <v>44897</v>
      </c>
      <c r="P3688">
        <v>3331.85</v>
      </c>
    </row>
    <row r="3689" spans="15:16" x14ac:dyDescent="0.35">
      <c r="O3689" s="18">
        <v>44900</v>
      </c>
      <c r="P3689">
        <v>3344.4</v>
      </c>
    </row>
    <row r="3690" spans="15:16" x14ac:dyDescent="0.35">
      <c r="O3690" s="18">
        <v>44901</v>
      </c>
      <c r="P3690">
        <v>3299.7</v>
      </c>
    </row>
    <row r="3691" spans="15:16" x14ac:dyDescent="0.35">
      <c r="O3691" s="18">
        <v>44902</v>
      </c>
      <c r="P3691">
        <v>3259.85</v>
      </c>
    </row>
    <row r="3692" spans="15:16" x14ac:dyDescent="0.35">
      <c r="O3692" s="18">
        <v>44903</v>
      </c>
      <c r="P3692">
        <v>3322.3</v>
      </c>
    </row>
    <row r="3693" spans="15:16" x14ac:dyDescent="0.35">
      <c r="O3693" s="18">
        <v>44904</v>
      </c>
      <c r="P3693">
        <v>3358.2</v>
      </c>
    </row>
    <row r="3694" spans="15:16" x14ac:dyDescent="0.35">
      <c r="O3694" s="18">
        <v>44907</v>
      </c>
      <c r="P3694">
        <v>3320.45</v>
      </c>
    </row>
    <row r="3695" spans="15:16" x14ac:dyDescent="0.35">
      <c r="O3695" s="18">
        <v>44908</v>
      </c>
      <c r="P3695">
        <v>3313</v>
      </c>
    </row>
    <row r="3696" spans="15:16" x14ac:dyDescent="0.35">
      <c r="O3696" s="18">
        <v>44909</v>
      </c>
      <c r="P3696">
        <v>3369.4</v>
      </c>
    </row>
    <row r="3697" spans="15:16" x14ac:dyDescent="0.35">
      <c r="O3697" s="18">
        <v>44910</v>
      </c>
      <c r="P3697">
        <v>3303.5</v>
      </c>
    </row>
    <row r="3698" spans="15:16" x14ac:dyDescent="0.35">
      <c r="O3698" s="18">
        <v>44911</v>
      </c>
      <c r="P3698">
        <v>3291.45</v>
      </c>
    </row>
    <row r="3699" spans="15:16" x14ac:dyDescent="0.35">
      <c r="O3699" s="18">
        <v>44914</v>
      </c>
      <c r="P3699">
        <v>3388.9</v>
      </c>
    </row>
    <row r="3700" spans="15:16" x14ac:dyDescent="0.35">
      <c r="O3700" s="18">
        <v>44915</v>
      </c>
      <c r="P3700">
        <v>3313.45</v>
      </c>
    </row>
    <row r="3701" spans="15:16" x14ac:dyDescent="0.35">
      <c r="O3701" s="18">
        <v>44916</v>
      </c>
      <c r="P3701">
        <v>3273.25</v>
      </c>
    </row>
    <row r="3702" spans="15:16" x14ac:dyDescent="0.35">
      <c r="O3702" s="18">
        <v>44917</v>
      </c>
      <c r="P3702">
        <v>3206.05</v>
      </c>
    </row>
    <row r="3703" spans="15:16" x14ac:dyDescent="0.35">
      <c r="O3703" s="18">
        <v>44918</v>
      </c>
      <c r="P3703">
        <v>3113.65</v>
      </c>
    </row>
    <row r="3704" spans="15:16" x14ac:dyDescent="0.35">
      <c r="O3704" s="18">
        <v>44921</v>
      </c>
      <c r="P3704">
        <v>3161.25</v>
      </c>
    </row>
    <row r="3705" spans="15:16" x14ac:dyDescent="0.35">
      <c r="O3705" s="18">
        <v>44922</v>
      </c>
      <c r="P3705">
        <v>3201.8</v>
      </c>
    </row>
    <row r="3706" spans="15:16" x14ac:dyDescent="0.35">
      <c r="O3706" s="18">
        <v>44923</v>
      </c>
      <c r="P3706">
        <v>3211.55</v>
      </c>
    </row>
    <row r="3707" spans="15:16" x14ac:dyDescent="0.35">
      <c r="O3707" s="18">
        <v>44924</v>
      </c>
      <c r="P3707">
        <v>3281.2</v>
      </c>
    </row>
    <row r="3708" spans="15:16" x14ac:dyDescent="0.35">
      <c r="O3708" s="18">
        <v>44925</v>
      </c>
      <c r="P3708">
        <v>3227.75</v>
      </c>
    </row>
    <row r="3709" spans="15:16" x14ac:dyDescent="0.35">
      <c r="O3709" s="18">
        <v>44928</v>
      </c>
      <c r="P3709">
        <v>3228.85</v>
      </c>
    </row>
    <row r="3710" spans="15:16" x14ac:dyDescent="0.35">
      <c r="O3710" s="18">
        <v>44929</v>
      </c>
      <c r="P3710">
        <v>3213.45</v>
      </c>
    </row>
    <row r="3711" spans="15:16" x14ac:dyDescent="0.35">
      <c r="O3711" s="18">
        <v>44930</v>
      </c>
      <c r="P3711">
        <v>3215.25</v>
      </c>
    </row>
    <row r="3712" spans="15:16" x14ac:dyDescent="0.35">
      <c r="O3712" s="18">
        <v>44931</v>
      </c>
      <c r="P3712">
        <v>3257.7</v>
      </c>
    </row>
    <row r="3713" spans="15:16" x14ac:dyDescent="0.35">
      <c r="O3713" s="18">
        <v>44932</v>
      </c>
      <c r="P3713">
        <v>3250.6</v>
      </c>
    </row>
    <row r="3714" spans="15:16" x14ac:dyDescent="0.35">
      <c r="O3714" s="18">
        <v>44935</v>
      </c>
      <c r="P3714">
        <v>3262.55</v>
      </c>
    </row>
    <row r="3715" spans="15:16" x14ac:dyDescent="0.35">
      <c r="O3715" s="18">
        <v>44936</v>
      </c>
      <c r="P3715">
        <v>3167.55</v>
      </c>
    </row>
    <row r="3716" spans="15:16" x14ac:dyDescent="0.35">
      <c r="O3716" s="18">
        <v>44937</v>
      </c>
      <c r="P3716">
        <v>3137.25</v>
      </c>
    </row>
    <row r="3717" spans="15:16" x14ac:dyDescent="0.35">
      <c r="O3717" s="18">
        <v>44938</v>
      </c>
      <c r="P3717">
        <v>3103.25</v>
      </c>
    </row>
    <row r="3718" spans="15:16" x14ac:dyDescent="0.35">
      <c r="O3718" s="18">
        <v>44939</v>
      </c>
      <c r="P3718">
        <v>3162.05</v>
      </c>
    </row>
    <row r="3719" spans="15:16" x14ac:dyDescent="0.35">
      <c r="O3719" s="18">
        <v>44942</v>
      </c>
      <c r="P3719">
        <v>3139.05</v>
      </c>
    </row>
    <row r="3720" spans="15:16" x14ac:dyDescent="0.35">
      <c r="O3720" s="18">
        <v>44943</v>
      </c>
      <c r="P3720">
        <v>3179.95</v>
      </c>
    </row>
    <row r="3721" spans="15:16" x14ac:dyDescent="0.35">
      <c r="O3721" s="18">
        <v>44944</v>
      </c>
      <c r="P3721">
        <v>3177.6</v>
      </c>
    </row>
    <row r="3722" spans="15:16" x14ac:dyDescent="0.35">
      <c r="O3722" s="18">
        <v>44945</v>
      </c>
      <c r="P3722">
        <v>3166.7</v>
      </c>
    </row>
    <row r="3723" spans="15:16" x14ac:dyDescent="0.35">
      <c r="O3723" s="18">
        <v>44946</v>
      </c>
      <c r="P3723">
        <v>3150.5</v>
      </c>
    </row>
    <row r="3724" spans="15:16" x14ac:dyDescent="0.35">
      <c r="O3724" s="18">
        <v>44949</v>
      </c>
      <c r="P3724">
        <v>3203.35</v>
      </c>
    </row>
    <row r="3725" spans="15:16" x14ac:dyDescent="0.35">
      <c r="O3725" s="18">
        <v>44950</v>
      </c>
      <c r="P3725">
        <v>3226.55</v>
      </c>
    </row>
    <row r="3726" spans="15:16" x14ac:dyDescent="0.35">
      <c r="O3726" s="18">
        <v>44951</v>
      </c>
      <c r="P3726">
        <v>3213.85</v>
      </c>
    </row>
    <row r="3727" spans="15:16" x14ac:dyDescent="0.35">
      <c r="O3727" s="18">
        <v>44953</v>
      </c>
      <c r="P3727">
        <v>3169.75</v>
      </c>
    </row>
    <row r="3728" spans="15:16" x14ac:dyDescent="0.35">
      <c r="O3728" s="18">
        <v>44956</v>
      </c>
      <c r="P3728">
        <v>3191.45</v>
      </c>
    </row>
    <row r="3729" spans="15:16" x14ac:dyDescent="0.35">
      <c r="O3729" s="18">
        <v>44957</v>
      </c>
      <c r="P3729">
        <v>3263.35</v>
      </c>
    </row>
    <row r="3730" spans="15:16" x14ac:dyDescent="0.35">
      <c r="O3730" s="18">
        <v>44958</v>
      </c>
      <c r="P3730">
        <v>3303.1</v>
      </c>
    </row>
    <row r="3731" spans="15:16" x14ac:dyDescent="0.35">
      <c r="O3731" s="18">
        <v>44959</v>
      </c>
      <c r="P3731">
        <v>3217.3</v>
      </c>
    </row>
    <row r="3732" spans="15:16" x14ac:dyDescent="0.35">
      <c r="O3732" s="18">
        <v>44960</v>
      </c>
      <c r="P3732">
        <v>3316.7</v>
      </c>
    </row>
    <row r="3733" spans="15:16" x14ac:dyDescent="0.35">
      <c r="O3733" s="18">
        <v>44963</v>
      </c>
      <c r="P3733">
        <v>3260.7</v>
      </c>
    </row>
    <row r="3734" spans="15:16" x14ac:dyDescent="0.35">
      <c r="O3734" s="18">
        <v>44964</v>
      </c>
      <c r="P3734">
        <v>3274.7</v>
      </c>
    </row>
    <row r="3735" spans="15:16" x14ac:dyDescent="0.35">
      <c r="O3735" s="18">
        <v>44965</v>
      </c>
      <c r="P3735">
        <v>3228</v>
      </c>
    </row>
    <row r="3736" spans="15:16" x14ac:dyDescent="0.35">
      <c r="O3736" s="18">
        <v>44966</v>
      </c>
      <c r="P3736">
        <v>3237.15</v>
      </c>
    </row>
    <row r="3737" spans="15:16" x14ac:dyDescent="0.35">
      <c r="O3737" s="18">
        <v>44967</v>
      </c>
      <c r="P3737">
        <v>3212.35</v>
      </c>
    </row>
    <row r="3738" spans="15:16" x14ac:dyDescent="0.35">
      <c r="O3738" s="18">
        <v>44970</v>
      </c>
      <c r="P3738">
        <v>3252.65</v>
      </c>
    </row>
    <row r="3739" spans="15:16" x14ac:dyDescent="0.35">
      <c r="O3739" s="18">
        <v>44971</v>
      </c>
      <c r="P3739">
        <v>3175.7</v>
      </c>
    </row>
    <row r="3740" spans="15:16" x14ac:dyDescent="0.35">
      <c r="O3740" s="18">
        <v>44972</v>
      </c>
      <c r="P3740">
        <v>3311.15</v>
      </c>
    </row>
    <row r="3741" spans="15:16" x14ac:dyDescent="0.35">
      <c r="O3741" s="18">
        <v>44973</v>
      </c>
      <c r="P3741">
        <v>3289.1</v>
      </c>
    </row>
    <row r="3742" spans="15:16" x14ac:dyDescent="0.35">
      <c r="O3742" s="18">
        <v>44974</v>
      </c>
      <c r="P3742">
        <v>3285</v>
      </c>
    </row>
    <row r="3743" spans="15:16" x14ac:dyDescent="0.35">
      <c r="O3743" s="18">
        <v>44977</v>
      </c>
      <c r="P3743">
        <v>3290.5</v>
      </c>
    </row>
    <row r="3744" spans="15:16" x14ac:dyDescent="0.35">
      <c r="O3744" s="18">
        <v>44978</v>
      </c>
      <c r="P3744">
        <v>3274.15</v>
      </c>
    </row>
    <row r="3745" spans="15:16" x14ac:dyDescent="0.35">
      <c r="O3745" s="18">
        <v>44979</v>
      </c>
      <c r="P3745">
        <v>3249.7</v>
      </c>
    </row>
    <row r="3746" spans="15:16" x14ac:dyDescent="0.35">
      <c r="O3746" s="18">
        <v>44980</v>
      </c>
      <c r="P3746">
        <v>3241.95</v>
      </c>
    </row>
    <row r="3747" spans="15:16" x14ac:dyDescent="0.35">
      <c r="O3747" s="18">
        <v>44981</v>
      </c>
      <c r="P3747">
        <v>3205.6</v>
      </c>
    </row>
    <row r="3748" spans="15:16" x14ac:dyDescent="0.35">
      <c r="O3748" s="18">
        <v>44984</v>
      </c>
      <c r="P3748">
        <v>3131.05</v>
      </c>
    </row>
    <row r="3749" spans="15:16" x14ac:dyDescent="0.35">
      <c r="O3749" s="18">
        <v>44985</v>
      </c>
      <c r="P3749">
        <v>3105.9</v>
      </c>
    </row>
    <row r="3750" spans="15:16" x14ac:dyDescent="0.35">
      <c r="O3750" s="18">
        <v>44986</v>
      </c>
      <c r="P3750">
        <v>3138.8</v>
      </c>
    </row>
    <row r="3751" spans="15:16" x14ac:dyDescent="0.35">
      <c r="O3751" s="18">
        <v>44987</v>
      </c>
      <c r="P3751">
        <v>3125.5</v>
      </c>
    </row>
    <row r="3752" spans="15:16" x14ac:dyDescent="0.35">
      <c r="O3752" s="18">
        <v>44988</v>
      </c>
      <c r="P3752">
        <v>3127.3</v>
      </c>
    </row>
    <row r="3753" spans="15:16" x14ac:dyDescent="0.35">
      <c r="O3753" s="18">
        <v>44991</v>
      </c>
      <c r="P3753">
        <v>3166.2</v>
      </c>
    </row>
    <row r="3754" spans="15:16" x14ac:dyDescent="0.35">
      <c r="O3754" s="18">
        <v>44993</v>
      </c>
      <c r="P3754">
        <v>3204.4</v>
      </c>
    </row>
    <row r="3755" spans="15:16" x14ac:dyDescent="0.35">
      <c r="O3755" s="18">
        <v>44994</v>
      </c>
      <c r="P3755">
        <v>3146.7</v>
      </c>
    </row>
    <row r="3756" spans="15:16" x14ac:dyDescent="0.35">
      <c r="O3756" s="18">
        <v>44995</v>
      </c>
      <c r="P3756">
        <v>3116.1</v>
      </c>
    </row>
    <row r="3757" spans="15:16" x14ac:dyDescent="0.35">
      <c r="O3757" s="18">
        <v>44998</v>
      </c>
      <c r="P3757">
        <v>3033.4</v>
      </c>
    </row>
    <row r="3758" spans="15:16" x14ac:dyDescent="0.35">
      <c r="O3758" s="18">
        <v>44999</v>
      </c>
      <c r="P3758">
        <v>3016.9</v>
      </c>
    </row>
    <row r="3759" spans="15:16" x14ac:dyDescent="0.35">
      <c r="O3759" s="18">
        <v>45000</v>
      </c>
      <c r="P3759">
        <v>3006.9</v>
      </c>
    </row>
    <row r="3760" spans="15:16" x14ac:dyDescent="0.35">
      <c r="O3760" s="18">
        <v>45001</v>
      </c>
      <c r="P3760">
        <v>3035.45</v>
      </c>
    </row>
    <row r="3761" spans="15:16" x14ac:dyDescent="0.35">
      <c r="O3761" s="18">
        <v>45002</v>
      </c>
      <c r="P3761">
        <v>2974.6</v>
      </c>
    </row>
    <row r="3762" spans="15:16" x14ac:dyDescent="0.35">
      <c r="O3762" s="18">
        <v>45005</v>
      </c>
      <c r="P3762">
        <v>2952</v>
      </c>
    </row>
    <row r="3763" spans="15:16" x14ac:dyDescent="0.35">
      <c r="O3763" s="18">
        <v>45006</v>
      </c>
      <c r="P3763">
        <v>2934.8</v>
      </c>
    </row>
    <row r="3764" spans="15:16" x14ac:dyDescent="0.35">
      <c r="O3764" s="18">
        <v>45007</v>
      </c>
      <c r="P3764">
        <v>2946.55</v>
      </c>
    </row>
    <row r="3765" spans="15:16" x14ac:dyDescent="0.35">
      <c r="O3765" s="18">
        <v>45008</v>
      </c>
      <c r="P3765">
        <v>2927.7</v>
      </c>
    </row>
    <row r="3766" spans="15:16" x14ac:dyDescent="0.35">
      <c r="O3766" s="18">
        <v>45009</v>
      </c>
      <c r="P3766">
        <v>2909.6</v>
      </c>
    </row>
    <row r="3767" spans="15:16" x14ac:dyDescent="0.35">
      <c r="O3767" s="18">
        <v>45012</v>
      </c>
      <c r="P3767">
        <v>2885.55</v>
      </c>
    </row>
    <row r="3768" spans="15:16" x14ac:dyDescent="0.35">
      <c r="O3768" s="18">
        <v>45013</v>
      </c>
      <c r="P3768">
        <v>2852.4</v>
      </c>
    </row>
    <row r="3769" spans="15:16" x14ac:dyDescent="0.35">
      <c r="O3769" s="18">
        <v>45014</v>
      </c>
      <c r="P3769">
        <v>2933.7</v>
      </c>
    </row>
    <row r="3770" spans="15:16" x14ac:dyDescent="0.35">
      <c r="O3770" s="18">
        <v>45016</v>
      </c>
      <c r="P3770">
        <v>2948.85</v>
      </c>
    </row>
    <row r="3771" spans="15:16" x14ac:dyDescent="0.35">
      <c r="O3771" s="18">
        <v>45019</v>
      </c>
      <c r="P3771">
        <v>3004.3</v>
      </c>
    </row>
    <row r="3772" spans="15:16" x14ac:dyDescent="0.35">
      <c r="O3772" s="18">
        <v>45021</v>
      </c>
      <c r="P3772">
        <v>2933.75</v>
      </c>
    </row>
    <row r="3773" spans="15:16" x14ac:dyDescent="0.35">
      <c r="O3773" s="18">
        <v>45022</v>
      </c>
      <c r="P3773">
        <v>2961.7</v>
      </c>
    </row>
    <row r="3774" spans="15:16" x14ac:dyDescent="0.35">
      <c r="O3774" s="18">
        <v>45026</v>
      </c>
      <c r="P3774">
        <v>2970.45</v>
      </c>
    </row>
    <row r="3775" spans="15:16" x14ac:dyDescent="0.35">
      <c r="O3775" s="18">
        <v>45027</v>
      </c>
      <c r="P3775">
        <v>3054.2</v>
      </c>
    </row>
    <row r="3776" spans="15:16" x14ac:dyDescent="0.35">
      <c r="O3776" s="18">
        <v>45028</v>
      </c>
      <c r="P3776">
        <v>3128.35</v>
      </c>
    </row>
    <row r="3777" spans="15:16" x14ac:dyDescent="0.35">
      <c r="O3777" s="18">
        <v>45029</v>
      </c>
      <c r="P3777">
        <v>3213.05</v>
      </c>
    </row>
    <row r="3778" spans="15:16" x14ac:dyDescent="0.35">
      <c r="O3778" s="18">
        <v>45033</v>
      </c>
      <c r="P3778">
        <v>3229</v>
      </c>
    </row>
    <row r="3779" spans="15:16" x14ac:dyDescent="0.35">
      <c r="O3779" s="18">
        <v>45034</v>
      </c>
      <c r="P3779">
        <v>3263.55</v>
      </c>
    </row>
    <row r="3780" spans="15:16" x14ac:dyDescent="0.35">
      <c r="O3780" s="18">
        <v>45035</v>
      </c>
      <c r="P3780">
        <v>3289.6</v>
      </c>
    </row>
    <row r="3781" spans="15:16" x14ac:dyDescent="0.35">
      <c r="O3781" s="18">
        <v>45036</v>
      </c>
      <c r="P3781">
        <v>3246.95</v>
      </c>
    </row>
    <row r="3782" spans="15:16" x14ac:dyDescent="0.35">
      <c r="O3782" s="18">
        <v>45037</v>
      </c>
      <c r="P3782">
        <v>3200.7</v>
      </c>
    </row>
    <row r="3783" spans="15:16" x14ac:dyDescent="0.35">
      <c r="O3783" s="18">
        <v>45040</v>
      </c>
      <c r="P3783">
        <v>3182.8</v>
      </c>
    </row>
    <row r="3784" spans="15:16" x14ac:dyDescent="0.35">
      <c r="O3784" s="18">
        <v>45041</v>
      </c>
      <c r="P3784">
        <v>3217.95</v>
      </c>
    </row>
    <row r="3785" spans="15:16" x14ac:dyDescent="0.35">
      <c r="O3785" s="18">
        <v>45042</v>
      </c>
      <c r="P3785">
        <v>3248.35</v>
      </c>
    </row>
    <row r="3786" spans="15:16" x14ac:dyDescent="0.35">
      <c r="O3786" s="18">
        <v>45043</v>
      </c>
      <c r="P3786">
        <v>3263.55</v>
      </c>
    </row>
    <row r="3787" spans="15:16" x14ac:dyDescent="0.35">
      <c r="O3787" s="18">
        <v>45044</v>
      </c>
      <c r="P3787">
        <v>3301.1</v>
      </c>
    </row>
    <row r="3788" spans="15:16" x14ac:dyDescent="0.35">
      <c r="O3788" s="18">
        <v>45048</v>
      </c>
      <c r="P3788">
        <v>3356.15</v>
      </c>
    </row>
    <row r="3789" spans="15:16" x14ac:dyDescent="0.35">
      <c r="O3789" s="18">
        <v>45049</v>
      </c>
      <c r="P3789">
        <v>3348.35</v>
      </c>
    </row>
    <row r="3790" spans="15:16" x14ac:dyDescent="0.35">
      <c r="O3790" s="18">
        <v>45050</v>
      </c>
      <c r="P3790">
        <v>3339.3</v>
      </c>
    </row>
    <row r="3791" spans="15:16" x14ac:dyDescent="0.35">
      <c r="O3791" s="18">
        <v>45051</v>
      </c>
      <c r="P3791">
        <v>3355.1</v>
      </c>
    </row>
    <row r="3792" spans="15:16" x14ac:dyDescent="0.35">
      <c r="O3792" s="18">
        <v>45054</v>
      </c>
      <c r="P3792">
        <v>3392.9</v>
      </c>
    </row>
    <row r="3793" spans="15:16" x14ac:dyDescent="0.35">
      <c r="O3793" s="18">
        <v>45055</v>
      </c>
      <c r="P3793">
        <v>3381.9</v>
      </c>
    </row>
    <row r="3794" spans="15:16" x14ac:dyDescent="0.35">
      <c r="O3794" s="18">
        <v>45056</v>
      </c>
      <c r="P3794">
        <v>3416.75</v>
      </c>
    </row>
    <row r="3795" spans="15:16" x14ac:dyDescent="0.35">
      <c r="O3795" s="18">
        <v>45057</v>
      </c>
      <c r="P3795">
        <v>3405.3</v>
      </c>
    </row>
    <row r="3796" spans="15:16" x14ac:dyDescent="0.35">
      <c r="O3796" s="18">
        <v>45058</v>
      </c>
      <c r="P3796">
        <v>3626.35</v>
      </c>
    </row>
    <row r="3797" spans="15:16" x14ac:dyDescent="0.35">
      <c r="O3797" s="18">
        <v>45061</v>
      </c>
      <c r="P3797">
        <v>3658.5</v>
      </c>
    </row>
    <row r="3798" spans="15:16" x14ac:dyDescent="0.35">
      <c r="O3798" s="18">
        <v>45062</v>
      </c>
      <c r="P3798">
        <v>3633.2</v>
      </c>
    </row>
    <row r="3799" spans="15:16" x14ac:dyDescent="0.35">
      <c r="O3799" s="18">
        <v>45063</v>
      </c>
      <c r="P3799">
        <v>3628.75</v>
      </c>
    </row>
    <row r="3800" spans="15:16" x14ac:dyDescent="0.35">
      <c r="O3800" s="18">
        <v>45064</v>
      </c>
      <c r="P3800">
        <v>3576.15</v>
      </c>
    </row>
    <row r="3801" spans="15:16" x14ac:dyDescent="0.35">
      <c r="O3801" s="18">
        <v>45065</v>
      </c>
      <c r="P3801">
        <v>3570.9</v>
      </c>
    </row>
    <row r="3802" spans="15:16" x14ac:dyDescent="0.35">
      <c r="O3802" s="18">
        <v>45068</v>
      </c>
      <c r="P3802">
        <v>3545.45</v>
      </c>
    </row>
    <row r="3803" spans="15:16" x14ac:dyDescent="0.35">
      <c r="O3803" s="18">
        <v>45069</v>
      </c>
      <c r="P3803">
        <v>3601.6</v>
      </c>
    </row>
    <row r="3804" spans="15:16" x14ac:dyDescent="0.35">
      <c r="O3804" s="18">
        <v>45070</v>
      </c>
      <c r="P3804">
        <v>3610.9</v>
      </c>
    </row>
    <row r="3805" spans="15:16" x14ac:dyDescent="0.35">
      <c r="O3805" s="18">
        <v>45071</v>
      </c>
      <c r="P3805">
        <v>3651.5</v>
      </c>
    </row>
    <row r="3806" spans="15:16" x14ac:dyDescent="0.35">
      <c r="O3806" s="18">
        <v>45072</v>
      </c>
      <c r="P3806">
        <v>3690.35</v>
      </c>
    </row>
    <row r="3807" spans="15:16" x14ac:dyDescent="0.35">
      <c r="O3807" s="18">
        <v>45075</v>
      </c>
      <c r="P3807">
        <v>3711.45</v>
      </c>
    </row>
    <row r="3808" spans="15:16" x14ac:dyDescent="0.35">
      <c r="O3808" s="18">
        <v>45076</v>
      </c>
      <c r="P3808">
        <v>3678.35</v>
      </c>
    </row>
    <row r="3809" spans="15:16" x14ac:dyDescent="0.35">
      <c r="O3809" s="18">
        <v>45077</v>
      </c>
      <c r="P3809">
        <v>3671.95</v>
      </c>
    </row>
    <row r="3810" spans="15:16" x14ac:dyDescent="0.35">
      <c r="O3810" s="18">
        <v>45078</v>
      </c>
      <c r="P3810">
        <v>3716.05</v>
      </c>
    </row>
    <row r="3811" spans="15:16" x14ac:dyDescent="0.35">
      <c r="O3811" s="18">
        <v>45079</v>
      </c>
      <c r="P3811">
        <v>3699.4</v>
      </c>
    </row>
    <row r="3812" spans="15:16" x14ac:dyDescent="0.35">
      <c r="O3812" s="18">
        <v>45082</v>
      </c>
      <c r="P3812">
        <v>3673.25</v>
      </c>
    </row>
    <row r="3813" spans="15:16" x14ac:dyDescent="0.35">
      <c r="O3813" s="18">
        <v>45083</v>
      </c>
      <c r="P3813">
        <v>3705.1</v>
      </c>
    </row>
    <row r="3814" spans="15:16" x14ac:dyDescent="0.35">
      <c r="O3814" s="18">
        <v>45084</v>
      </c>
      <c r="P3814">
        <v>3727.4</v>
      </c>
    </row>
    <row r="3815" spans="15:16" x14ac:dyDescent="0.35">
      <c r="O3815" s="18">
        <v>45085</v>
      </c>
      <c r="P3815">
        <v>3657.4</v>
      </c>
    </row>
    <row r="3816" spans="15:16" x14ac:dyDescent="0.35">
      <c r="O3816" s="18">
        <v>45086</v>
      </c>
      <c r="P3816">
        <v>3581.3</v>
      </c>
    </row>
    <row r="3817" spans="15:16" x14ac:dyDescent="0.35">
      <c r="O3817" s="18">
        <v>45089</v>
      </c>
      <c r="P3817">
        <v>3590.6</v>
      </c>
    </row>
    <row r="3818" spans="15:16" x14ac:dyDescent="0.35">
      <c r="O3818" s="18">
        <v>45090</v>
      </c>
      <c r="P3818">
        <v>3592.65</v>
      </c>
    </row>
    <row r="3819" spans="15:16" x14ac:dyDescent="0.35">
      <c r="O3819" s="18">
        <v>45091</v>
      </c>
      <c r="P3819">
        <v>3572.05</v>
      </c>
    </row>
    <row r="3820" spans="15:16" x14ac:dyDescent="0.35">
      <c r="O3820" s="18">
        <v>45092</v>
      </c>
      <c r="P3820">
        <v>3534.7</v>
      </c>
    </row>
    <row r="3821" spans="15:16" x14ac:dyDescent="0.35">
      <c r="O3821" s="18">
        <v>45093</v>
      </c>
      <c r="P3821">
        <v>3538.9</v>
      </c>
    </row>
    <row r="3822" spans="15:16" x14ac:dyDescent="0.35">
      <c r="O3822" s="18">
        <v>45096</v>
      </c>
      <c r="P3822">
        <v>3496.65</v>
      </c>
    </row>
    <row r="3823" spans="15:16" x14ac:dyDescent="0.35">
      <c r="O3823" s="18">
        <v>45097</v>
      </c>
      <c r="P3823">
        <v>3562.1</v>
      </c>
    </row>
    <row r="3824" spans="15:16" x14ac:dyDescent="0.35">
      <c r="O3824" s="18">
        <v>45098</v>
      </c>
      <c r="P3824">
        <v>3570.45</v>
      </c>
    </row>
    <row r="3825" spans="15:16" x14ac:dyDescent="0.35">
      <c r="O3825" s="18">
        <v>45099</v>
      </c>
      <c r="P3825">
        <v>3558.6</v>
      </c>
    </row>
    <row r="3826" spans="15:16" x14ac:dyDescent="0.35">
      <c r="O3826" s="18">
        <v>45100</v>
      </c>
      <c r="P3826">
        <v>3539.2</v>
      </c>
    </row>
    <row r="3827" spans="15:16" x14ac:dyDescent="0.35">
      <c r="O3827" s="18">
        <v>45103</v>
      </c>
      <c r="P3827">
        <v>3551.65</v>
      </c>
    </row>
    <row r="3828" spans="15:16" x14ac:dyDescent="0.35">
      <c r="O3828" s="18">
        <v>45104</v>
      </c>
      <c r="P3828">
        <v>3535.75</v>
      </c>
    </row>
    <row r="3829" spans="15:16" x14ac:dyDescent="0.35">
      <c r="O3829" s="18">
        <v>45105</v>
      </c>
      <c r="P3829">
        <v>3544.85</v>
      </c>
    </row>
    <row r="3830" spans="15:16" x14ac:dyDescent="0.35">
      <c r="O3830" s="18">
        <v>45107</v>
      </c>
      <c r="P3830">
        <v>3580.1</v>
      </c>
    </row>
    <row r="3831" spans="15:16" x14ac:dyDescent="0.35">
      <c r="O3831" s="18">
        <v>45110</v>
      </c>
      <c r="P3831">
        <v>3630.85</v>
      </c>
    </row>
    <row r="3832" spans="15:16" x14ac:dyDescent="0.35">
      <c r="O3832" s="18">
        <v>45111</v>
      </c>
      <c r="P3832">
        <v>3401.8</v>
      </c>
    </row>
    <row r="3833" spans="15:16" x14ac:dyDescent="0.35">
      <c r="O3833" s="18">
        <v>45112</v>
      </c>
      <c r="P3833">
        <v>3309.75</v>
      </c>
    </row>
    <row r="3834" spans="15:16" x14ac:dyDescent="0.35">
      <c r="O3834" s="18">
        <v>45113</v>
      </c>
      <c r="P3834">
        <v>3222.2</v>
      </c>
    </row>
    <row r="3835" spans="15:16" x14ac:dyDescent="0.35">
      <c r="O3835" s="18">
        <v>45114</v>
      </c>
      <c r="P3835">
        <v>3184.8</v>
      </c>
    </row>
    <row r="3836" spans="15:16" x14ac:dyDescent="0.35">
      <c r="O3836" s="18">
        <v>45117</v>
      </c>
      <c r="P3836">
        <v>3173.9</v>
      </c>
    </row>
    <row r="3837" spans="15:16" x14ac:dyDescent="0.35">
      <c r="O3837" s="18">
        <v>45118</v>
      </c>
      <c r="P3837">
        <v>3253.05</v>
      </c>
    </row>
    <row r="3838" spans="15:16" x14ac:dyDescent="0.35">
      <c r="O3838" s="18">
        <v>45119</v>
      </c>
      <c r="P3838">
        <v>3291.65</v>
      </c>
    </row>
    <row r="3839" spans="15:16" x14ac:dyDescent="0.35">
      <c r="O3839" s="18">
        <v>45120</v>
      </c>
      <c r="P3839">
        <v>3257.15</v>
      </c>
    </row>
    <row r="3840" spans="15:16" x14ac:dyDescent="0.35">
      <c r="O3840" s="18">
        <v>45121</v>
      </c>
      <c r="P3840">
        <v>3347.1</v>
      </c>
    </row>
    <row r="3841" spans="15:16" x14ac:dyDescent="0.35">
      <c r="O3841" s="18">
        <v>45124</v>
      </c>
      <c r="P3841">
        <v>3349.9</v>
      </c>
    </row>
    <row r="3842" spans="15:16" x14ac:dyDescent="0.35">
      <c r="O3842" s="18">
        <v>45125</v>
      </c>
      <c r="P3842">
        <v>3349.25</v>
      </c>
    </row>
    <row r="3843" spans="15:16" x14ac:dyDescent="0.35">
      <c r="O3843" s="18">
        <v>45126</v>
      </c>
      <c r="P3843">
        <v>3330.15</v>
      </c>
    </row>
    <row r="3844" spans="15:16" x14ac:dyDescent="0.35">
      <c r="O3844" s="18">
        <v>45127</v>
      </c>
      <c r="P3844">
        <v>3317.1</v>
      </c>
    </row>
    <row r="3845" spans="15:16" x14ac:dyDescent="0.35">
      <c r="O3845" s="18">
        <v>45128</v>
      </c>
      <c r="P3845">
        <v>3315.5</v>
      </c>
    </row>
    <row r="3846" spans="15:16" x14ac:dyDescent="0.35">
      <c r="O3846" s="18">
        <v>45131</v>
      </c>
      <c r="P3846">
        <v>3307.85</v>
      </c>
    </row>
    <row r="3847" spans="15:16" x14ac:dyDescent="0.35">
      <c r="O3847" s="18">
        <v>45132</v>
      </c>
      <c r="P3847">
        <v>3326.2</v>
      </c>
    </row>
    <row r="3848" spans="15:16" x14ac:dyDescent="0.35">
      <c r="O3848" s="18">
        <v>45133</v>
      </c>
      <c r="P3848">
        <v>3353.65</v>
      </c>
    </row>
    <row r="3849" spans="15:16" x14ac:dyDescent="0.35">
      <c r="O3849" s="18">
        <v>45134</v>
      </c>
      <c r="P3849">
        <v>3327.9</v>
      </c>
    </row>
    <row r="3850" spans="15:16" x14ac:dyDescent="0.35">
      <c r="O3850" s="18">
        <v>45135</v>
      </c>
      <c r="P3850">
        <v>3355.2</v>
      </c>
    </row>
    <row r="3851" spans="15:16" x14ac:dyDescent="0.35">
      <c r="O3851" s="18">
        <v>45138</v>
      </c>
      <c r="P3851">
        <v>3365.5</v>
      </c>
    </row>
    <row r="3852" spans="15:16" x14ac:dyDescent="0.35">
      <c r="O3852" s="18">
        <v>45139</v>
      </c>
      <c r="P3852">
        <v>3415.9</v>
      </c>
    </row>
    <row r="3853" spans="15:16" x14ac:dyDescent="0.35">
      <c r="O3853" s="18">
        <v>45140</v>
      </c>
      <c r="P3853">
        <v>3332.7</v>
      </c>
    </row>
    <row r="3854" spans="15:16" x14ac:dyDescent="0.35">
      <c r="O3854" s="18">
        <v>45141</v>
      </c>
      <c r="P3854">
        <v>3379.7</v>
      </c>
    </row>
    <row r="3855" spans="15:16" x14ac:dyDescent="0.35">
      <c r="O3855" s="18">
        <v>45142</v>
      </c>
      <c r="P3855">
        <v>3359.55</v>
      </c>
    </row>
    <row r="3856" spans="15:16" x14ac:dyDescent="0.35">
      <c r="O3856" s="18">
        <v>45145</v>
      </c>
      <c r="P3856">
        <v>3355.85</v>
      </c>
    </row>
    <row r="3857" spans="15:16" x14ac:dyDescent="0.35">
      <c r="O3857" s="18">
        <v>45146</v>
      </c>
      <c r="P3857">
        <v>3372</v>
      </c>
    </row>
    <row r="3858" spans="15:16" x14ac:dyDescent="0.35">
      <c r="O3858" s="18">
        <v>45147</v>
      </c>
      <c r="P3858">
        <v>3412.6</v>
      </c>
    </row>
    <row r="3859" spans="15:16" x14ac:dyDescent="0.35">
      <c r="O3859" s="18">
        <v>45148</v>
      </c>
      <c r="P3859">
        <v>3414.7</v>
      </c>
    </row>
    <row r="3860" spans="15:16" x14ac:dyDescent="0.35">
      <c r="O3860" s="18">
        <v>45149</v>
      </c>
      <c r="P3860">
        <v>3389.2</v>
      </c>
    </row>
    <row r="3861" spans="15:16" x14ac:dyDescent="0.35">
      <c r="O3861" s="18">
        <v>45152</v>
      </c>
      <c r="P3861">
        <v>3338.7</v>
      </c>
    </row>
    <row r="3862" spans="15:16" x14ac:dyDescent="0.35">
      <c r="O3862" s="18">
        <v>45154</v>
      </c>
      <c r="P3862">
        <v>3327.2</v>
      </c>
    </row>
    <row r="3863" spans="15:16" x14ac:dyDescent="0.35">
      <c r="O3863" s="18">
        <v>45155</v>
      </c>
      <c r="P3863">
        <v>3298.45</v>
      </c>
    </row>
    <row r="3864" spans="15:16" x14ac:dyDescent="0.35">
      <c r="O3864" s="18">
        <v>45156</v>
      </c>
      <c r="P3864">
        <v>3349.6</v>
      </c>
    </row>
    <row r="3865" spans="15:16" x14ac:dyDescent="0.35">
      <c r="O3865" s="18">
        <v>45159</v>
      </c>
      <c r="P3865">
        <v>3365.55</v>
      </c>
    </row>
    <row r="3866" spans="15:16" x14ac:dyDescent="0.35">
      <c r="O3866" s="18">
        <v>45160</v>
      </c>
      <c r="P3866">
        <v>3343.4</v>
      </c>
    </row>
    <row r="3867" spans="15:16" x14ac:dyDescent="0.35">
      <c r="O3867" s="18">
        <v>45161</v>
      </c>
      <c r="P3867">
        <v>3358</v>
      </c>
    </row>
    <row r="3868" spans="15:16" x14ac:dyDescent="0.35">
      <c r="O3868" s="18">
        <v>45162</v>
      </c>
      <c r="P3868">
        <v>3341.65</v>
      </c>
    </row>
    <row r="3869" spans="15:16" x14ac:dyDescent="0.35">
      <c r="O3869" s="18">
        <v>45163</v>
      </c>
      <c r="P3869">
        <v>3341.15</v>
      </c>
    </row>
    <row r="3870" spans="15:16" x14ac:dyDescent="0.35">
      <c r="O3870" s="18">
        <v>45166</v>
      </c>
      <c r="P3870">
        <v>3348.35</v>
      </c>
    </row>
    <row r="3871" spans="15:16" x14ac:dyDescent="0.35">
      <c r="O3871" s="18">
        <v>45167</v>
      </c>
      <c r="P3871">
        <v>3355.35</v>
      </c>
    </row>
    <row r="3872" spans="15:16" x14ac:dyDescent="0.35">
      <c r="O3872" s="18">
        <v>45168</v>
      </c>
      <c r="P3872">
        <v>3405.75</v>
      </c>
    </row>
    <row r="3873" spans="15:16" x14ac:dyDescent="0.35">
      <c r="O3873" s="18">
        <v>45169</v>
      </c>
      <c r="P3873">
        <v>3336.6</v>
      </c>
    </row>
    <row r="3874" spans="15:16" x14ac:dyDescent="0.35">
      <c r="O3874" s="18">
        <v>45170</v>
      </c>
      <c r="P3874">
        <v>3400.4</v>
      </c>
    </row>
    <row r="3875" spans="15:16" x14ac:dyDescent="0.35">
      <c r="O3875" s="18">
        <v>45173</v>
      </c>
      <c r="P3875">
        <v>3434.15</v>
      </c>
    </row>
    <row r="3876" spans="15:16" x14ac:dyDescent="0.35">
      <c r="O3876" s="18">
        <v>45174</v>
      </c>
      <c r="P3876">
        <v>3403.45</v>
      </c>
    </row>
    <row r="3877" spans="15:16" x14ac:dyDescent="0.35">
      <c r="O3877" s="18">
        <v>45175</v>
      </c>
      <c r="P3877">
        <v>3391.3</v>
      </c>
    </row>
    <row r="3878" spans="15:16" x14ac:dyDescent="0.35">
      <c r="O3878" s="18">
        <v>45176</v>
      </c>
      <c r="P3878">
        <v>3402.45</v>
      </c>
    </row>
    <row r="3879" spans="15:16" x14ac:dyDescent="0.35">
      <c r="O3879" s="18">
        <v>45177</v>
      </c>
      <c r="P3879">
        <v>3370.9</v>
      </c>
    </row>
    <row r="3880" spans="15:16" x14ac:dyDescent="0.35">
      <c r="O3880" s="18">
        <v>45180</v>
      </c>
      <c r="P3880">
        <v>3404.5</v>
      </c>
    </row>
    <row r="3881" spans="15:16" x14ac:dyDescent="0.35">
      <c r="O3881" s="18">
        <v>45181</v>
      </c>
      <c r="P3881">
        <v>3341.25</v>
      </c>
    </row>
    <row r="3882" spans="15:16" x14ac:dyDescent="0.35">
      <c r="O3882" s="18">
        <v>45182</v>
      </c>
      <c r="P3882">
        <v>3320.3</v>
      </c>
    </row>
    <row r="3883" spans="15:16" x14ac:dyDescent="0.35">
      <c r="O3883" s="18">
        <v>45183</v>
      </c>
      <c r="P3883">
        <v>3381.4</v>
      </c>
    </row>
    <row r="3884" spans="15:16" x14ac:dyDescent="0.35">
      <c r="O3884" s="18">
        <v>45184</v>
      </c>
      <c r="P3884">
        <v>3427.2</v>
      </c>
    </row>
    <row r="3885" spans="15:16" x14ac:dyDescent="0.35">
      <c r="O3885" s="18">
        <v>45187</v>
      </c>
      <c r="P3885">
        <v>3431.75</v>
      </c>
    </row>
    <row r="3886" spans="15:16" x14ac:dyDescent="0.35">
      <c r="O3886" s="18">
        <v>45189</v>
      </c>
      <c r="P3886">
        <v>3441.2</v>
      </c>
    </row>
    <row r="3887" spans="15:16" x14ac:dyDescent="0.35">
      <c r="O3887" s="18">
        <v>45190</v>
      </c>
      <c r="P3887">
        <v>3435.85</v>
      </c>
    </row>
    <row r="3888" spans="15:16" x14ac:dyDescent="0.35">
      <c r="O3888" s="18">
        <v>45191</v>
      </c>
      <c r="P3888">
        <v>3409.45</v>
      </c>
    </row>
    <row r="3889" spans="15:16" x14ac:dyDescent="0.35">
      <c r="O3889" s="18">
        <v>45194</v>
      </c>
      <c r="P3889">
        <v>3386.65</v>
      </c>
    </row>
    <row r="3890" spans="15:16" x14ac:dyDescent="0.35">
      <c r="O3890" s="18">
        <v>45195</v>
      </c>
      <c r="P3890">
        <v>3472.15</v>
      </c>
    </row>
    <row r="3891" spans="15:16" x14ac:dyDescent="0.35">
      <c r="O3891" s="18">
        <v>45196</v>
      </c>
      <c r="P3891">
        <v>3479.7</v>
      </c>
    </row>
    <row r="3892" spans="15:16" x14ac:dyDescent="0.35">
      <c r="O3892" s="18">
        <v>45197</v>
      </c>
      <c r="P3892">
        <v>3440.25</v>
      </c>
    </row>
    <row r="3893" spans="15:16" x14ac:dyDescent="0.35">
      <c r="O3893" s="18">
        <v>45198</v>
      </c>
      <c r="P3893">
        <v>3446.95</v>
      </c>
    </row>
    <row r="3894" spans="15:16" x14ac:dyDescent="0.35">
      <c r="O3894" s="18">
        <v>45202</v>
      </c>
      <c r="P3894">
        <v>3351.4</v>
      </c>
    </row>
    <row r="3895" spans="15:16" x14ac:dyDescent="0.35">
      <c r="O3895" s="18">
        <v>45203</v>
      </c>
      <c r="P3895">
        <v>3400.9</v>
      </c>
    </row>
    <row r="3896" spans="15:16" x14ac:dyDescent="0.35">
      <c r="O3896" s="18">
        <v>45204</v>
      </c>
      <c r="P3896">
        <v>3443.6</v>
      </c>
    </row>
    <row r="3897" spans="15:16" x14ac:dyDescent="0.35">
      <c r="O3897" s="18">
        <v>45205</v>
      </c>
      <c r="P3897">
        <v>3450.4</v>
      </c>
    </row>
    <row r="3898" spans="15:16" x14ac:dyDescent="0.35">
      <c r="O3898" s="18">
        <v>45208</v>
      </c>
      <c r="P3898">
        <v>3445.6</v>
      </c>
    </row>
    <row r="3899" spans="15:16" x14ac:dyDescent="0.35">
      <c r="O3899" s="18">
        <v>45209</v>
      </c>
      <c r="P3899">
        <v>3458.75</v>
      </c>
    </row>
    <row r="3900" spans="15:16" x14ac:dyDescent="0.35">
      <c r="O3900" s="18">
        <v>45210</v>
      </c>
      <c r="P3900">
        <v>3486.6</v>
      </c>
    </row>
    <row r="3901" spans="15:16" x14ac:dyDescent="0.35">
      <c r="O3901" s="18">
        <v>45211</v>
      </c>
      <c r="P3901">
        <v>3494.2</v>
      </c>
    </row>
    <row r="3902" spans="15:16" x14ac:dyDescent="0.35">
      <c r="O3902" s="18">
        <v>45212</v>
      </c>
      <c r="P3902">
        <v>3476.4</v>
      </c>
    </row>
    <row r="3903" spans="15:16" x14ac:dyDescent="0.35">
      <c r="O3903" s="18">
        <v>45215</v>
      </c>
      <c r="P3903">
        <v>3486.6</v>
      </c>
    </row>
    <row r="3904" spans="15:16" x14ac:dyDescent="0.35">
      <c r="O3904" s="18">
        <v>45216</v>
      </c>
      <c r="P3904">
        <v>3500.85</v>
      </c>
    </row>
    <row r="3905" spans="15:16" x14ac:dyDescent="0.35">
      <c r="O3905" s="18">
        <v>45217</v>
      </c>
      <c r="P3905">
        <v>3496.1</v>
      </c>
    </row>
    <row r="3906" spans="15:16" x14ac:dyDescent="0.35">
      <c r="O3906" s="18">
        <v>45218</v>
      </c>
      <c r="P3906">
        <v>3501.2</v>
      </c>
    </row>
    <row r="3907" spans="15:16" x14ac:dyDescent="0.35">
      <c r="O3907" s="18">
        <v>45219</v>
      </c>
      <c r="P3907">
        <v>3480.9</v>
      </c>
    </row>
    <row r="3908" spans="15:16" x14ac:dyDescent="0.35">
      <c r="O3908" s="18">
        <v>45222</v>
      </c>
      <c r="P3908">
        <v>3446.35</v>
      </c>
    </row>
    <row r="3909" spans="15:16" x14ac:dyDescent="0.35">
      <c r="O3909" s="18">
        <v>45224</v>
      </c>
      <c r="P3909">
        <v>3384.4</v>
      </c>
    </row>
    <row r="3910" spans="15:16" x14ac:dyDescent="0.35">
      <c r="O3910" s="18">
        <v>45225</v>
      </c>
      <c r="P3910">
        <v>3326.8</v>
      </c>
    </row>
    <row r="3911" spans="15:16" x14ac:dyDescent="0.35">
      <c r="O3911" s="18">
        <v>45226</v>
      </c>
      <c r="P3911">
        <v>3394.85</v>
      </c>
    </row>
    <row r="3912" spans="15:16" x14ac:dyDescent="0.35">
      <c r="O3912" s="18">
        <v>45229</v>
      </c>
      <c r="P3912">
        <v>3357.65</v>
      </c>
    </row>
    <row r="3913" spans="15:16" x14ac:dyDescent="0.35">
      <c r="O3913" s="18">
        <v>45230</v>
      </c>
      <c r="P3913">
        <v>3295.55</v>
      </c>
    </row>
    <row r="3914" spans="15:16" x14ac:dyDescent="0.35">
      <c r="O3914" s="18">
        <v>45231</v>
      </c>
      <c r="P3914">
        <v>3282.25</v>
      </c>
    </row>
    <row r="3915" spans="15:16" x14ac:dyDescent="0.35">
      <c r="O3915" s="18">
        <v>45232</v>
      </c>
      <c r="P3915">
        <v>3338.3</v>
      </c>
    </row>
    <row r="3916" spans="15:16" x14ac:dyDescent="0.35">
      <c r="O3916" s="18">
        <v>45233</v>
      </c>
      <c r="P3916">
        <v>3428</v>
      </c>
    </row>
    <row r="3917" spans="15:16" x14ac:dyDescent="0.35">
      <c r="O3917" s="18">
        <v>45236</v>
      </c>
      <c r="P3917">
        <v>3510.95</v>
      </c>
    </row>
    <row r="3918" spans="15:16" x14ac:dyDescent="0.35">
      <c r="O3918" s="18">
        <v>45237</v>
      </c>
      <c r="P3918">
        <v>3509.05</v>
      </c>
    </row>
    <row r="3919" spans="15:16" x14ac:dyDescent="0.35">
      <c r="O3919" s="18">
        <v>45238</v>
      </c>
      <c r="P3919">
        <v>3550.3</v>
      </c>
    </row>
    <row r="3920" spans="15:16" x14ac:dyDescent="0.35">
      <c r="O3920" s="18">
        <v>45239</v>
      </c>
      <c r="P3920">
        <v>3541.9</v>
      </c>
    </row>
    <row r="3921" spans="15:16" x14ac:dyDescent="0.35">
      <c r="O3921" s="18">
        <v>45240</v>
      </c>
      <c r="P3921">
        <v>3540.75</v>
      </c>
    </row>
    <row r="3922" spans="15:16" x14ac:dyDescent="0.35">
      <c r="O3922" s="18">
        <v>45242</v>
      </c>
      <c r="P3922">
        <v>3579.3</v>
      </c>
    </row>
    <row r="3923" spans="15:16" x14ac:dyDescent="0.35">
      <c r="O3923" s="18">
        <v>45243</v>
      </c>
      <c r="P3923">
        <v>3645.4</v>
      </c>
    </row>
    <row r="3924" spans="15:16" x14ac:dyDescent="0.35">
      <c r="O3924" s="18">
        <v>45245</v>
      </c>
      <c r="P3924">
        <v>3848.3</v>
      </c>
    </row>
    <row r="3925" spans="15:16" x14ac:dyDescent="0.35">
      <c r="O3925" s="18">
        <v>45246</v>
      </c>
      <c r="P3925">
        <v>3836.75</v>
      </c>
    </row>
    <row r="3926" spans="15:16" x14ac:dyDescent="0.35">
      <c r="O3926" s="18">
        <v>45247</v>
      </c>
      <c r="P3926">
        <v>3865.3</v>
      </c>
    </row>
    <row r="3927" spans="15:16" x14ac:dyDescent="0.35">
      <c r="O3927" s="18">
        <v>45250</v>
      </c>
      <c r="P3927">
        <v>3846.45</v>
      </c>
    </row>
    <row r="3928" spans="15:16" x14ac:dyDescent="0.35">
      <c r="O3928" s="18">
        <v>45251</v>
      </c>
      <c r="P3928">
        <v>3844.2</v>
      </c>
    </row>
    <row r="3929" spans="15:16" x14ac:dyDescent="0.35">
      <c r="O3929" s="18">
        <v>45252</v>
      </c>
      <c r="P3929">
        <v>3833.8</v>
      </c>
    </row>
    <row r="3930" spans="15:16" x14ac:dyDescent="0.35">
      <c r="O3930" s="18">
        <v>45253</v>
      </c>
      <c r="P3930">
        <v>3883.8</v>
      </c>
    </row>
    <row r="3931" spans="15:16" x14ac:dyDescent="0.35">
      <c r="O3931" s="18">
        <v>45254</v>
      </c>
      <c r="P3931">
        <v>3849.05</v>
      </c>
    </row>
    <row r="3932" spans="15:16" x14ac:dyDescent="0.35">
      <c r="O3932" s="18">
        <v>45258</v>
      </c>
      <c r="P3932">
        <v>3826.7</v>
      </c>
    </row>
    <row r="3933" spans="15:16" x14ac:dyDescent="0.35">
      <c r="O3933" s="18">
        <v>45259</v>
      </c>
      <c r="P3933">
        <v>3812.25</v>
      </c>
    </row>
    <row r="3934" spans="15:16" x14ac:dyDescent="0.35">
      <c r="O3934" s="18">
        <v>45260</v>
      </c>
      <c r="P3934">
        <v>3896.9</v>
      </c>
    </row>
    <row r="3935" spans="15:16" x14ac:dyDescent="0.35">
      <c r="O3935" s="18">
        <v>45261</v>
      </c>
      <c r="P3935">
        <v>3891.2</v>
      </c>
    </row>
    <row r="3936" spans="15:16" x14ac:dyDescent="0.35">
      <c r="O3936" s="18">
        <v>45264</v>
      </c>
      <c r="P3936">
        <v>4180.3500000000004</v>
      </c>
    </row>
    <row r="3937" spans="15:16" x14ac:dyDescent="0.35">
      <c r="O3937" s="18">
        <v>45265</v>
      </c>
      <c r="P3937">
        <v>4136.5</v>
      </c>
    </row>
    <row r="3938" spans="15:16" x14ac:dyDescent="0.35">
      <c r="O3938" s="18">
        <v>45266</v>
      </c>
      <c r="P3938">
        <v>4047</v>
      </c>
    </row>
    <row r="3939" spans="15:16" x14ac:dyDescent="0.35">
      <c r="O3939" s="18">
        <v>45267</v>
      </c>
      <c r="P3939">
        <v>4091</v>
      </c>
    </row>
    <row r="3940" spans="15:16" x14ac:dyDescent="0.35">
      <c r="O3940" s="18">
        <v>45268</v>
      </c>
      <c r="P3940">
        <v>4055</v>
      </c>
    </row>
    <row r="3941" spans="15:16" x14ac:dyDescent="0.35">
      <c r="O3941" s="18">
        <v>45271</v>
      </c>
      <c r="P3941">
        <v>4025.65</v>
      </c>
    </row>
    <row r="3942" spans="15:16" x14ac:dyDescent="0.35">
      <c r="O3942" s="18">
        <v>45272</v>
      </c>
      <c r="P3942">
        <v>3951.75</v>
      </c>
    </row>
    <row r="3943" spans="15:16" x14ac:dyDescent="0.35">
      <c r="O3943" s="18">
        <v>45273</v>
      </c>
      <c r="P3943">
        <v>4032.75</v>
      </c>
    </row>
    <row r="3944" spans="15:16" x14ac:dyDescent="0.35">
      <c r="O3944" s="18">
        <v>45274</v>
      </c>
      <c r="P3944">
        <v>4086.15</v>
      </c>
    </row>
    <row r="3945" spans="15:16" x14ac:dyDescent="0.35">
      <c r="O3945" s="18">
        <v>45275</v>
      </c>
      <c r="P3945">
        <v>4059.9</v>
      </c>
    </row>
    <row r="3946" spans="15:16" x14ac:dyDescent="0.35">
      <c r="O3946" s="18">
        <v>45278</v>
      </c>
      <c r="P3946">
        <v>4085.5</v>
      </c>
    </row>
    <row r="3947" spans="15:16" x14ac:dyDescent="0.35">
      <c r="O3947" s="18">
        <v>45279</v>
      </c>
      <c r="P3947">
        <v>4039.65</v>
      </c>
    </row>
    <row r="3948" spans="15:16" x14ac:dyDescent="0.35">
      <c r="O3948" s="18">
        <v>45280</v>
      </c>
      <c r="P3948">
        <v>3912.4</v>
      </c>
    </row>
    <row r="3949" spans="15:16" x14ac:dyDescent="0.35">
      <c r="O3949" s="18">
        <v>45281</v>
      </c>
      <c r="P3949">
        <v>3957.95</v>
      </c>
    </row>
    <row r="3950" spans="15:16" x14ac:dyDescent="0.35">
      <c r="O3950" s="18">
        <v>45282</v>
      </c>
      <c r="P3950">
        <v>4006.05</v>
      </c>
    </row>
    <row r="3951" spans="15:16" x14ac:dyDescent="0.35">
      <c r="O3951" s="18">
        <v>45286</v>
      </c>
      <c r="P3951">
        <v>4040.4</v>
      </c>
    </row>
    <row r="3952" spans="15:16" x14ac:dyDescent="0.35">
      <c r="O3952" s="18">
        <v>45287</v>
      </c>
      <c r="P3952">
        <v>4120</v>
      </c>
    </row>
    <row r="3953" spans="15:16" x14ac:dyDescent="0.35">
      <c r="O3953" s="18">
        <v>45288</v>
      </c>
      <c r="P3953">
        <v>4091.9</v>
      </c>
    </row>
    <row r="3954" spans="15:16" x14ac:dyDescent="0.35">
      <c r="O3954" s="18">
        <v>45289</v>
      </c>
      <c r="P3954">
        <v>4143.5</v>
      </c>
    </row>
    <row r="3955" spans="15:16" x14ac:dyDescent="0.35">
      <c r="O3955" s="18">
        <v>45292</v>
      </c>
      <c r="P3955">
        <v>4038.35</v>
      </c>
    </row>
    <row r="3956" spans="15:16" x14ac:dyDescent="0.35">
      <c r="O3956" s="18">
        <v>45293</v>
      </c>
      <c r="P3956">
        <v>3892.5</v>
      </c>
    </row>
    <row r="3957" spans="15:16" x14ac:dyDescent="0.35">
      <c r="O3957" s="18">
        <v>45294</v>
      </c>
      <c r="P3957">
        <v>3887.6</v>
      </c>
    </row>
    <row r="3958" spans="15:16" x14ac:dyDescent="0.35">
      <c r="O3958" s="18">
        <v>45295</v>
      </c>
      <c r="P3958">
        <v>3861</v>
      </c>
    </row>
    <row r="3959" spans="15:16" x14ac:dyDescent="0.35">
      <c r="O3959" s="18">
        <v>45296</v>
      </c>
      <c r="P3959">
        <v>3877.05</v>
      </c>
    </row>
    <row r="3960" spans="15:16" x14ac:dyDescent="0.35">
      <c r="O3960" s="18">
        <v>45299</v>
      </c>
      <c r="P3960">
        <v>3884.25</v>
      </c>
    </row>
    <row r="3961" spans="15:16" x14ac:dyDescent="0.35">
      <c r="O3961" s="18">
        <v>45300</v>
      </c>
      <c r="P3961">
        <v>3870.45</v>
      </c>
    </row>
    <row r="3962" spans="15:16" x14ac:dyDescent="0.35">
      <c r="O3962" s="18">
        <v>45301</v>
      </c>
      <c r="P3962">
        <v>3842.55</v>
      </c>
    </row>
    <row r="3963" spans="15:16" x14ac:dyDescent="0.35">
      <c r="O3963" s="18">
        <v>45302</v>
      </c>
      <c r="P3963">
        <v>3888.8</v>
      </c>
    </row>
    <row r="3964" spans="15:16" x14ac:dyDescent="0.35">
      <c r="O3964" s="18">
        <v>45303</v>
      </c>
      <c r="P3964">
        <v>3870.85</v>
      </c>
    </row>
    <row r="3965" spans="15:16" x14ac:dyDescent="0.35">
      <c r="O3965" s="18">
        <v>45306</v>
      </c>
      <c r="P3965">
        <v>3832.1</v>
      </c>
    </row>
    <row r="3966" spans="15:16" x14ac:dyDescent="0.35">
      <c r="O3966" s="18">
        <v>45307</v>
      </c>
      <c r="P3966">
        <v>3792.3</v>
      </c>
    </row>
    <row r="3967" spans="15:16" x14ac:dyDescent="0.35">
      <c r="O3967" s="18">
        <v>45308</v>
      </c>
      <c r="P3967">
        <v>3751.1</v>
      </c>
    </row>
    <row r="3968" spans="15:16" x14ac:dyDescent="0.35">
      <c r="O3968" s="18">
        <v>45309</v>
      </c>
      <c r="P3968">
        <v>3691.15</v>
      </c>
    </row>
    <row r="3969" spans="15:16" x14ac:dyDescent="0.35">
      <c r="O3969" s="18">
        <v>45310</v>
      </c>
      <c r="P3969">
        <v>3699.45</v>
      </c>
    </row>
    <row r="3970" spans="15:16" x14ac:dyDescent="0.35">
      <c r="O3970" s="18">
        <v>45311</v>
      </c>
      <c r="P3970">
        <v>3697.6</v>
      </c>
    </row>
    <row r="3971" spans="15:16" x14ac:dyDescent="0.35">
      <c r="O3971" s="18">
        <v>45314</v>
      </c>
      <c r="P3971">
        <v>3616.7</v>
      </c>
    </row>
    <row r="3972" spans="15:16" x14ac:dyDescent="0.35">
      <c r="O3972" s="18">
        <v>45315</v>
      </c>
      <c r="P3972">
        <v>3635</v>
      </c>
    </row>
    <row r="3973" spans="15:16" x14ac:dyDescent="0.35">
      <c r="O3973" s="18">
        <v>45316</v>
      </c>
      <c r="P3973">
        <v>3616.45</v>
      </c>
    </row>
    <row r="3974" spans="15:16" x14ac:dyDescent="0.35">
      <c r="O3974" s="18">
        <v>45320</v>
      </c>
      <c r="P3974">
        <v>3669.05</v>
      </c>
    </row>
    <row r="3975" spans="15:16" x14ac:dyDescent="0.35">
      <c r="O3975" s="18">
        <v>45321</v>
      </c>
      <c r="P3975">
        <v>3704.75</v>
      </c>
    </row>
    <row r="3976" spans="15:16" x14ac:dyDescent="0.35">
      <c r="O3976" s="18">
        <v>45322</v>
      </c>
      <c r="P3976">
        <v>3839.6</v>
      </c>
    </row>
    <row r="3977" spans="15:16" x14ac:dyDescent="0.35">
      <c r="O3977" s="18">
        <v>45323</v>
      </c>
      <c r="P3977">
        <v>3933.2</v>
      </c>
    </row>
    <row r="3978" spans="15:16" x14ac:dyDescent="0.35">
      <c r="O3978" s="18">
        <v>45324</v>
      </c>
      <c r="P3978">
        <v>3825.55</v>
      </c>
    </row>
    <row r="3979" spans="15:16" x14ac:dyDescent="0.35">
      <c r="O3979" s="18">
        <v>45327</v>
      </c>
      <c r="P3979">
        <v>3889.95</v>
      </c>
    </row>
    <row r="3980" spans="15:16" x14ac:dyDescent="0.35">
      <c r="O3980" s="18">
        <v>45328</v>
      </c>
      <c r="P3980">
        <v>3944.6</v>
      </c>
    </row>
    <row r="3981" spans="15:16" x14ac:dyDescent="0.35">
      <c r="O3981" s="18">
        <v>45329</v>
      </c>
      <c r="P3981">
        <v>3927.65</v>
      </c>
    </row>
    <row r="3982" spans="15:16" x14ac:dyDescent="0.35">
      <c r="O3982" s="18">
        <v>45330</v>
      </c>
      <c r="P3982">
        <v>3807.3</v>
      </c>
    </row>
    <row r="3983" spans="15:16" x14ac:dyDescent="0.35">
      <c r="O3983" s="18">
        <v>45331</v>
      </c>
      <c r="P3983">
        <v>3840.95</v>
      </c>
    </row>
    <row r="3984" spans="15:16" x14ac:dyDescent="0.35">
      <c r="O3984" s="18">
        <v>45334</v>
      </c>
      <c r="P3984">
        <v>3871.85</v>
      </c>
    </row>
    <row r="3985" spans="15:16" x14ac:dyDescent="0.35">
      <c r="O3985" s="18">
        <v>45335</v>
      </c>
      <c r="P3985">
        <v>3854.2</v>
      </c>
    </row>
    <row r="3986" spans="15:16" x14ac:dyDescent="0.35">
      <c r="O3986" s="18">
        <v>45336</v>
      </c>
      <c r="P3986">
        <v>3901.55</v>
      </c>
    </row>
    <row r="3987" spans="15:16" x14ac:dyDescent="0.35">
      <c r="O3987" s="18">
        <v>45337</v>
      </c>
      <c r="P3987">
        <v>3916.55</v>
      </c>
    </row>
    <row r="3988" spans="15:16" x14ac:dyDescent="0.35">
      <c r="O3988" s="18">
        <v>45338</v>
      </c>
      <c r="P3988">
        <v>3928.65</v>
      </c>
    </row>
    <row r="3989" spans="15:16" x14ac:dyDescent="0.35">
      <c r="O3989" s="18">
        <v>45341</v>
      </c>
      <c r="P3989">
        <v>3902.85</v>
      </c>
    </row>
    <row r="3990" spans="15:16" x14ac:dyDescent="0.35">
      <c r="O3990" s="18">
        <v>45342</v>
      </c>
      <c r="P3990">
        <v>3828.1</v>
      </c>
    </row>
    <row r="3991" spans="15:16" x14ac:dyDescent="0.35">
      <c r="O3991" s="18">
        <v>45343</v>
      </c>
      <c r="P3991">
        <v>3836.35</v>
      </c>
    </row>
    <row r="3992" spans="15:16" x14ac:dyDescent="0.35">
      <c r="O3992" s="18">
        <v>45344</v>
      </c>
      <c r="P3992">
        <v>3951.4</v>
      </c>
    </row>
    <row r="3993" spans="15:16" x14ac:dyDescent="0.35">
      <c r="O3993" s="18">
        <v>45345</v>
      </c>
      <c r="P3993">
        <v>3927.05</v>
      </c>
    </row>
    <row r="3994" spans="15:16" x14ac:dyDescent="0.35">
      <c r="O3994" s="18">
        <v>45348</v>
      </c>
      <c r="P3994">
        <v>3952.95</v>
      </c>
    </row>
    <row r="3995" spans="15:16" x14ac:dyDescent="0.35">
      <c r="O3995" s="18">
        <v>45349</v>
      </c>
      <c r="P3995">
        <v>4002.75</v>
      </c>
    </row>
    <row r="3996" spans="15:16" x14ac:dyDescent="0.35">
      <c r="O3996" s="18">
        <v>45350</v>
      </c>
      <c r="P3996">
        <v>3863.75</v>
      </c>
    </row>
    <row r="3997" spans="15:16" x14ac:dyDescent="0.35">
      <c r="O3997" s="18">
        <v>45351</v>
      </c>
      <c r="P3997">
        <v>3792.4</v>
      </c>
    </row>
    <row r="3998" spans="15:16" x14ac:dyDescent="0.35">
      <c r="O3998" s="18">
        <v>45352</v>
      </c>
      <c r="P3998">
        <v>3843.55</v>
      </c>
    </row>
    <row r="3999" spans="15:16" x14ac:dyDescent="0.35">
      <c r="O3999" s="18">
        <v>45353</v>
      </c>
      <c r="P3999">
        <v>3860.35</v>
      </c>
    </row>
    <row r="4000" spans="15:16" x14ac:dyDescent="0.35">
      <c r="O4000" s="18">
        <v>45355</v>
      </c>
      <c r="P4000">
        <v>3751.45</v>
      </c>
    </row>
    <row r="4001" spans="15:16" x14ac:dyDescent="0.35">
      <c r="O4001" s="18">
        <v>45356</v>
      </c>
      <c r="P4001">
        <v>3791.9</v>
      </c>
    </row>
    <row r="4002" spans="15:16" x14ac:dyDescent="0.35">
      <c r="O4002" s="18">
        <v>45357</v>
      </c>
      <c r="P4002">
        <v>3793.2</v>
      </c>
    </row>
    <row r="4003" spans="15:16" x14ac:dyDescent="0.35">
      <c r="O4003" s="18">
        <v>45358</v>
      </c>
      <c r="P4003">
        <v>3785.25</v>
      </c>
    </row>
    <row r="4004" spans="15:16" x14ac:dyDescent="0.35">
      <c r="O4004" s="18">
        <v>45362</v>
      </c>
      <c r="P4004">
        <v>3783.9</v>
      </c>
    </row>
    <row r="4005" spans="15:16" x14ac:dyDescent="0.35">
      <c r="O4005" s="18">
        <v>45363</v>
      </c>
      <c r="P4005">
        <v>3810.75</v>
      </c>
    </row>
    <row r="4006" spans="15:16" x14ac:dyDescent="0.35">
      <c r="O4006" s="18">
        <v>45364</v>
      </c>
      <c r="P4006">
        <v>3735.55</v>
      </c>
    </row>
    <row r="4007" spans="15:16" x14ac:dyDescent="0.35">
      <c r="O4007" s="18">
        <v>45365</v>
      </c>
      <c r="P4007">
        <v>3772.65</v>
      </c>
    </row>
    <row r="4008" spans="15:16" x14ac:dyDescent="0.35">
      <c r="O4008" s="18">
        <v>45366</v>
      </c>
      <c r="P4008">
        <v>3745.65</v>
      </c>
    </row>
    <row r="4009" spans="15:16" x14ac:dyDescent="0.35">
      <c r="O4009" s="18">
        <v>45369</v>
      </c>
      <c r="P4009">
        <v>3699.7</v>
      </c>
    </row>
    <row r="4010" spans="15:16" x14ac:dyDescent="0.35">
      <c r="O4010" s="18">
        <v>45370</v>
      </c>
      <c r="P4010">
        <v>3716.85</v>
      </c>
    </row>
    <row r="4011" spans="15:16" x14ac:dyDescent="0.35">
      <c r="O4011" s="18">
        <v>45371</v>
      </c>
      <c r="P4011">
        <v>3873.6</v>
      </c>
    </row>
    <row r="4012" spans="15:16" x14ac:dyDescent="0.35">
      <c r="O4012" s="18">
        <v>45372</v>
      </c>
      <c r="P4012">
        <v>3918.95</v>
      </c>
    </row>
    <row r="4013" spans="15:16" x14ac:dyDescent="0.35">
      <c r="O4013" s="18">
        <v>45373</v>
      </c>
      <c r="P4013">
        <v>3988.4</v>
      </c>
    </row>
    <row r="4014" spans="15:16" x14ac:dyDescent="0.35">
      <c r="O4014" s="18">
        <v>45377</v>
      </c>
      <c r="P4014">
        <v>3911.1</v>
      </c>
    </row>
    <row r="4015" spans="15:16" x14ac:dyDescent="0.35">
      <c r="O4015" s="18">
        <v>45378</v>
      </c>
      <c r="P4015">
        <v>3913.8</v>
      </c>
    </row>
    <row r="4016" spans="15:16" x14ac:dyDescent="0.35">
      <c r="O4016" s="18">
        <v>45379</v>
      </c>
      <c r="P4016">
        <v>4019.3</v>
      </c>
    </row>
    <row r="4017" spans="15:16" x14ac:dyDescent="0.35">
      <c r="O4017" s="18">
        <v>45383</v>
      </c>
      <c r="P4017">
        <v>3946.65</v>
      </c>
    </row>
    <row r="4018" spans="15:16" x14ac:dyDescent="0.35">
      <c r="O4018" s="18">
        <v>45384</v>
      </c>
      <c r="P4018">
        <v>3922.2</v>
      </c>
    </row>
    <row r="4019" spans="15:16" x14ac:dyDescent="0.35">
      <c r="O4019" s="18">
        <v>45385</v>
      </c>
      <c r="P4019">
        <v>3934.2</v>
      </c>
    </row>
    <row r="4020" spans="15:16" x14ac:dyDescent="0.35">
      <c r="O4020" s="18">
        <v>45386</v>
      </c>
      <c r="P4020">
        <v>4014.3</v>
      </c>
    </row>
    <row r="4021" spans="15:16" x14ac:dyDescent="0.35">
      <c r="O4021" s="18">
        <v>45387</v>
      </c>
      <c r="P4021">
        <v>4031.25</v>
      </c>
    </row>
    <row r="4022" spans="15:16" x14ac:dyDescent="0.35">
      <c r="O4022" s="18">
        <v>45390</v>
      </c>
      <c r="P4022">
        <v>4205.75</v>
      </c>
    </row>
    <row r="4023" spans="15:16" x14ac:dyDescent="0.35">
      <c r="O4023" s="18">
        <v>45391</v>
      </c>
      <c r="P4023">
        <v>4248.6499999999996</v>
      </c>
    </row>
    <row r="4024" spans="15:16" x14ac:dyDescent="0.35">
      <c r="O4024" s="18">
        <v>45392</v>
      </c>
      <c r="P4024">
        <v>4315.1000000000004</v>
      </c>
    </row>
    <row r="4025" spans="15:16" x14ac:dyDescent="0.35">
      <c r="O4025" s="18">
        <v>45394</v>
      </c>
      <c r="P4025">
        <v>4302.25</v>
      </c>
    </row>
    <row r="4026" spans="15:16" x14ac:dyDescent="0.35">
      <c r="O4026" s="18">
        <v>45397</v>
      </c>
      <c r="P4026">
        <v>4219.3500000000004</v>
      </c>
    </row>
    <row r="4027" spans="15:16" x14ac:dyDescent="0.35">
      <c r="O4027" s="18">
        <v>45398</v>
      </c>
      <c r="P4027">
        <v>4355.7</v>
      </c>
    </row>
    <row r="4028" spans="15:16" x14ac:dyDescent="0.35">
      <c r="O4028" s="18">
        <v>45400</v>
      </c>
      <c r="P4028">
        <v>4351.2</v>
      </c>
    </row>
    <row r="4029" spans="15:16" x14ac:dyDescent="0.35">
      <c r="O4029" s="18">
        <v>45401</v>
      </c>
      <c r="P4029">
        <v>4344.1499999999996</v>
      </c>
    </row>
    <row r="4030" spans="15:16" x14ac:dyDescent="0.35">
      <c r="O4030" s="18">
        <v>45404</v>
      </c>
      <c r="P4030">
        <v>4466.95</v>
      </c>
    </row>
    <row r="4031" spans="15:16" x14ac:dyDescent="0.35">
      <c r="O4031" s="18">
        <v>45405</v>
      </c>
      <c r="P4031">
        <v>4520.1499999999996</v>
      </c>
    </row>
    <row r="4032" spans="15:16" x14ac:dyDescent="0.35">
      <c r="O4032" s="18">
        <v>45406</v>
      </c>
      <c r="P4032">
        <v>4530.7</v>
      </c>
    </row>
    <row r="4033" spans="15:16" x14ac:dyDescent="0.35">
      <c r="O4033" s="18">
        <v>45407</v>
      </c>
      <c r="P4033">
        <v>4615.2</v>
      </c>
    </row>
    <row r="4034" spans="15:16" x14ac:dyDescent="0.35">
      <c r="O4034" s="18">
        <v>45408</v>
      </c>
      <c r="P4034">
        <v>4601</v>
      </c>
    </row>
    <row r="4035" spans="15:16" x14ac:dyDescent="0.35">
      <c r="O4035" s="18">
        <v>45411</v>
      </c>
      <c r="P4035">
        <v>4571.8500000000004</v>
      </c>
    </row>
    <row r="4036" spans="15:16" x14ac:dyDescent="0.35">
      <c r="O4036" s="18">
        <v>45412</v>
      </c>
      <c r="P4036">
        <v>4597.3999999999996</v>
      </c>
    </row>
    <row r="4037" spans="15:16" x14ac:dyDescent="0.35">
      <c r="O4037" s="18">
        <v>45414</v>
      </c>
      <c r="P4037">
        <v>4602.3999999999996</v>
      </c>
    </row>
    <row r="4038" spans="15:16" x14ac:dyDescent="0.35">
      <c r="O4038" s="18">
        <v>45415</v>
      </c>
      <c r="P4038">
        <v>4599.25</v>
      </c>
    </row>
    <row r="4039" spans="15:16" x14ac:dyDescent="0.35">
      <c r="O4039" s="18">
        <v>45418</v>
      </c>
      <c r="P4039">
        <v>4599</v>
      </c>
    </row>
    <row r="4040" spans="15:16" x14ac:dyDescent="0.35">
      <c r="O4040" s="18">
        <v>45419</v>
      </c>
      <c r="P4040">
        <v>4622.3999999999996</v>
      </c>
    </row>
    <row r="4041" spans="15:16" x14ac:dyDescent="0.35">
      <c r="O4041" s="18">
        <v>45420</v>
      </c>
      <c r="P4041">
        <v>4600.1000000000004</v>
      </c>
    </row>
    <row r="4042" spans="15:16" x14ac:dyDescent="0.35">
      <c r="O4042" s="18">
        <v>45421</v>
      </c>
      <c r="P4042">
        <v>4568.05</v>
      </c>
    </row>
    <row r="4043" spans="15:16" x14ac:dyDescent="0.35">
      <c r="O4043" s="18">
        <v>45422</v>
      </c>
      <c r="P4043">
        <v>4657.8500000000004</v>
      </c>
    </row>
    <row r="4044" spans="15:16" x14ac:dyDescent="0.35">
      <c r="O4044" s="18">
        <v>45425</v>
      </c>
      <c r="P4044">
        <v>4657.45</v>
      </c>
    </row>
    <row r="4045" spans="15:16" x14ac:dyDescent="0.35">
      <c r="O4045" s="18">
        <v>45426</v>
      </c>
      <c r="P4045">
        <v>4730.55</v>
      </c>
    </row>
    <row r="4046" spans="15:16" x14ac:dyDescent="0.35">
      <c r="O4046" s="18">
        <v>45427</v>
      </c>
      <c r="P4046">
        <v>4649.3500000000004</v>
      </c>
    </row>
    <row r="4047" spans="15:16" x14ac:dyDescent="0.35">
      <c r="O4047" s="18">
        <v>45428</v>
      </c>
      <c r="P4047">
        <v>4681.75</v>
      </c>
    </row>
    <row r="4048" spans="15:16" x14ac:dyDescent="0.35">
      <c r="O4048" s="18">
        <v>45429</v>
      </c>
      <c r="P4048">
        <v>4693.8999999999996</v>
      </c>
    </row>
    <row r="4049" spans="15:16" x14ac:dyDescent="0.35">
      <c r="O4049" s="18">
        <v>45430</v>
      </c>
      <c r="P4049">
        <v>4684.3999999999996</v>
      </c>
    </row>
    <row r="4050" spans="15:16" x14ac:dyDescent="0.35">
      <c r="O4050" s="18">
        <v>45433</v>
      </c>
      <c r="P4050">
        <v>4672.95</v>
      </c>
    </row>
    <row r="4051" spans="15:16" x14ac:dyDescent="0.35">
      <c r="O4051" s="18">
        <v>45434</v>
      </c>
      <c r="P4051">
        <v>4695.45</v>
      </c>
    </row>
    <row r="4052" spans="15:16" x14ac:dyDescent="0.35">
      <c r="O4052" s="18">
        <v>45435</v>
      </c>
      <c r="P4052">
        <v>4852.8500000000004</v>
      </c>
    </row>
    <row r="4053" spans="15:16" x14ac:dyDescent="0.35">
      <c r="O4053" s="18">
        <v>45436</v>
      </c>
      <c r="P4053">
        <v>4880.95</v>
      </c>
    </row>
    <row r="4054" spans="15:16" x14ac:dyDescent="0.35">
      <c r="O4054" s="18">
        <v>45439</v>
      </c>
      <c r="P4054">
        <v>4793.3</v>
      </c>
    </row>
    <row r="4055" spans="15:16" x14ac:dyDescent="0.35">
      <c r="O4055" s="18">
        <v>45440</v>
      </c>
      <c r="P4055">
        <v>4770.95</v>
      </c>
    </row>
    <row r="4056" spans="15:16" x14ac:dyDescent="0.35">
      <c r="O4056" s="18">
        <v>45441</v>
      </c>
      <c r="P4056">
        <v>4745.3999999999996</v>
      </c>
    </row>
    <row r="4057" spans="15:16" x14ac:dyDescent="0.35">
      <c r="O4057" s="18">
        <v>45442</v>
      </c>
      <c r="P4057">
        <v>4742.95</v>
      </c>
    </row>
    <row r="4058" spans="15:16" x14ac:dyDescent="0.35">
      <c r="O4058" s="18">
        <v>45443</v>
      </c>
      <c r="P4058">
        <v>4733.45</v>
      </c>
    </row>
    <row r="4059" spans="15:16" x14ac:dyDescent="0.35">
      <c r="O4059" s="18">
        <v>45446</v>
      </c>
      <c r="P4059">
        <v>4670.8500000000004</v>
      </c>
    </row>
    <row r="4060" spans="15:16" x14ac:dyDescent="0.35">
      <c r="O4060" s="18">
        <v>45447</v>
      </c>
      <c r="P4060">
        <v>4495.3999999999996</v>
      </c>
    </row>
    <row r="4061" spans="15:16" x14ac:dyDescent="0.35">
      <c r="O4061" s="18">
        <v>45448</v>
      </c>
      <c r="P4061">
        <v>4579</v>
      </c>
    </row>
    <row r="4062" spans="15:16" x14ac:dyDescent="0.35">
      <c r="O4062" s="18">
        <v>45449</v>
      </c>
      <c r="P4062">
        <v>4719.75</v>
      </c>
    </row>
    <row r="4063" spans="15:16" x14ac:dyDescent="0.35">
      <c r="O4063" s="18">
        <v>45450</v>
      </c>
      <c r="P4063">
        <v>4762</v>
      </c>
    </row>
    <row r="4064" spans="15:16" x14ac:dyDescent="0.35">
      <c r="O4064" s="18">
        <v>45453</v>
      </c>
      <c r="P4064">
        <v>4782.75</v>
      </c>
    </row>
    <row r="4065" spans="15:16" x14ac:dyDescent="0.35">
      <c r="O4065" s="18">
        <v>45454</v>
      </c>
      <c r="P4065">
        <v>4758.6499999999996</v>
      </c>
    </row>
    <row r="4066" spans="15:16" x14ac:dyDescent="0.35">
      <c r="O4066" s="18">
        <v>45455</v>
      </c>
      <c r="P4066">
        <v>4850.6499999999996</v>
      </c>
    </row>
    <row r="4067" spans="15:16" x14ac:dyDescent="0.35">
      <c r="O4067" s="18">
        <v>45456</v>
      </c>
      <c r="P4067">
        <v>4801.5</v>
      </c>
    </row>
    <row r="4068" spans="15:16" x14ac:dyDescent="0.35">
      <c r="O4068" s="18">
        <v>45457</v>
      </c>
      <c r="P4068">
        <v>4935.1000000000004</v>
      </c>
    </row>
    <row r="4069" spans="15:16" x14ac:dyDescent="0.35">
      <c r="O4069" s="18">
        <v>45461</v>
      </c>
      <c r="P4069">
        <v>4936.1000000000004</v>
      </c>
    </row>
    <row r="4070" spans="15:16" x14ac:dyDescent="0.35">
      <c r="O4070" s="18">
        <v>45462</v>
      </c>
      <c r="P4070">
        <v>4880.75</v>
      </c>
    </row>
    <row r="4071" spans="15:16" x14ac:dyDescent="0.35">
      <c r="O4071" s="18">
        <v>45463</v>
      </c>
      <c r="P4071">
        <v>4876.8999999999996</v>
      </c>
    </row>
    <row r="4072" spans="15:16" x14ac:dyDescent="0.35">
      <c r="O4072" s="18">
        <v>45464</v>
      </c>
      <c r="P4072">
        <v>4845.5</v>
      </c>
    </row>
    <row r="4073" spans="15:16" x14ac:dyDescent="0.35">
      <c r="O4073" s="18">
        <v>45467</v>
      </c>
      <c r="P4073">
        <v>4870.8999999999996</v>
      </c>
    </row>
    <row r="4074" spans="15:16" x14ac:dyDescent="0.35">
      <c r="O4074" s="18">
        <v>45468</v>
      </c>
      <c r="P4074">
        <v>4775.05</v>
      </c>
    </row>
    <row r="4075" spans="15:16" x14ac:dyDescent="0.35">
      <c r="O4075" s="18">
        <v>45469</v>
      </c>
      <c r="P4075">
        <v>4739.7</v>
      </c>
    </row>
    <row r="4076" spans="15:16" x14ac:dyDescent="0.35">
      <c r="O4076" s="18">
        <v>45470</v>
      </c>
      <c r="P4076">
        <v>4713.8</v>
      </c>
    </row>
    <row r="4077" spans="15:16" x14ac:dyDescent="0.35">
      <c r="O4077" s="18">
        <v>45471</v>
      </c>
      <c r="P4077">
        <v>4672.95</v>
      </c>
    </row>
    <row r="4078" spans="15:16" x14ac:dyDescent="0.35">
      <c r="O4078" s="18">
        <v>45474</v>
      </c>
      <c r="P4078">
        <v>4635.55</v>
      </c>
    </row>
    <row r="4079" spans="15:16" x14ac:dyDescent="0.35">
      <c r="O4079" s="18">
        <v>45475</v>
      </c>
      <c r="P4079">
        <v>4625.75</v>
      </c>
    </row>
    <row r="4080" spans="15:16" x14ac:dyDescent="0.35">
      <c r="O4080" s="18">
        <v>45476</v>
      </c>
      <c r="P4080">
        <v>4692.3</v>
      </c>
    </row>
    <row r="4081" spans="15:16" x14ac:dyDescent="0.35">
      <c r="O4081" s="18">
        <v>45477</v>
      </c>
      <c r="P4081">
        <v>4689.5</v>
      </c>
    </row>
    <row r="4082" spans="15:16" x14ac:dyDescent="0.35">
      <c r="O4082" s="18">
        <v>45478</v>
      </c>
      <c r="P4082">
        <v>4737.3</v>
      </c>
    </row>
    <row r="4083" spans="15:16" x14ac:dyDescent="0.35">
      <c r="O4083" s="18">
        <v>45481</v>
      </c>
      <c r="P4083">
        <v>4754.45</v>
      </c>
    </row>
    <row r="4084" spans="15:16" x14ac:dyDescent="0.35">
      <c r="O4084" s="18">
        <v>45482</v>
      </c>
      <c r="P4084">
        <v>4828.7</v>
      </c>
    </row>
    <row r="4085" spans="15:16" x14ac:dyDescent="0.35">
      <c r="O4085" s="18">
        <v>45483</v>
      </c>
      <c r="P4085">
        <v>4849.1499999999996</v>
      </c>
    </row>
    <row r="4086" spans="15:16" x14ac:dyDescent="0.35">
      <c r="O4086" s="18">
        <v>45484</v>
      </c>
      <c r="P4086">
        <v>4828.6499999999996</v>
      </c>
    </row>
    <row r="4087" spans="15:16" x14ac:dyDescent="0.35">
      <c r="O4087" s="18">
        <v>45485</v>
      </c>
      <c r="P4087">
        <v>4860.7</v>
      </c>
    </row>
    <row r="4088" spans="15:16" x14ac:dyDescent="0.35">
      <c r="O4088" s="18">
        <v>45488</v>
      </c>
      <c r="P4088">
        <v>4881.3500000000004</v>
      </c>
    </row>
    <row r="4089" spans="15:16" x14ac:dyDescent="0.35">
      <c r="O4089" s="18">
        <v>45489</v>
      </c>
      <c r="P4089">
        <v>4916.1000000000004</v>
      </c>
    </row>
    <row r="4090" spans="15:16" x14ac:dyDescent="0.35">
      <c r="O4090" s="18">
        <v>45491</v>
      </c>
      <c r="P4090">
        <v>4941.1000000000004</v>
      </c>
    </row>
    <row r="4091" spans="15:16" x14ac:dyDescent="0.35">
      <c r="O4091" s="18">
        <v>45492</v>
      </c>
      <c r="P4091">
        <v>4850.7</v>
      </c>
    </row>
    <row r="4092" spans="15:16" x14ac:dyDescent="0.35">
      <c r="O4092" s="18">
        <v>45495</v>
      </c>
      <c r="P4092">
        <v>4857.3500000000004</v>
      </c>
    </row>
    <row r="4093" spans="15:16" x14ac:dyDescent="0.35">
      <c r="O4093" s="18">
        <v>45496</v>
      </c>
      <c r="P4093">
        <v>4919.55</v>
      </c>
    </row>
    <row r="4094" spans="15:16" x14ac:dyDescent="0.35">
      <c r="O4094" s="18">
        <v>45497</v>
      </c>
      <c r="P4094">
        <v>4915.3500000000004</v>
      </c>
    </row>
    <row r="4095" spans="15:16" x14ac:dyDescent="0.35">
      <c r="O4095" s="18">
        <v>45498</v>
      </c>
      <c r="P4095">
        <v>4900.6499999999996</v>
      </c>
    </row>
    <row r="4096" spans="15:16" x14ac:dyDescent="0.35">
      <c r="O4096" s="18">
        <v>45499</v>
      </c>
      <c r="P4096">
        <v>5012.5</v>
      </c>
    </row>
    <row r="4097" spans="15:16" x14ac:dyDescent="0.35">
      <c r="O4097" s="18">
        <v>45502</v>
      </c>
      <c r="P4097">
        <v>4962.25</v>
      </c>
    </row>
    <row r="4098" spans="15:16" x14ac:dyDescent="0.35">
      <c r="O4098" s="18">
        <v>45503</v>
      </c>
      <c r="P4098">
        <v>4951.8500000000004</v>
      </c>
    </row>
    <row r="4099" spans="15:16" x14ac:dyDescent="0.35">
      <c r="O4099" s="18">
        <v>45504</v>
      </c>
      <c r="P4099">
        <v>4962.7</v>
      </c>
    </row>
    <row r="4100" spans="15:16" x14ac:dyDescent="0.35">
      <c r="O4100" s="18">
        <v>45505</v>
      </c>
      <c r="P4100">
        <v>4968.8</v>
      </c>
    </row>
    <row r="4101" spans="15:16" x14ac:dyDescent="0.35">
      <c r="O4101" s="18">
        <v>45506</v>
      </c>
      <c r="P4101">
        <v>4726.7</v>
      </c>
    </row>
    <row r="4102" spans="15:16" x14ac:dyDescent="0.35">
      <c r="O4102" s="18">
        <v>45509</v>
      </c>
      <c r="P4102">
        <v>4675.75</v>
      </c>
    </row>
    <row r="4103" spans="15:16" x14ac:dyDescent="0.35">
      <c r="O4103" s="18">
        <v>45510</v>
      </c>
      <c r="P4103">
        <v>4653.8999999999996</v>
      </c>
    </row>
    <row r="4104" spans="15:16" x14ac:dyDescent="0.35">
      <c r="O4104" s="18">
        <v>45511</v>
      </c>
      <c r="P4104">
        <v>4597.1499999999996</v>
      </c>
    </row>
    <row r="4105" spans="15:16" x14ac:dyDescent="0.35">
      <c r="O4105" s="18">
        <v>45512</v>
      </c>
      <c r="P4105">
        <v>4576.8999999999996</v>
      </c>
    </row>
    <row r="4106" spans="15:16" x14ac:dyDescent="0.35">
      <c r="O4106" s="18">
        <v>45513</v>
      </c>
      <c r="P4106">
        <v>4830.6000000000004</v>
      </c>
    </row>
    <row r="4107" spans="15:16" x14ac:dyDescent="0.35">
      <c r="O4107" s="18">
        <v>45516</v>
      </c>
      <c r="P4107">
        <v>4808.8</v>
      </c>
    </row>
    <row r="4108" spans="15:16" x14ac:dyDescent="0.35">
      <c r="O4108" s="18">
        <v>45517</v>
      </c>
      <c r="P4108">
        <v>4802.25</v>
      </c>
    </row>
    <row r="4109" spans="15:16" x14ac:dyDescent="0.35">
      <c r="O4109" s="18">
        <v>45518</v>
      </c>
      <c r="P4109">
        <v>4733.25</v>
      </c>
    </row>
    <row r="4110" spans="15:16" x14ac:dyDescent="0.35">
      <c r="O4110" s="18">
        <v>45520</v>
      </c>
      <c r="P4110">
        <v>4818</v>
      </c>
    </row>
    <row r="4111" spans="15:16" x14ac:dyDescent="0.35">
      <c r="O4111" s="18">
        <v>45523</v>
      </c>
      <c r="P4111">
        <v>4813.3</v>
      </c>
    </row>
    <row r="4112" spans="15:16" x14ac:dyDescent="0.35">
      <c r="O4112" s="18">
        <v>45524</v>
      </c>
      <c r="P4112">
        <v>4883.25</v>
      </c>
    </row>
    <row r="4113" spans="15:16" x14ac:dyDescent="0.35">
      <c r="O4113" s="18">
        <v>45525</v>
      </c>
      <c r="P4113">
        <v>4913.55</v>
      </c>
    </row>
    <row r="4114" spans="15:16" x14ac:dyDescent="0.35">
      <c r="O4114" s="18">
        <v>45526</v>
      </c>
      <c r="P4114">
        <v>4933.55</v>
      </c>
    </row>
    <row r="4115" spans="15:16" x14ac:dyDescent="0.35">
      <c r="O4115" s="18">
        <v>45527</v>
      </c>
      <c r="P4115">
        <v>4898.1000000000004</v>
      </c>
    </row>
    <row r="4116" spans="15:16" x14ac:dyDescent="0.35">
      <c r="O4116" s="18">
        <v>45530</v>
      </c>
      <c r="P4116">
        <v>4875.2</v>
      </c>
    </row>
    <row r="4117" spans="15:16" x14ac:dyDescent="0.35">
      <c r="O4117" s="18">
        <v>45531</v>
      </c>
      <c r="P4117">
        <v>4868.8500000000004</v>
      </c>
    </row>
    <row r="4118" spans="15:16" x14ac:dyDescent="0.35">
      <c r="O4118" s="18">
        <v>45532</v>
      </c>
      <c r="P4118">
        <v>4946.8500000000004</v>
      </c>
    </row>
    <row r="4119" spans="15:16" x14ac:dyDescent="0.35">
      <c r="O4119" s="18">
        <v>45533</v>
      </c>
      <c r="P4119">
        <v>4915.8999999999996</v>
      </c>
    </row>
    <row r="4120" spans="15:16" x14ac:dyDescent="0.35">
      <c r="O4120" s="18">
        <v>45534</v>
      </c>
      <c r="P4120">
        <v>4960.5</v>
      </c>
    </row>
    <row r="4121" spans="15:16" x14ac:dyDescent="0.35">
      <c r="O4121" s="18">
        <v>45537</v>
      </c>
      <c r="P4121">
        <v>4911.95</v>
      </c>
    </row>
    <row r="4122" spans="15:16" x14ac:dyDescent="0.35">
      <c r="O4122" s="18">
        <v>45538</v>
      </c>
      <c r="P4122">
        <v>4865.8</v>
      </c>
    </row>
    <row r="4123" spans="15:16" x14ac:dyDescent="0.35">
      <c r="O4123" s="18">
        <v>45539</v>
      </c>
      <c r="P4123">
        <v>4833.55</v>
      </c>
    </row>
    <row r="4124" spans="15:16" x14ac:dyDescent="0.35">
      <c r="O4124" s="18">
        <v>45540</v>
      </c>
      <c r="P4124">
        <v>4800.1000000000004</v>
      </c>
    </row>
    <row r="4125" spans="15:16" x14ac:dyDescent="0.35">
      <c r="O4125" s="18">
        <v>45541</v>
      </c>
      <c r="P4125">
        <v>4752.5</v>
      </c>
    </row>
    <row r="4126" spans="15:16" x14ac:dyDescent="0.35">
      <c r="O4126" s="18">
        <v>45544</v>
      </c>
      <c r="P4126">
        <v>4747.3500000000004</v>
      </c>
    </row>
    <row r="4127" spans="15:16" x14ac:dyDescent="0.35">
      <c r="O4127" s="18">
        <v>45545</v>
      </c>
      <c r="P4127">
        <v>4737.2</v>
      </c>
    </row>
    <row r="4128" spans="15:16" x14ac:dyDescent="0.35">
      <c r="O4128" s="18">
        <v>45546</v>
      </c>
      <c r="P4128">
        <v>4726.6499999999996</v>
      </c>
    </row>
    <row r="4129" spans="15:16" x14ac:dyDescent="0.35">
      <c r="O4129" s="18">
        <v>45547</v>
      </c>
      <c r="P4129">
        <v>4875</v>
      </c>
    </row>
    <row r="4130" spans="15:16" x14ac:dyDescent="0.35">
      <c r="O4130" s="18">
        <v>45548</v>
      </c>
      <c r="P4130">
        <v>4858.3</v>
      </c>
    </row>
    <row r="4131" spans="15:16" x14ac:dyDescent="0.35">
      <c r="O4131" s="18">
        <v>45551</v>
      </c>
      <c r="P4131">
        <v>4899.2</v>
      </c>
    </row>
    <row r="4132" spans="15:16" x14ac:dyDescent="0.35">
      <c r="O4132" s="18">
        <v>45552</v>
      </c>
      <c r="P4132">
        <v>4850.2</v>
      </c>
    </row>
    <row r="4133" spans="15:16" x14ac:dyDescent="0.35">
      <c r="O4133" s="18">
        <v>45553</v>
      </c>
      <c r="P4133">
        <v>4850.3500000000004</v>
      </c>
    </row>
    <row r="4134" spans="15:16" x14ac:dyDescent="0.35">
      <c r="O4134" s="18">
        <v>45554</v>
      </c>
      <c r="P4134">
        <v>4864.8999999999996</v>
      </c>
    </row>
    <row r="4135" spans="15:16" x14ac:dyDescent="0.35">
      <c r="O4135" s="18">
        <v>45555</v>
      </c>
      <c r="P4135">
        <v>4963.1499999999996</v>
      </c>
    </row>
    <row r="4136" spans="15:16" x14ac:dyDescent="0.35">
      <c r="O4136" s="18">
        <v>45558</v>
      </c>
      <c r="P4136">
        <v>4879.55</v>
      </c>
    </row>
    <row r="4137" spans="15:16" x14ac:dyDescent="0.35">
      <c r="O4137" s="18">
        <v>45559</v>
      </c>
      <c r="P4137">
        <v>4876.8999999999996</v>
      </c>
    </row>
    <row r="4138" spans="15:16" x14ac:dyDescent="0.35">
      <c r="O4138" s="18">
        <v>45560</v>
      </c>
      <c r="P4138">
        <v>4895.25</v>
      </c>
    </row>
    <row r="4139" spans="15:16" x14ac:dyDescent="0.35">
      <c r="O4139" s="18">
        <v>45561</v>
      </c>
      <c r="P4139">
        <v>4994.25</v>
      </c>
    </row>
    <row r="4140" spans="15:16" x14ac:dyDescent="0.35">
      <c r="O4140" s="18">
        <v>45562</v>
      </c>
      <c r="P4140">
        <v>5062.6000000000004</v>
      </c>
    </row>
    <row r="4141" spans="15:16" x14ac:dyDescent="0.35">
      <c r="O4141" s="18">
        <v>45565</v>
      </c>
      <c r="P4141">
        <v>5026.25</v>
      </c>
    </row>
    <row r="4142" spans="15:16" x14ac:dyDescent="0.35">
      <c r="O4142" s="18">
        <v>45566</v>
      </c>
      <c r="P4142">
        <v>4972.6499999999996</v>
      </c>
    </row>
    <row r="4143" spans="15:16" x14ac:dyDescent="0.35">
      <c r="O4143" s="18">
        <v>45568</v>
      </c>
      <c r="P4143">
        <v>4782.5</v>
      </c>
    </row>
    <row r="4144" spans="15:16" x14ac:dyDescent="0.35">
      <c r="O4144" s="18">
        <v>45569</v>
      </c>
      <c r="P4144">
        <v>4706.8</v>
      </c>
    </row>
    <row r="4145" spans="15:16" x14ac:dyDescent="0.35">
      <c r="O4145" s="18">
        <v>45572</v>
      </c>
      <c r="P4145">
        <v>4667.95</v>
      </c>
    </row>
    <row r="4146" spans="15:16" x14ac:dyDescent="0.35">
      <c r="O4146" s="18">
        <v>45573</v>
      </c>
      <c r="P4146">
        <v>4693.45</v>
      </c>
    </row>
    <row r="4147" spans="15:16" x14ac:dyDescent="0.35">
      <c r="O4147" s="18">
        <v>45574</v>
      </c>
      <c r="P4147">
        <v>4708.8999999999996</v>
      </c>
    </row>
    <row r="4148" spans="15:16" x14ac:dyDescent="0.35">
      <c r="O4148" s="18">
        <v>45575</v>
      </c>
      <c r="P4148">
        <v>4697.8999999999996</v>
      </c>
    </row>
    <row r="4149" spans="15:16" x14ac:dyDescent="0.35">
      <c r="O4149" s="18">
        <v>45576</v>
      </c>
      <c r="P4149">
        <v>4728.05</v>
      </c>
    </row>
    <row r="4150" spans="15:16" x14ac:dyDescent="0.35">
      <c r="O4150" s="18">
        <v>45579</v>
      </c>
      <c r="P4150">
        <v>4779.8</v>
      </c>
    </row>
    <row r="4151" spans="15:16" x14ac:dyDescent="0.35">
      <c r="O4151" s="18">
        <v>45580</v>
      </c>
      <c r="P4151">
        <v>4722.1000000000004</v>
      </c>
    </row>
    <row r="4152" spans="15:16" x14ac:dyDescent="0.35">
      <c r="O4152" s="18">
        <v>45581</v>
      </c>
      <c r="P4152">
        <v>4678.25</v>
      </c>
    </row>
    <row r="4153" spans="15:16" x14ac:dyDescent="0.35">
      <c r="O4153" s="18">
        <v>45582</v>
      </c>
      <c r="P4153">
        <v>4623.8500000000004</v>
      </c>
    </row>
    <row r="4154" spans="15:16" x14ac:dyDescent="0.35">
      <c r="O4154" s="18">
        <v>45583</v>
      </c>
      <c r="P4154">
        <v>4765.6499999999996</v>
      </c>
    </row>
    <row r="4155" spans="15:16" x14ac:dyDescent="0.35">
      <c r="O4155" s="18">
        <v>45586</v>
      </c>
      <c r="P4155">
        <v>4810.45</v>
      </c>
    </row>
    <row r="4156" spans="15:16" x14ac:dyDescent="0.35">
      <c r="O4156" s="18">
        <v>45587</v>
      </c>
      <c r="P4156">
        <v>4759.05</v>
      </c>
    </row>
    <row r="4157" spans="15:16" x14ac:dyDescent="0.35">
      <c r="O4157" s="18">
        <v>45588</v>
      </c>
      <c r="P4157">
        <v>4677.75</v>
      </c>
    </row>
    <row r="4158" spans="15:16" x14ac:dyDescent="0.35">
      <c r="O4158" s="18">
        <v>45589</v>
      </c>
      <c r="P4158">
        <v>4668.5</v>
      </c>
    </row>
    <row r="4159" spans="15:16" x14ac:dyDescent="0.35">
      <c r="O4159" s="18">
        <v>45590</v>
      </c>
      <c r="P4159">
        <v>4591.6000000000004</v>
      </c>
    </row>
    <row r="4160" spans="15:16" x14ac:dyDescent="0.35">
      <c r="O4160" s="18">
        <v>45593</v>
      </c>
      <c r="P4160">
        <v>4720.6499999999996</v>
      </c>
    </row>
    <row r="4161" spans="15:16" x14ac:dyDescent="0.35">
      <c r="O4161" s="18">
        <v>45594</v>
      </c>
      <c r="P4161">
        <v>4898.1499999999996</v>
      </c>
    </row>
    <row r="4162" spans="15:16" x14ac:dyDescent="0.35">
      <c r="O4162" s="18">
        <v>45595</v>
      </c>
      <c r="P4162">
        <v>4869.25</v>
      </c>
    </row>
    <row r="4163" spans="15:16" x14ac:dyDescent="0.35">
      <c r="O4163" s="18">
        <v>45596</v>
      </c>
      <c r="P4163">
        <v>4894.6499999999996</v>
      </c>
    </row>
    <row r="4164" spans="15:16" x14ac:dyDescent="0.35">
      <c r="O4164" s="18">
        <v>45597</v>
      </c>
      <c r="P4164">
        <v>4953.6000000000004</v>
      </c>
    </row>
    <row r="4165" spans="15:16" x14ac:dyDescent="0.35">
      <c r="O4165" s="18">
        <v>45600</v>
      </c>
      <c r="P4165">
        <v>4831.8500000000004</v>
      </c>
    </row>
    <row r="4166" spans="15:16" x14ac:dyDescent="0.35">
      <c r="O4166" s="18">
        <v>45601</v>
      </c>
      <c r="P4166">
        <v>4899.8</v>
      </c>
    </row>
    <row r="4167" spans="15:16" x14ac:dyDescent="0.35">
      <c r="O4167" s="18">
        <v>45602</v>
      </c>
      <c r="P4167">
        <v>4917.1499999999996</v>
      </c>
    </row>
    <row r="4168" spans="15:16" x14ac:dyDescent="0.35">
      <c r="O4168" s="18">
        <v>45603</v>
      </c>
      <c r="P4168">
        <v>4878</v>
      </c>
    </row>
    <row r="4169" spans="15:16" x14ac:dyDescent="0.35">
      <c r="O4169" s="18">
        <v>45604</v>
      </c>
      <c r="P4169">
        <v>4785.25</v>
      </c>
    </row>
    <row r="4170" spans="15:16" x14ac:dyDescent="0.35">
      <c r="O4170" s="18">
        <v>45607</v>
      </c>
      <c r="P4170">
        <v>4793.45</v>
      </c>
    </row>
    <row r="4171" spans="15:16" x14ac:dyDescent="0.35">
      <c r="O4171" s="18">
        <v>45608</v>
      </c>
      <c r="P4171">
        <v>4738.2</v>
      </c>
    </row>
    <row r="4172" spans="15:16" x14ac:dyDescent="0.35">
      <c r="O4172" s="18">
        <v>45609</v>
      </c>
      <c r="P4172">
        <v>4588.7</v>
      </c>
    </row>
    <row r="4173" spans="15:16" x14ac:dyDescent="0.35">
      <c r="O4173" s="18">
        <v>45610</v>
      </c>
      <c r="P4173">
        <v>4883.7</v>
      </c>
    </row>
    <row r="4174" spans="15:16" x14ac:dyDescent="0.35">
      <c r="O4174" s="18">
        <v>45614</v>
      </c>
      <c r="P4174">
        <v>4875.6499999999996</v>
      </c>
    </row>
    <row r="4175" spans="15:16" x14ac:dyDescent="0.35">
      <c r="O4175" s="18">
        <v>45615</v>
      </c>
      <c r="P4175">
        <v>4965.45</v>
      </c>
    </row>
    <row r="4176" spans="15:16" x14ac:dyDescent="0.35">
      <c r="O4176" s="18">
        <v>45617</v>
      </c>
      <c r="P4176">
        <v>4882.1000000000004</v>
      </c>
    </row>
    <row r="4177" spans="15:16" x14ac:dyDescent="0.35">
      <c r="O4177" s="18">
        <v>45618</v>
      </c>
      <c r="P4177">
        <v>4986.2</v>
      </c>
    </row>
    <row r="4178" spans="15:16" x14ac:dyDescent="0.35">
      <c r="O4178" s="18">
        <v>45621</v>
      </c>
      <c r="P4178">
        <v>5002.3500000000004</v>
      </c>
    </row>
    <row r="4179" spans="15:16" x14ac:dyDescent="0.35">
      <c r="O4179" s="18">
        <v>45622</v>
      </c>
      <c r="P4179">
        <v>4931.75</v>
      </c>
    </row>
    <row r="4180" spans="15:16" x14ac:dyDescent="0.35">
      <c r="O4180" s="18">
        <v>45623</v>
      </c>
      <c r="P4180">
        <v>4917.5</v>
      </c>
    </row>
    <row r="4181" spans="15:16" x14ac:dyDescent="0.35">
      <c r="O4181" s="18">
        <v>45624</v>
      </c>
      <c r="P4181">
        <v>4815.7</v>
      </c>
    </row>
    <row r="4182" spans="15:16" x14ac:dyDescent="0.35">
      <c r="O4182" s="18">
        <v>45625</v>
      </c>
      <c r="P4182">
        <v>4831.8500000000004</v>
      </c>
    </row>
    <row r="4183" spans="15:16" x14ac:dyDescent="0.35">
      <c r="O4183" s="18">
        <v>45628</v>
      </c>
      <c r="P4183">
        <v>4820.7</v>
      </c>
    </row>
    <row r="4184" spans="15:16" x14ac:dyDescent="0.35">
      <c r="O4184" s="18">
        <v>45629</v>
      </c>
      <c r="P4184">
        <v>4844.3500000000004</v>
      </c>
    </row>
    <row r="4185" spans="15:16" x14ac:dyDescent="0.35">
      <c r="O4185" s="18">
        <v>45630</v>
      </c>
      <c r="P4185">
        <v>4797.05</v>
      </c>
    </row>
    <row r="4186" spans="15:16" x14ac:dyDescent="0.35">
      <c r="O4186" s="18">
        <v>45631</v>
      </c>
      <c r="P4186">
        <v>4837.55</v>
      </c>
    </row>
    <row r="4187" spans="15:16" x14ac:dyDescent="0.35">
      <c r="O4187" s="18">
        <v>45632</v>
      </c>
      <c r="P4187">
        <v>4877.05</v>
      </c>
    </row>
    <row r="4188" spans="15:16" x14ac:dyDescent="0.35">
      <c r="O4188" s="18">
        <v>45635</v>
      </c>
      <c r="P4188">
        <v>4842.1000000000004</v>
      </c>
    </row>
    <row r="4189" spans="15:16" x14ac:dyDescent="0.35">
      <c r="O4189" s="18">
        <v>45636</v>
      </c>
      <c r="P4189">
        <v>4813.05</v>
      </c>
    </row>
    <row r="4190" spans="15:16" x14ac:dyDescent="0.35">
      <c r="O4190" s="18">
        <v>45637</v>
      </c>
      <c r="P4190">
        <v>4801.95</v>
      </c>
    </row>
    <row r="4191" spans="15:16" x14ac:dyDescent="0.35">
      <c r="O4191" s="18">
        <v>45638</v>
      </c>
      <c r="P4191">
        <v>4807.6499999999996</v>
      </c>
    </row>
    <row r="4192" spans="15:16" x14ac:dyDescent="0.35">
      <c r="O4192" s="18">
        <v>45639</v>
      </c>
      <c r="P4192">
        <v>4825.8999999999996</v>
      </c>
    </row>
    <row r="4193" spans="15:16" x14ac:dyDescent="0.35">
      <c r="O4193" s="18">
        <v>45642</v>
      </c>
      <c r="P4193">
        <v>4838.5</v>
      </c>
    </row>
    <row r="4194" spans="15:16" x14ac:dyDescent="0.35">
      <c r="O4194" s="18">
        <v>45643</v>
      </c>
      <c r="P4194">
        <v>4742.6499999999996</v>
      </c>
    </row>
    <row r="4195" spans="15:16" x14ac:dyDescent="0.35">
      <c r="O4195" s="18">
        <v>45644</v>
      </c>
      <c r="P4195">
        <v>4749.8500000000004</v>
      </c>
    </row>
    <row r="4196" spans="15:16" x14ac:dyDescent="0.35">
      <c r="O4196" s="18">
        <v>45645</v>
      </c>
      <c r="P4196">
        <v>4771.95</v>
      </c>
    </row>
    <row r="4197" spans="15:16" x14ac:dyDescent="0.35">
      <c r="O4197" s="18">
        <v>45646</v>
      </c>
      <c r="P4197">
        <v>4734.5</v>
      </c>
    </row>
    <row r="4198" spans="15:16" x14ac:dyDescent="0.35">
      <c r="O4198" s="18">
        <v>45649</v>
      </c>
      <c r="P4198">
        <v>4750.55</v>
      </c>
    </row>
    <row r="4199" spans="15:16" x14ac:dyDescent="0.35">
      <c r="O4199" s="18">
        <v>45650</v>
      </c>
      <c r="P4199">
        <v>4792.8999999999996</v>
      </c>
    </row>
    <row r="4200" spans="15:16" x14ac:dyDescent="0.35">
      <c r="O4200" s="18">
        <v>45652</v>
      </c>
      <c r="P4200">
        <v>4801.3500000000004</v>
      </c>
    </row>
    <row r="4201" spans="15:16" x14ac:dyDescent="0.35">
      <c r="O4201" s="18">
        <v>45653</v>
      </c>
      <c r="P4201">
        <v>4876.8999999999996</v>
      </c>
    </row>
    <row r="4202" spans="15:16" x14ac:dyDescent="0.35">
      <c r="O4202" s="18">
        <v>45656</v>
      </c>
      <c r="P4202">
        <v>4855.8</v>
      </c>
    </row>
    <row r="4203" spans="15:16" x14ac:dyDescent="0.35">
      <c r="O4203" s="18">
        <v>45657</v>
      </c>
      <c r="P4203">
        <v>4821.8999999999996</v>
      </c>
    </row>
    <row r="4204" spans="15:16" x14ac:dyDescent="0.35">
      <c r="O4204" s="18">
        <v>45658</v>
      </c>
      <c r="P4204">
        <v>4885.3</v>
      </c>
    </row>
    <row r="4205" spans="15:16" x14ac:dyDescent="0.35">
      <c r="O4205" s="18">
        <v>45659</v>
      </c>
      <c r="P4205">
        <v>5308.1</v>
      </c>
    </row>
    <row r="4206" spans="15:16" x14ac:dyDescent="0.35">
      <c r="O4206" s="18">
        <v>45660</v>
      </c>
      <c r="P4206">
        <v>5310.75</v>
      </c>
    </row>
    <row r="4207" spans="15:16" x14ac:dyDescent="0.35">
      <c r="O4207" s="18">
        <v>45663</v>
      </c>
      <c r="P4207">
        <v>5250.1</v>
      </c>
    </row>
    <row r="4208" spans="15:16" x14ac:dyDescent="0.35">
      <c r="O4208" s="18">
        <v>45664</v>
      </c>
      <c r="P4208">
        <v>5177.3</v>
      </c>
    </row>
    <row r="4209" spans="15:16" x14ac:dyDescent="0.35">
      <c r="O4209" s="18">
        <v>45665</v>
      </c>
      <c r="P4209">
        <v>5163.2</v>
      </c>
    </row>
    <row r="4210" spans="15:16" x14ac:dyDescent="0.35">
      <c r="O4210" s="18">
        <v>45666</v>
      </c>
      <c r="P4210">
        <v>5139.8999999999996</v>
      </c>
    </row>
    <row r="4211" spans="15:16" x14ac:dyDescent="0.35">
      <c r="O4211" s="18">
        <v>45667</v>
      </c>
      <c r="P4211">
        <v>5058.45</v>
      </c>
    </row>
    <row r="4212" spans="15:16" x14ac:dyDescent="0.35">
      <c r="O4212" s="18">
        <v>45670</v>
      </c>
      <c r="P4212">
        <v>4939.1000000000004</v>
      </c>
    </row>
    <row r="4213" spans="15:16" x14ac:dyDescent="0.35">
      <c r="O4213" s="18">
        <v>45671</v>
      </c>
      <c r="P4213">
        <v>5029.55</v>
      </c>
    </row>
    <row r="4214" spans="15:16" x14ac:dyDescent="0.35">
      <c r="O4214" s="18">
        <v>45672</v>
      </c>
      <c r="P4214">
        <v>5081.8999999999996</v>
      </c>
    </row>
    <row r="4215" spans="15:16" x14ac:dyDescent="0.35">
      <c r="O4215" s="18">
        <v>45673</v>
      </c>
      <c r="P4215">
        <v>5047.8</v>
      </c>
    </row>
    <row r="4216" spans="15:16" x14ac:dyDescent="0.35">
      <c r="O4216" s="18">
        <v>45674</v>
      </c>
      <c r="P4216">
        <v>5012.3</v>
      </c>
    </row>
    <row r="4217" spans="15:16" x14ac:dyDescent="0.35">
      <c r="O4217" s="18">
        <v>45677</v>
      </c>
      <c r="P4217">
        <v>5016.75</v>
      </c>
    </row>
    <row r="4218" spans="15:16" x14ac:dyDescent="0.35">
      <c r="O4218" s="18">
        <v>45678</v>
      </c>
      <c r="P4218">
        <v>4969.95</v>
      </c>
    </row>
    <row r="4219" spans="15:16" x14ac:dyDescent="0.35">
      <c r="O4219" s="18">
        <v>45679</v>
      </c>
      <c r="P4219">
        <v>5009.7</v>
      </c>
    </row>
    <row r="4220" spans="15:16" x14ac:dyDescent="0.35">
      <c r="O4220" s="18">
        <v>45680</v>
      </c>
      <c r="P4220">
        <v>5116.2</v>
      </c>
    </row>
    <row r="4221" spans="15:16" x14ac:dyDescent="0.35">
      <c r="O4221" s="18">
        <v>45681</v>
      </c>
      <c r="P4221">
        <v>5206.3</v>
      </c>
    </row>
    <row r="4222" spans="15:16" x14ac:dyDescent="0.35">
      <c r="O4222" s="18">
        <v>45684</v>
      </c>
      <c r="P4222">
        <v>5144.5</v>
      </c>
    </row>
    <row r="4223" spans="15:16" x14ac:dyDescent="0.35">
      <c r="O4223" s="18">
        <v>45685</v>
      </c>
      <c r="P4223">
        <v>5105.3999999999996</v>
      </c>
    </row>
    <row r="4224" spans="15:16" x14ac:dyDescent="0.35">
      <c r="O4224" s="18">
        <v>45686</v>
      </c>
      <c r="P4224">
        <v>5182.8999999999996</v>
      </c>
    </row>
    <row r="4225" spans="15:16" x14ac:dyDescent="0.35">
      <c r="O4225" s="18">
        <v>45687</v>
      </c>
      <c r="P4225">
        <v>5164.3500000000004</v>
      </c>
    </row>
    <row r="4226" spans="15:16" x14ac:dyDescent="0.35">
      <c r="O4226" s="18">
        <v>45688</v>
      </c>
      <c r="P4226">
        <v>5194.3</v>
      </c>
    </row>
    <row r="4227" spans="15:16" x14ac:dyDescent="0.35">
      <c r="O4227" s="18">
        <v>45689</v>
      </c>
      <c r="P4227">
        <v>5390.15</v>
      </c>
    </row>
    <row r="4228" spans="15:16" x14ac:dyDescent="0.35">
      <c r="O4228" s="18">
        <v>45691</v>
      </c>
      <c r="P4228">
        <v>5485.25</v>
      </c>
    </row>
    <row r="4229" spans="15:16" x14ac:dyDescent="0.35">
      <c r="O4229" s="18">
        <v>45692</v>
      </c>
      <c r="P4229">
        <v>5450.1</v>
      </c>
    </row>
    <row r="4230" spans="15:16" x14ac:dyDescent="0.35">
      <c r="O4230" s="18">
        <v>45693</v>
      </c>
      <c r="P4230">
        <v>5417.2</v>
      </c>
    </row>
    <row r="4231" spans="15:16" x14ac:dyDescent="0.35">
      <c r="O4231" s="18">
        <v>45694</v>
      </c>
      <c r="P4231">
        <v>5342</v>
      </c>
    </row>
    <row r="4232" spans="15:16" x14ac:dyDescent="0.35">
      <c r="O4232" s="18">
        <v>45695</v>
      </c>
      <c r="P4232">
        <v>5372.55</v>
      </c>
    </row>
    <row r="4233" spans="15:16" x14ac:dyDescent="0.35">
      <c r="O4233" s="18">
        <v>45698</v>
      </c>
      <c r="P4233">
        <v>5335.35</v>
      </c>
    </row>
    <row r="4234" spans="15:16" x14ac:dyDescent="0.35">
      <c r="O4234" s="18">
        <v>45699</v>
      </c>
      <c r="P4234">
        <v>4972.3500000000004</v>
      </c>
    </row>
    <row r="4235" spans="15:16" x14ac:dyDescent="0.35">
      <c r="O4235" s="18">
        <v>45700</v>
      </c>
      <c r="P4235">
        <v>4849.45</v>
      </c>
    </row>
    <row r="4236" spans="15:16" x14ac:dyDescent="0.35">
      <c r="O4236" s="18">
        <v>45701</v>
      </c>
      <c r="P4236">
        <v>4820.3999999999996</v>
      </c>
    </row>
    <row r="4237" spans="15:16" x14ac:dyDescent="0.35">
      <c r="O4237" s="18">
        <v>45702</v>
      </c>
      <c r="P4237">
        <v>4703.3500000000004</v>
      </c>
    </row>
    <row r="4238" spans="15:16" x14ac:dyDescent="0.35">
      <c r="O4238" s="18">
        <v>45705</v>
      </c>
      <c r="P4238">
        <v>4745.2</v>
      </c>
    </row>
    <row r="4239" spans="15:16" x14ac:dyDescent="0.35">
      <c r="O4239" s="18">
        <v>45706</v>
      </c>
      <c r="P4239">
        <v>4719.3999999999996</v>
      </c>
    </row>
    <row r="4240" spans="15:16" x14ac:dyDescent="0.35">
      <c r="O4240" s="18">
        <v>45707</v>
      </c>
      <c r="P4240">
        <v>4810.6000000000004</v>
      </c>
    </row>
    <row r="4241" spans="15:16" x14ac:dyDescent="0.35">
      <c r="O4241" s="18">
        <v>45708</v>
      </c>
      <c r="P4241">
        <v>4888.3999999999996</v>
      </c>
    </row>
    <row r="4242" spans="15:16" x14ac:dyDescent="0.35">
      <c r="O4242" s="18">
        <v>45709</v>
      </c>
      <c r="P4242">
        <v>4962.45</v>
      </c>
    </row>
    <row r="4243" spans="15:16" x14ac:dyDescent="0.35">
      <c r="O4243" s="18">
        <v>45712</v>
      </c>
      <c r="P4243">
        <v>5010.8</v>
      </c>
    </row>
    <row r="4244" spans="15:16" x14ac:dyDescent="0.35">
      <c r="O4244" s="18">
        <v>45713</v>
      </c>
      <c r="P4244">
        <v>4989.8</v>
      </c>
    </row>
    <row r="4245" spans="15:16" x14ac:dyDescent="0.35">
      <c r="O4245" s="18">
        <v>45715</v>
      </c>
      <c r="P4245">
        <v>4935.5</v>
      </c>
    </row>
    <row r="4246" spans="15:16" x14ac:dyDescent="0.35">
      <c r="O4246" s="18">
        <v>45716</v>
      </c>
      <c r="P4246">
        <v>4773.6000000000004</v>
      </c>
    </row>
    <row r="4247" spans="15:16" x14ac:dyDescent="0.35">
      <c r="O4247" s="18">
        <v>45719</v>
      </c>
      <c r="P4247">
        <v>4906.6000000000004</v>
      </c>
    </row>
    <row r="4248" spans="15:16" x14ac:dyDescent="0.35">
      <c r="O4248" s="18">
        <v>45720</v>
      </c>
      <c r="P4248">
        <v>4815.1000000000004</v>
      </c>
    </row>
    <row r="4249" spans="15:16" x14ac:dyDescent="0.35">
      <c r="O4249" s="18">
        <v>45721</v>
      </c>
      <c r="P4249">
        <v>4988.3</v>
      </c>
    </row>
    <row r="4250" spans="15:16" x14ac:dyDescent="0.35">
      <c r="O4250" s="18">
        <v>45722</v>
      </c>
      <c r="P4250">
        <v>5094.3999999999996</v>
      </c>
    </row>
    <row r="4251" spans="15:16" x14ac:dyDescent="0.35">
      <c r="O4251" s="18">
        <v>45723</v>
      </c>
      <c r="P4251">
        <v>5100.7</v>
      </c>
    </row>
    <row r="4252" spans="15:16" x14ac:dyDescent="0.35">
      <c r="O4252" s="18">
        <v>45726</v>
      </c>
      <c r="P4252">
        <v>4990.55</v>
      </c>
    </row>
    <row r="4253" spans="15:16" x14ac:dyDescent="0.35">
      <c r="O4253" s="18">
        <v>45727</v>
      </c>
      <c r="P4253">
        <v>4985.55</v>
      </c>
    </row>
    <row r="4254" spans="15:16" x14ac:dyDescent="0.35">
      <c r="O4254" s="18">
        <v>45728</v>
      </c>
      <c r="P4254">
        <v>5017.45</v>
      </c>
    </row>
    <row r="4255" spans="15:16" x14ac:dyDescent="0.35">
      <c r="O4255" s="18">
        <v>45729</v>
      </c>
      <c r="P4255">
        <v>5015.25</v>
      </c>
    </row>
    <row r="4256" spans="15:16" x14ac:dyDescent="0.35">
      <c r="O4256" s="18">
        <v>45733</v>
      </c>
      <c r="P4256">
        <v>5050.25</v>
      </c>
    </row>
    <row r="4257" spans="15:16" x14ac:dyDescent="0.35">
      <c r="O4257" s="18">
        <v>45734</v>
      </c>
      <c r="P4257">
        <v>5127.3999999999996</v>
      </c>
    </row>
    <row r="4258" spans="15:16" x14ac:dyDescent="0.35">
      <c r="O4258" s="18">
        <v>45735</v>
      </c>
      <c r="P4258">
        <v>5100.8999999999996</v>
      </c>
    </row>
    <row r="4259" spans="15:16" x14ac:dyDescent="0.35">
      <c r="O4259" s="18">
        <v>45736</v>
      </c>
      <c r="P4259">
        <v>5229.3500000000004</v>
      </c>
    </row>
    <row r="4260" spans="15:16" x14ac:dyDescent="0.35">
      <c r="O4260" s="18">
        <v>45737</v>
      </c>
      <c r="P4260">
        <v>5305.95</v>
      </c>
    </row>
    <row r="4261" spans="15:16" x14ac:dyDescent="0.35">
      <c r="O4261" s="18">
        <v>45740</v>
      </c>
      <c r="P4261">
        <v>5424.2</v>
      </c>
    </row>
    <row r="4262" spans="15:16" x14ac:dyDescent="0.35">
      <c r="O4262" s="18">
        <v>45741</v>
      </c>
      <c r="P4262">
        <v>5431.25</v>
      </c>
    </row>
    <row r="4263" spans="15:16" x14ac:dyDescent="0.35">
      <c r="O4263" s="18">
        <v>45742</v>
      </c>
      <c r="P4263">
        <v>5403.3</v>
      </c>
    </row>
    <row r="4264" spans="15:16" x14ac:dyDescent="0.35">
      <c r="O4264" s="18">
        <v>45743</v>
      </c>
      <c r="P4264">
        <v>5345.75</v>
      </c>
    </row>
    <row r="4265" spans="15:16" x14ac:dyDescent="0.35">
      <c r="O4265" s="18">
        <v>45744</v>
      </c>
      <c r="P4265">
        <v>5347.7</v>
      </c>
    </row>
    <row r="4266" spans="15:16" x14ac:dyDescent="0.35">
      <c r="O4266" s="18">
        <v>45748</v>
      </c>
      <c r="P4266">
        <v>5307.2</v>
      </c>
    </row>
    <row r="4267" spans="15:16" x14ac:dyDescent="0.35">
      <c r="O4267" s="18">
        <v>45749</v>
      </c>
      <c r="P4267">
        <v>5355.5</v>
      </c>
    </row>
    <row r="4268" spans="15:16" x14ac:dyDescent="0.35">
      <c r="O4268" s="18">
        <v>45750</v>
      </c>
      <c r="P4268">
        <v>5379.15</v>
      </c>
    </row>
    <row r="4269" spans="15:16" x14ac:dyDescent="0.35">
      <c r="O4269" s="18">
        <v>45751</v>
      </c>
      <c r="P4269">
        <v>5247.9</v>
      </c>
    </row>
    <row r="4270" spans="15:16" x14ac:dyDescent="0.35">
      <c r="O4270" s="18">
        <v>45754</v>
      </c>
      <c r="P4270">
        <v>5065.25</v>
      </c>
    </row>
    <row r="4271" spans="15:16" x14ac:dyDescent="0.35">
      <c r="O4271" s="18">
        <v>45755</v>
      </c>
      <c r="P4271">
        <v>5231.3500000000004</v>
      </c>
    </row>
    <row r="4272" spans="15:16" x14ac:dyDescent="0.35">
      <c r="O4272" s="18">
        <v>45756</v>
      </c>
      <c r="P4272">
        <v>5258.3</v>
      </c>
    </row>
    <row r="4273" spans="15:16" x14ac:dyDescent="0.35">
      <c r="O4273" s="18">
        <v>45758</v>
      </c>
      <c r="P4273">
        <v>5350.9</v>
      </c>
    </row>
    <row r="4274" spans="15:16" x14ac:dyDescent="0.35">
      <c r="O4274" s="18">
        <v>45762</v>
      </c>
      <c r="P4274">
        <v>5529</v>
      </c>
    </row>
    <row r="4275" spans="15:16" x14ac:dyDescent="0.35">
      <c r="O4275" s="18">
        <v>45763</v>
      </c>
      <c r="P4275">
        <v>5615.5</v>
      </c>
    </row>
    <row r="4276" spans="15:16" x14ac:dyDescent="0.35">
      <c r="O4276" s="18">
        <v>45764</v>
      </c>
      <c r="P4276">
        <v>5678.5</v>
      </c>
    </row>
    <row r="4277" spans="15:16" x14ac:dyDescent="0.35">
      <c r="O4277" s="18">
        <v>45768</v>
      </c>
      <c r="P4277">
        <v>5810.5</v>
      </c>
    </row>
    <row r="4278" spans="15:16" x14ac:dyDescent="0.35">
      <c r="O4278" s="18">
        <v>45769</v>
      </c>
      <c r="P4278">
        <v>5784</v>
      </c>
    </row>
    <row r="4279" spans="15:16" x14ac:dyDescent="0.35">
      <c r="O4279" s="18">
        <v>45770</v>
      </c>
      <c r="P4279">
        <v>5740</v>
      </c>
    </row>
    <row r="4280" spans="15:16" x14ac:dyDescent="0.35">
      <c r="O4280" s="18">
        <v>45771</v>
      </c>
      <c r="P4280">
        <v>5650.5</v>
      </c>
    </row>
    <row r="4281" spans="15:16" x14ac:dyDescent="0.35">
      <c r="O4281" s="18">
        <v>45772</v>
      </c>
      <c r="P4281">
        <v>5575.5</v>
      </c>
    </row>
    <row r="4282" spans="15:16" x14ac:dyDescent="0.35">
      <c r="O4282" s="18">
        <v>45775</v>
      </c>
      <c r="P4282">
        <v>5622</v>
      </c>
    </row>
    <row r="4283" spans="15:16" x14ac:dyDescent="0.35">
      <c r="O4283" s="18">
        <v>45776</v>
      </c>
      <c r="P4283">
        <v>5579</v>
      </c>
    </row>
    <row r="4284" spans="15:16" x14ac:dyDescent="0.35">
      <c r="O4284" s="18">
        <v>45777</v>
      </c>
      <c r="P4284">
        <v>5567</v>
      </c>
    </row>
    <row r="4285" spans="15:16" x14ac:dyDescent="0.35">
      <c r="O4285" s="18">
        <v>45779</v>
      </c>
      <c r="P4285">
        <v>5437.5</v>
      </c>
    </row>
    <row r="4286" spans="15:16" x14ac:dyDescent="0.35">
      <c r="O4286" s="18">
        <v>45782</v>
      </c>
      <c r="P4286">
        <v>5460.5</v>
      </c>
    </row>
    <row r="4287" spans="15:16" x14ac:dyDescent="0.35">
      <c r="O4287" s="18">
        <v>45783</v>
      </c>
      <c r="P4287">
        <v>5515</v>
      </c>
    </row>
    <row r="4288" spans="15:16" x14ac:dyDescent="0.35">
      <c r="O4288" s="18">
        <v>45784</v>
      </c>
      <c r="P4288">
        <v>5489</v>
      </c>
    </row>
    <row r="4289" spans="15:16" x14ac:dyDescent="0.35">
      <c r="O4289" s="18">
        <v>45785</v>
      </c>
      <c r="P4289">
        <v>5372.5</v>
      </c>
    </row>
    <row r="4290" spans="15:16" x14ac:dyDescent="0.35">
      <c r="O4290" s="18">
        <v>45786</v>
      </c>
      <c r="P4290">
        <v>5324</v>
      </c>
    </row>
    <row r="4291" spans="15:16" x14ac:dyDescent="0.35">
      <c r="O4291" s="18">
        <v>45789</v>
      </c>
      <c r="P4291">
        <v>5520</v>
      </c>
    </row>
    <row r="4292" spans="15:16" x14ac:dyDescent="0.35">
      <c r="O4292" s="18">
        <v>45790</v>
      </c>
      <c r="P4292">
        <v>5419</v>
      </c>
    </row>
    <row r="4293" spans="15:16" x14ac:dyDescent="0.35">
      <c r="O4293" s="18">
        <v>45791</v>
      </c>
      <c r="P4293">
        <v>5446.5</v>
      </c>
    </row>
    <row r="4294" spans="15:16" x14ac:dyDescent="0.35">
      <c r="O4294" s="18">
        <v>45792</v>
      </c>
      <c r="P4294">
        <v>5466</v>
      </c>
    </row>
    <row r="4295" spans="15:16" x14ac:dyDescent="0.35">
      <c r="O4295" s="18">
        <v>45793</v>
      </c>
      <c r="P4295">
        <v>5509.5</v>
      </c>
    </row>
    <row r="4296" spans="15:16" x14ac:dyDescent="0.35">
      <c r="O4296" s="18">
        <v>45796</v>
      </c>
      <c r="P4296">
        <v>5530</v>
      </c>
    </row>
    <row r="4297" spans="15:16" x14ac:dyDescent="0.35">
      <c r="O4297" s="18">
        <v>45797</v>
      </c>
      <c r="P4297">
        <v>5387.5</v>
      </c>
    </row>
    <row r="4298" spans="15:16" x14ac:dyDescent="0.35">
      <c r="O4298" s="18">
        <v>45798</v>
      </c>
      <c r="P4298">
        <v>5409</v>
      </c>
    </row>
    <row r="4299" spans="15:16" x14ac:dyDescent="0.35">
      <c r="O4299" s="18">
        <v>45799</v>
      </c>
      <c r="P4299">
        <v>5387</v>
      </c>
    </row>
    <row r="4300" spans="15:16" x14ac:dyDescent="0.35">
      <c r="O4300" s="18">
        <v>45800</v>
      </c>
      <c r="P4300">
        <v>5400</v>
      </c>
    </row>
    <row r="4301" spans="15:16" x14ac:dyDescent="0.35">
      <c r="O4301" s="18">
        <v>45803</v>
      </c>
      <c r="P4301">
        <v>5427.5</v>
      </c>
    </row>
    <row r="4302" spans="15:16" x14ac:dyDescent="0.35">
      <c r="O4302" s="18">
        <v>45804</v>
      </c>
      <c r="P4302">
        <v>5389.5</v>
      </c>
    </row>
    <row r="4303" spans="15:16" x14ac:dyDescent="0.35">
      <c r="O4303" s="18">
        <v>45805</v>
      </c>
      <c r="P4303">
        <v>5326.5</v>
      </c>
    </row>
    <row r="4304" spans="15:16" x14ac:dyDescent="0.35">
      <c r="O4304" s="18">
        <v>45806</v>
      </c>
      <c r="P4304">
        <v>5379</v>
      </c>
    </row>
    <row r="4305" spans="15:16" x14ac:dyDescent="0.35">
      <c r="O4305" s="18">
        <v>45807</v>
      </c>
      <c r="P4305">
        <v>5333.5</v>
      </c>
    </row>
    <row r="4306" spans="15:16" x14ac:dyDescent="0.35">
      <c r="O4306" s="18">
        <v>45810</v>
      </c>
      <c r="P4306">
        <v>5361</v>
      </c>
    </row>
    <row r="4307" spans="15:16" x14ac:dyDescent="0.35">
      <c r="O4307" s="18">
        <v>45811</v>
      </c>
      <c r="P4307">
        <v>5354</v>
      </c>
    </row>
    <row r="4308" spans="15:16" x14ac:dyDescent="0.35">
      <c r="O4308" s="18">
        <v>45812</v>
      </c>
      <c r="P4308">
        <v>5319.5</v>
      </c>
    </row>
    <row r="4309" spans="15:16" x14ac:dyDescent="0.35">
      <c r="O4309" s="18">
        <v>45813</v>
      </c>
      <c r="P4309">
        <v>5308.5</v>
      </c>
    </row>
    <row r="4310" spans="15:16" x14ac:dyDescent="0.35">
      <c r="O4310" s="18">
        <v>45814</v>
      </c>
      <c r="P4310">
        <v>5394</v>
      </c>
    </row>
    <row r="4311" spans="15:16" x14ac:dyDescent="0.35">
      <c r="O4311" s="18">
        <v>45817</v>
      </c>
      <c r="P4311">
        <v>5391</v>
      </c>
    </row>
    <row r="4312" spans="15:16" x14ac:dyDescent="0.35">
      <c r="O4312" s="18">
        <v>45818</v>
      </c>
      <c r="P4312">
        <v>5377.5</v>
      </c>
    </row>
    <row r="4313" spans="15:16" x14ac:dyDescent="0.35">
      <c r="O4313" s="18">
        <v>45819</v>
      </c>
      <c r="P4313">
        <v>5352</v>
      </c>
    </row>
    <row r="4314" spans="15:16" x14ac:dyDescent="0.35">
      <c r="O4314" s="18">
        <v>45820</v>
      </c>
      <c r="P4314">
        <v>5315.5</v>
      </c>
    </row>
    <row r="4315" spans="15:16" x14ac:dyDescent="0.35">
      <c r="O4315" s="18">
        <v>45821</v>
      </c>
      <c r="P4315">
        <v>5319</v>
      </c>
    </row>
    <row r="4316" spans="15:16" x14ac:dyDescent="0.35">
      <c r="O4316" s="18">
        <v>45824</v>
      </c>
      <c r="P4316">
        <v>5365</v>
      </c>
    </row>
    <row r="4317" spans="15:16" x14ac:dyDescent="0.35">
      <c r="O4317" s="18">
        <v>45825</v>
      </c>
      <c r="P4317">
        <v>5341</v>
      </c>
    </row>
    <row r="4318" spans="15:16" x14ac:dyDescent="0.35">
      <c r="O4318" s="18">
        <v>45826</v>
      </c>
      <c r="P4318">
        <v>5393</v>
      </c>
    </row>
    <row r="4319" spans="15:16" x14ac:dyDescent="0.35">
      <c r="O4319" s="18">
        <v>45827</v>
      </c>
      <c r="P4319">
        <v>5493.5</v>
      </c>
    </row>
    <row r="4320" spans="15:16" x14ac:dyDescent="0.35">
      <c r="O4320" s="18">
        <v>45828</v>
      </c>
      <c r="P4320">
        <v>5525</v>
      </c>
    </row>
    <row r="4321" spans="15:16" x14ac:dyDescent="0.35">
      <c r="O4321" s="18">
        <v>45831</v>
      </c>
      <c r="P4321">
        <v>5552.5</v>
      </c>
    </row>
    <row r="4322" spans="15:16" x14ac:dyDescent="0.35">
      <c r="O4322" s="18">
        <v>45832</v>
      </c>
      <c r="P4322">
        <v>5629</v>
      </c>
    </row>
    <row r="4323" spans="15:16" x14ac:dyDescent="0.35">
      <c r="O4323" s="18">
        <v>45833</v>
      </c>
      <c r="P4323">
        <v>5576</v>
      </c>
    </row>
    <row r="4324" spans="15:16" x14ac:dyDescent="0.35">
      <c r="O4324" s="18">
        <v>45834</v>
      </c>
      <c r="P4324">
        <v>5611.5</v>
      </c>
    </row>
    <row r="4325" spans="15:16" x14ac:dyDescent="0.35">
      <c r="O4325" s="18">
        <v>45835</v>
      </c>
      <c r="P4325">
        <v>5660</v>
      </c>
    </row>
    <row r="4326" spans="15:16" x14ac:dyDescent="0.35">
      <c r="O4326" s="18">
        <v>45838</v>
      </c>
      <c r="P4326">
        <v>5656.5</v>
      </c>
    </row>
    <row r="4327" spans="15:16" x14ac:dyDescent="0.35">
      <c r="O4327" s="18">
        <v>45839</v>
      </c>
      <c r="P4327">
        <v>5715.5</v>
      </c>
    </row>
    <row r="4328" spans="15:16" x14ac:dyDescent="0.35">
      <c r="O4328" s="18">
        <v>45840</v>
      </c>
      <c r="P4328">
        <v>5722.5</v>
      </c>
    </row>
    <row r="4329" spans="15:16" x14ac:dyDescent="0.35">
      <c r="O4329" s="18">
        <v>45841</v>
      </c>
      <c r="P4329">
        <v>5716</v>
      </c>
    </row>
    <row r="4330" spans="15:16" x14ac:dyDescent="0.35">
      <c r="O4330" s="18">
        <v>45842</v>
      </c>
      <c r="P4330">
        <v>5629</v>
      </c>
    </row>
    <row r="4331" spans="15:16" x14ac:dyDescent="0.35">
      <c r="O4331" s="18">
        <v>45845</v>
      </c>
      <c r="P4331">
        <v>5682.5</v>
      </c>
    </row>
    <row r="4332" spans="15:16" x14ac:dyDescent="0.35">
      <c r="O4332" s="18">
        <v>45846</v>
      </c>
      <c r="P4332">
        <v>5679.5</v>
      </c>
    </row>
    <row r="4333" spans="15:16" x14ac:dyDescent="0.35">
      <c r="O4333" s="18">
        <v>45847</v>
      </c>
      <c r="P4333">
        <v>5695</v>
      </c>
    </row>
    <row r="4334" spans="15:16" x14ac:dyDescent="0.35">
      <c r="O4334" s="18">
        <v>45848</v>
      </c>
      <c r="P4334">
        <v>5652</v>
      </c>
    </row>
    <row r="4335" spans="15:16" x14ac:dyDescent="0.35">
      <c r="O4335" s="18">
        <v>45849</v>
      </c>
      <c r="P4335">
        <v>5612.5</v>
      </c>
    </row>
    <row r="4336" spans="15:16" x14ac:dyDescent="0.35">
      <c r="O4336" s="18">
        <v>45852</v>
      </c>
      <c r="P4336">
        <v>5540.5</v>
      </c>
    </row>
    <row r="4337" spans="15:16" x14ac:dyDescent="0.35">
      <c r="O4337" s="18">
        <v>45853</v>
      </c>
      <c r="P4337">
        <v>5591</v>
      </c>
    </row>
    <row r="4338" spans="15:16" x14ac:dyDescent="0.35">
      <c r="O4338" s="18">
        <v>45854</v>
      </c>
      <c r="P4338">
        <v>5626.5</v>
      </c>
    </row>
    <row r="4339" spans="15:16" x14ac:dyDescent="0.35">
      <c r="O4339" s="18">
        <v>45855</v>
      </c>
      <c r="P4339">
        <v>5650</v>
      </c>
    </row>
    <row r="4340" spans="15:16" x14ac:dyDescent="0.35">
      <c r="O4340" s="18">
        <v>45856</v>
      </c>
      <c r="P4340">
        <v>5627.5</v>
      </c>
    </row>
    <row r="4341" spans="15:16" x14ac:dyDescent="0.35">
      <c r="O4341" s="18">
        <v>45859</v>
      </c>
      <c r="P4341">
        <v>5558</v>
      </c>
    </row>
    <row r="4342" spans="15:16" x14ac:dyDescent="0.35">
      <c r="O4342" s="18">
        <v>45860</v>
      </c>
      <c r="P4342">
        <v>5439.5</v>
      </c>
    </row>
    <row r="4343" spans="15:16" x14ac:dyDescent="0.35">
      <c r="O4343" s="18">
        <v>45861</v>
      </c>
      <c r="P4343">
        <v>5441.5</v>
      </c>
    </row>
    <row r="4344" spans="15:16" x14ac:dyDescent="0.35">
      <c r="O4344" s="18">
        <v>45862</v>
      </c>
      <c r="P4344">
        <v>5469</v>
      </c>
    </row>
    <row r="4345" spans="15:16" x14ac:dyDescent="0.35">
      <c r="O4345" s="18">
        <v>45863</v>
      </c>
      <c r="P4345">
        <v>5433</v>
      </c>
    </row>
    <row r="4346" spans="15:16" x14ac:dyDescent="0.35">
      <c r="O4346" s="18">
        <v>45866</v>
      </c>
      <c r="P4346">
        <v>5386</v>
      </c>
    </row>
    <row r="4347" spans="15:16" x14ac:dyDescent="0.35">
      <c r="O4347" s="18">
        <v>45867</v>
      </c>
      <c r="P4347">
        <v>5470.5</v>
      </c>
    </row>
    <row r="4348" spans="15:16" x14ac:dyDescent="0.35">
      <c r="O4348" s="18">
        <v>45868</v>
      </c>
      <c r="P4348">
        <v>5481</v>
      </c>
    </row>
    <row r="4349" spans="15:16" x14ac:dyDescent="0.35">
      <c r="O4349" s="18">
        <v>45869</v>
      </c>
      <c r="P4349">
        <v>5468.5</v>
      </c>
    </row>
    <row r="4350" spans="15:16" x14ac:dyDescent="0.35">
      <c r="O4350" s="18">
        <v>45870</v>
      </c>
      <c r="P4350">
        <v>5528</v>
      </c>
    </row>
    <row r="4351" spans="15:16" x14ac:dyDescent="0.35">
      <c r="O4351" s="18">
        <v>45873</v>
      </c>
      <c r="P4351">
        <v>5621</v>
      </c>
    </row>
    <row r="4352" spans="15:16" x14ac:dyDescent="0.35">
      <c r="O4352" s="18">
        <v>45874</v>
      </c>
      <c r="P4352">
        <v>5681</v>
      </c>
    </row>
    <row r="4353" spans="15:16" x14ac:dyDescent="0.35">
      <c r="O4353" s="18">
        <v>45875</v>
      </c>
      <c r="P4353">
        <v>5668</v>
      </c>
    </row>
    <row r="4354" spans="15:16" x14ac:dyDescent="0.35">
      <c r="O4354" s="18">
        <v>45876</v>
      </c>
      <c r="P4354">
        <v>5681.5</v>
      </c>
    </row>
    <row r="4355" spans="15:16" x14ac:dyDescent="0.35">
      <c r="O4355" s="18">
        <v>45877</v>
      </c>
      <c r="P4355">
        <v>5663</v>
      </c>
    </row>
    <row r="4356" spans="15:16" x14ac:dyDescent="0.35">
      <c r="O4356" s="18">
        <v>45880</v>
      </c>
      <c r="P4356">
        <v>5671.5</v>
      </c>
    </row>
    <row r="4357" spans="15:16" x14ac:dyDescent="0.35">
      <c r="O4357" s="18">
        <v>45881</v>
      </c>
      <c r="P4357">
        <v>5658</v>
      </c>
    </row>
    <row r="4358" spans="15:16" x14ac:dyDescent="0.35">
      <c r="O4358" s="18">
        <v>45882</v>
      </c>
      <c r="P4358">
        <v>5714.5</v>
      </c>
    </row>
    <row r="4359" spans="15:16" x14ac:dyDescent="0.35">
      <c r="O4359" s="18">
        <v>45883</v>
      </c>
      <c r="P4359">
        <v>5764</v>
      </c>
    </row>
    <row r="4360" spans="15:16" x14ac:dyDescent="0.35">
      <c r="O4360" s="18">
        <v>45887</v>
      </c>
      <c r="P4360">
        <v>5912</v>
      </c>
    </row>
    <row r="4361" spans="15:16" x14ac:dyDescent="0.35">
      <c r="O4361" s="18">
        <v>45888</v>
      </c>
      <c r="P4361">
        <v>5938.5</v>
      </c>
    </row>
    <row r="4362" spans="15:16" x14ac:dyDescent="0.35">
      <c r="O4362" s="18">
        <v>45889</v>
      </c>
      <c r="P4362">
        <v>5937.5</v>
      </c>
    </row>
    <row r="4363" spans="15:16" x14ac:dyDescent="0.35">
      <c r="O4363" s="18">
        <v>45890</v>
      </c>
      <c r="P4363">
        <v>5975</v>
      </c>
    </row>
    <row r="4364" spans="15:16" x14ac:dyDescent="0.35">
      <c r="O4364" s="18">
        <v>45891</v>
      </c>
      <c r="P4364">
        <v>5924.5</v>
      </c>
    </row>
    <row r="4365" spans="15:16" x14ac:dyDescent="0.35">
      <c r="O4365" s="18">
        <v>45894</v>
      </c>
      <c r="P4365">
        <v>5990.5</v>
      </c>
    </row>
    <row r="4366" spans="15:16" x14ac:dyDescent="0.35">
      <c r="O4366" s="18">
        <v>45895</v>
      </c>
      <c r="P4366">
        <v>6151</v>
      </c>
    </row>
    <row r="4367" spans="15:16" x14ac:dyDescent="0.35">
      <c r="O4367" s="18">
        <v>45897</v>
      </c>
      <c r="P4367">
        <v>6133</v>
      </c>
    </row>
    <row r="4368" spans="15:16" x14ac:dyDescent="0.35">
      <c r="O4368" s="18">
        <v>45898</v>
      </c>
      <c r="P4368">
        <v>6103</v>
      </c>
    </row>
    <row r="4369" spans="15:16" x14ac:dyDescent="0.35">
      <c r="O4369" s="18">
        <v>45901</v>
      </c>
      <c r="P4369">
        <v>6280</v>
      </c>
    </row>
    <row r="4370" spans="15:16" x14ac:dyDescent="0.35">
      <c r="O4370" s="18">
        <v>45902</v>
      </c>
      <c r="P4370">
        <v>6349</v>
      </c>
    </row>
    <row r="4371" spans="15:16" x14ac:dyDescent="0.35">
      <c r="O4371" s="18">
        <v>45903</v>
      </c>
      <c r="P4371">
        <v>6371.5</v>
      </c>
    </row>
    <row r="4372" spans="15:16" x14ac:dyDescent="0.35">
      <c r="O4372" s="18">
        <v>45904</v>
      </c>
      <c r="P4372">
        <v>6425</v>
      </c>
    </row>
    <row r="4373" spans="15:16" x14ac:dyDescent="0.35">
      <c r="O4373" s="18">
        <v>45905</v>
      </c>
      <c r="P4373">
        <v>6580.5</v>
      </c>
    </row>
    <row r="4374" spans="15:16" x14ac:dyDescent="0.35">
      <c r="O4374" s="18">
        <v>45908</v>
      </c>
      <c r="P4374">
        <v>6815</v>
      </c>
    </row>
    <row r="4375" spans="15:16" x14ac:dyDescent="0.35">
      <c r="O4375" s="18">
        <v>45909</v>
      </c>
      <c r="P4375">
        <v>6874.5</v>
      </c>
    </row>
    <row r="4376" spans="15:16" x14ac:dyDescent="0.35">
      <c r="O4376" s="18">
        <v>45910</v>
      </c>
      <c r="P4376">
        <v>6836.5</v>
      </c>
    </row>
    <row r="4377" spans="15:16" x14ac:dyDescent="0.35">
      <c r="O4377" s="18">
        <v>45911</v>
      </c>
      <c r="P4377">
        <v>6758</v>
      </c>
    </row>
    <row r="4378" spans="15:16" x14ac:dyDescent="0.35">
      <c r="O4378" s="18">
        <v>45912</v>
      </c>
      <c r="P4378">
        <v>6875</v>
      </c>
    </row>
    <row r="4379" spans="15:16" x14ac:dyDescent="0.35">
      <c r="O4379" s="18">
        <v>45915</v>
      </c>
      <c r="P4379">
        <v>6801</v>
      </c>
    </row>
    <row r="4380" spans="15:16" x14ac:dyDescent="0.35">
      <c r="O4380" s="18">
        <v>45916</v>
      </c>
      <c r="P4380">
        <v>6927.5</v>
      </c>
    </row>
    <row r="4381" spans="15:16" x14ac:dyDescent="0.35">
      <c r="O4381" s="18">
        <v>45917</v>
      </c>
      <c r="P4381">
        <v>6890.5</v>
      </c>
    </row>
    <row r="4382" spans="15:16" x14ac:dyDescent="0.35">
      <c r="O4382" s="18">
        <v>45918</v>
      </c>
      <c r="P4382">
        <v>6924.5</v>
      </c>
    </row>
    <row r="4383" spans="15:16" x14ac:dyDescent="0.35">
      <c r="O4383" s="18">
        <v>45919</v>
      </c>
      <c r="P4383">
        <v>6973.5</v>
      </c>
    </row>
    <row r="4384" spans="15:16" x14ac:dyDescent="0.35">
      <c r="O4384" s="18">
        <v>45922</v>
      </c>
      <c r="P4384">
        <v>6946</v>
      </c>
    </row>
    <row r="4385" spans="15:16" x14ac:dyDescent="0.35">
      <c r="O4385" s="18">
        <v>45923</v>
      </c>
      <c r="P4385">
        <v>6990.5</v>
      </c>
    </row>
    <row r="4386" spans="15:16" x14ac:dyDescent="0.35">
      <c r="O4386" s="18">
        <v>45924</v>
      </c>
      <c r="P4386">
        <v>7011.5</v>
      </c>
    </row>
    <row r="4387" spans="15:16" x14ac:dyDescent="0.35">
      <c r="O4387" s="18">
        <v>45925</v>
      </c>
      <c r="P4387">
        <v>6986</v>
      </c>
    </row>
    <row r="4388" spans="15:16" x14ac:dyDescent="0.35">
      <c r="O4388" s="18">
        <v>45926</v>
      </c>
      <c r="P4388">
        <v>7047</v>
      </c>
    </row>
    <row r="4389" spans="15:16" x14ac:dyDescent="0.35">
      <c r="O4389" s="18">
        <v>45929</v>
      </c>
      <c r="P4389">
        <v>6985</v>
      </c>
    </row>
    <row r="4390" spans="15:16" x14ac:dyDescent="0.35">
      <c r="O4390" s="18">
        <v>45930</v>
      </c>
      <c r="P4390">
        <v>7005.5</v>
      </c>
    </row>
    <row r="4391" spans="15:16" x14ac:dyDescent="0.35">
      <c r="O4391" s="18">
        <v>45931</v>
      </c>
      <c r="P4391">
        <v>7021.5</v>
      </c>
    </row>
    <row r="4392" spans="15:16" x14ac:dyDescent="0.35">
      <c r="O4392" s="18">
        <v>45933</v>
      </c>
      <c r="P4392">
        <v>6941</v>
      </c>
    </row>
    <row r="4393" spans="15:16" x14ac:dyDescent="0.35">
      <c r="O4393" s="18">
        <v>45936</v>
      </c>
      <c r="P4393">
        <v>6880</v>
      </c>
    </row>
    <row r="4394" spans="15:16" x14ac:dyDescent="0.35">
      <c r="O4394" s="18">
        <v>45937</v>
      </c>
      <c r="P4394">
        <v>6957</v>
      </c>
    </row>
    <row r="4395" spans="15:16" x14ac:dyDescent="0.35">
      <c r="O4395" s="18">
        <v>45938</v>
      </c>
      <c r="P4395">
        <v>6902.5</v>
      </c>
    </row>
    <row r="4396" spans="15:16" x14ac:dyDescent="0.35">
      <c r="O4396" s="18">
        <v>45939</v>
      </c>
      <c r="P4396">
        <v>6896.5</v>
      </c>
    </row>
    <row r="4397" spans="15:16" x14ac:dyDescent="0.35">
      <c r="O4397" s="18">
        <v>45940</v>
      </c>
      <c r="P4397">
        <v>6965</v>
      </c>
    </row>
    <row r="4398" spans="15:16" x14ac:dyDescent="0.35">
      <c r="O4398" s="18">
        <v>45943</v>
      </c>
      <c r="P4398">
        <v>6912</v>
      </c>
    </row>
    <row r="4399" spans="15:16" x14ac:dyDescent="0.35">
      <c r="O4399" s="18">
        <v>45944</v>
      </c>
      <c r="P4399">
        <v>6887</v>
      </c>
    </row>
    <row r="4400" spans="15:16" x14ac:dyDescent="0.35">
      <c r="O4400" s="18">
        <v>45945</v>
      </c>
      <c r="P4400">
        <v>6895</v>
      </c>
    </row>
    <row r="4401" spans="15:16" x14ac:dyDescent="0.35">
      <c r="O4401" s="18">
        <v>45946</v>
      </c>
      <c r="P4401">
        <v>6988</v>
      </c>
    </row>
    <row r="4402" spans="15:16" x14ac:dyDescent="0.35">
      <c r="O4402" s="18">
        <v>45947</v>
      </c>
      <c r="P4402">
        <v>7042.5</v>
      </c>
    </row>
    <row r="4403" spans="15:16" x14ac:dyDescent="0.35">
      <c r="O4403" s="18">
        <v>45950</v>
      </c>
      <c r="P4403">
        <v>7013.5</v>
      </c>
    </row>
    <row r="4404" spans="15:16" x14ac:dyDescent="0.35">
      <c r="O4404" s="18">
        <v>45951</v>
      </c>
      <c r="P4404">
        <v>7018.5</v>
      </c>
    </row>
    <row r="4405" spans="15:16" x14ac:dyDescent="0.35">
      <c r="O4405" s="18">
        <v>45953</v>
      </c>
      <c r="P4405">
        <v>6884.5</v>
      </c>
    </row>
    <row r="4406" spans="15:16" x14ac:dyDescent="0.35">
      <c r="O4406" s="18">
        <v>45954</v>
      </c>
      <c r="P4406">
        <v>6840</v>
      </c>
    </row>
    <row r="4407" spans="15:16" x14ac:dyDescent="0.35">
      <c r="O4407" s="18">
        <v>45957</v>
      </c>
      <c r="P4407">
        <v>6906.5</v>
      </c>
    </row>
    <row r="4408" spans="15:16" x14ac:dyDescent="0.35">
      <c r="O4408" s="18">
        <v>45958</v>
      </c>
      <c r="P4408">
        <v>7002.5</v>
      </c>
    </row>
    <row r="4409" spans="15:16" x14ac:dyDescent="0.35">
      <c r="O4409" s="18">
        <v>45959</v>
      </c>
      <c r="P4409">
        <v>6952</v>
      </c>
    </row>
    <row r="4410" spans="15:16" x14ac:dyDescent="0.35">
      <c r="O4410" s="18">
        <v>45960</v>
      </c>
      <c r="P4410">
        <v>6889</v>
      </c>
    </row>
    <row r="4411" spans="15:16" x14ac:dyDescent="0.35">
      <c r="O4411" s="18">
        <v>45961</v>
      </c>
      <c r="P4411">
        <v>7007</v>
      </c>
    </row>
    <row r="4412" spans="15:16" x14ac:dyDescent="0.35">
      <c r="O4412" s="18">
        <v>45964</v>
      </c>
      <c r="P4412">
        <v>7023.5</v>
      </c>
    </row>
    <row r="4413" spans="15:16" x14ac:dyDescent="0.35">
      <c r="O4413" s="18">
        <v>45965</v>
      </c>
      <c r="P4413">
        <v>6930</v>
      </c>
    </row>
    <row r="4414" spans="15:16" x14ac:dyDescent="0.35">
      <c r="O4414" s="18">
        <v>45967</v>
      </c>
      <c r="P4414">
        <v>6806.5</v>
      </c>
    </row>
    <row r="4415" spans="15:16" x14ac:dyDescent="0.35">
      <c r="O4415" s="18">
        <v>45968</v>
      </c>
      <c r="P4415">
        <v>6886</v>
      </c>
    </row>
    <row r="4416" spans="15:16" x14ac:dyDescent="0.35">
      <c r="O4416" s="18">
        <v>45971</v>
      </c>
      <c r="P4416">
        <v>6866.5</v>
      </c>
    </row>
    <row r="4417" spans="15:16" x14ac:dyDescent="0.35">
      <c r="O4417" s="18">
        <v>45972</v>
      </c>
      <c r="P4417">
        <v>6873</v>
      </c>
    </row>
    <row r="4418" spans="15:16" x14ac:dyDescent="0.35">
      <c r="O4418" s="18">
        <v>45973</v>
      </c>
      <c r="P4418">
        <v>6879</v>
      </c>
    </row>
    <row r="4419" spans="15:16" x14ac:dyDescent="0.35">
      <c r="O4419" s="18">
        <v>45974</v>
      </c>
      <c r="P4419">
        <v>6855</v>
      </c>
    </row>
    <row r="4420" spans="15:16" x14ac:dyDescent="0.35">
      <c r="O4420" s="18">
        <v>45975</v>
      </c>
      <c r="P4420">
        <v>6695</v>
      </c>
    </row>
    <row r="4421" spans="15:16" x14ac:dyDescent="0.35">
      <c r="O4421" s="18">
        <v>45978</v>
      </c>
      <c r="P4421">
        <v>6799</v>
      </c>
    </row>
    <row r="4422" spans="15:16" x14ac:dyDescent="0.35">
      <c r="O4422" s="18">
        <v>45979</v>
      </c>
      <c r="P4422">
        <v>6814.5</v>
      </c>
    </row>
    <row r="4423" spans="15:16" x14ac:dyDescent="0.35">
      <c r="O4423" s="18">
        <v>45980</v>
      </c>
      <c r="P4423">
        <v>6896.5</v>
      </c>
    </row>
    <row r="4424" spans="15:16" x14ac:dyDescent="0.35">
      <c r="O4424" s="18">
        <v>45981</v>
      </c>
      <c r="P4424">
        <v>7125.5</v>
      </c>
    </row>
    <row r="4425" spans="15:16" x14ac:dyDescent="0.35">
      <c r="O4425" s="18">
        <v>45982</v>
      </c>
      <c r="P4425">
        <v>7134.5</v>
      </c>
    </row>
    <row r="4426" spans="15:16" x14ac:dyDescent="0.35">
      <c r="O4426" s="18">
        <v>45985</v>
      </c>
      <c r="P4426">
        <v>7258.5</v>
      </c>
    </row>
    <row r="4427" spans="15:16" x14ac:dyDescent="0.35">
      <c r="O4427" s="18">
        <v>45986</v>
      </c>
      <c r="P4427">
        <v>7218.5</v>
      </c>
    </row>
    <row r="4428" spans="15:16" x14ac:dyDescent="0.35">
      <c r="O4428" s="18">
        <v>45987</v>
      </c>
      <c r="P4428">
        <v>7198.5</v>
      </c>
    </row>
    <row r="4429" spans="15:16" x14ac:dyDescent="0.35">
      <c r="O4429" s="18">
        <v>45988</v>
      </c>
      <c r="P4429">
        <v>6999</v>
      </c>
    </row>
    <row r="4430" spans="15:16" x14ac:dyDescent="0.35">
      <c r="O4430" s="18">
        <v>45989</v>
      </c>
      <c r="P4430">
        <v>7053.5</v>
      </c>
    </row>
    <row r="4431" spans="15:16" x14ac:dyDescent="0.35">
      <c r="O4431" s="18">
        <v>45992</v>
      </c>
      <c r="P4431">
        <v>7125.5</v>
      </c>
    </row>
    <row r="4432" spans="15:16" x14ac:dyDescent="0.35">
      <c r="O4432" s="18">
        <v>45993</v>
      </c>
      <c r="P4432">
        <v>7112.5</v>
      </c>
    </row>
    <row r="4433" spans="15:16" x14ac:dyDescent="0.35">
      <c r="O4433" s="18">
        <v>45994</v>
      </c>
      <c r="P4433">
        <v>7081.5</v>
      </c>
    </row>
    <row r="4434" spans="15:16" x14ac:dyDescent="0.35">
      <c r="O4434" s="18">
        <v>45995</v>
      </c>
      <c r="P4434">
        <v>7100</v>
      </c>
    </row>
    <row r="4435" spans="15:16" x14ac:dyDescent="0.35">
      <c r="O4435" s="18">
        <v>45996</v>
      </c>
      <c r="P4435">
        <v>7208</v>
      </c>
    </row>
    <row r="4436" spans="15:16" x14ac:dyDescent="0.35">
      <c r="O4436" s="18">
        <v>45999</v>
      </c>
      <c r="P4436">
        <v>7142</v>
      </c>
    </row>
    <row r="4437" spans="15:16" x14ac:dyDescent="0.35">
      <c r="O4437" s="18">
        <v>46000</v>
      </c>
      <c r="P4437">
        <v>7123</v>
      </c>
    </row>
    <row r="4438" spans="15:16" x14ac:dyDescent="0.35">
      <c r="O4438" s="18">
        <v>46001</v>
      </c>
      <c r="P4438">
        <v>7228.5</v>
      </c>
    </row>
    <row r="4439" spans="15:16" x14ac:dyDescent="0.35">
      <c r="O4439" s="18">
        <v>46002</v>
      </c>
      <c r="P4439">
        <v>7256</v>
      </c>
    </row>
    <row r="4440" spans="15:16" x14ac:dyDescent="0.35">
      <c r="O4440" s="18">
        <v>46003</v>
      </c>
      <c r="P4440">
        <v>7229</v>
      </c>
    </row>
    <row r="4441" spans="15:16" x14ac:dyDescent="0.35">
      <c r="O4441" s="18">
        <v>46006</v>
      </c>
      <c r="P4441">
        <v>7121.5</v>
      </c>
    </row>
    <row r="4442" spans="15:16" x14ac:dyDescent="0.35">
      <c r="O4442" s="18">
        <v>46007</v>
      </c>
      <c r="P4442">
        <v>7061.5</v>
      </c>
    </row>
    <row r="4443" spans="15:16" x14ac:dyDescent="0.35">
      <c r="O4443" s="18">
        <v>46008</v>
      </c>
      <c r="P4443">
        <v>7134.5</v>
      </c>
    </row>
    <row r="4444" spans="15:16" x14ac:dyDescent="0.35">
      <c r="O4444" s="18">
        <v>46009</v>
      </c>
      <c r="P4444">
        <v>7106.5</v>
      </c>
    </row>
    <row r="4445" spans="15:16" x14ac:dyDescent="0.35">
      <c r="O4445" s="18">
        <v>46010</v>
      </c>
      <c r="P4445">
        <v>7217</v>
      </c>
    </row>
    <row r="4446" spans="15:16" x14ac:dyDescent="0.35">
      <c r="O4446" s="18">
        <v>46013</v>
      </c>
      <c r="P4446">
        <v>7291.5</v>
      </c>
    </row>
    <row r="4447" spans="15:16" x14ac:dyDescent="0.35">
      <c r="O4447" s="18">
        <v>46014</v>
      </c>
      <c r="P4447">
        <v>7303</v>
      </c>
    </row>
    <row r="4448" spans="15:16" x14ac:dyDescent="0.35">
      <c r="O4448" s="18">
        <v>46015</v>
      </c>
      <c r="P4448">
        <v>7312.5</v>
      </c>
    </row>
    <row r="4449" spans="15:16" x14ac:dyDescent="0.35">
      <c r="O4449" s="18">
        <v>46017</v>
      </c>
      <c r="P4449">
        <v>7324</v>
      </c>
    </row>
    <row r="4450" spans="15:16" x14ac:dyDescent="0.35">
      <c r="O4450" s="18">
        <v>46020</v>
      </c>
      <c r="P4450">
        <v>7272</v>
      </c>
    </row>
    <row r="4451" spans="15:16" x14ac:dyDescent="0.35">
      <c r="O4451" s="18">
        <v>46021</v>
      </c>
      <c r="P4451">
        <v>7192.5</v>
      </c>
    </row>
    <row r="4452" spans="15:16" x14ac:dyDescent="0.35">
      <c r="O4452" s="18">
        <v>46022</v>
      </c>
      <c r="P4452">
        <v>7312.5</v>
      </c>
    </row>
    <row r="4453" spans="15:16" x14ac:dyDescent="0.35">
      <c r="O4453" s="18">
        <v>46023</v>
      </c>
      <c r="P4453">
        <v>7348</v>
      </c>
    </row>
    <row r="4454" spans="15:16" x14ac:dyDescent="0.35">
      <c r="O4454" s="18">
        <v>46024</v>
      </c>
      <c r="P4454">
        <v>7334.5</v>
      </c>
    </row>
    <row r="4455" spans="15:16" x14ac:dyDescent="0.35">
      <c r="O4455" s="18">
        <v>46027</v>
      </c>
      <c r="P4455">
        <v>7482.5</v>
      </c>
    </row>
    <row r="4456" spans="15:16" x14ac:dyDescent="0.35">
      <c r="O4456" s="18">
        <v>46028</v>
      </c>
      <c r="P4456">
        <v>7522.5</v>
      </c>
    </row>
    <row r="4457" spans="15:16" x14ac:dyDescent="0.35">
      <c r="O4457" s="18">
        <v>46029</v>
      </c>
      <c r="P4457">
        <v>7582.5</v>
      </c>
    </row>
    <row r="4458" spans="15:16" x14ac:dyDescent="0.35">
      <c r="O4458" s="18">
        <v>46030</v>
      </c>
      <c r="P4458">
        <v>7551</v>
      </c>
    </row>
    <row r="4459" spans="15:16" x14ac:dyDescent="0.35">
      <c r="O4459" s="18">
        <v>46031</v>
      </c>
      <c r="P4459">
        <v>7507</v>
      </c>
    </row>
    <row r="4460" spans="15:16" x14ac:dyDescent="0.35">
      <c r="O4460" s="18">
        <v>46034</v>
      </c>
      <c r="P4460">
        <v>7436</v>
      </c>
    </row>
    <row r="4461" spans="15:16" x14ac:dyDescent="0.35">
      <c r="O4461" s="18">
        <v>46035</v>
      </c>
      <c r="P4461">
        <v>7404</v>
      </c>
    </row>
    <row r="4462" spans="15:16" x14ac:dyDescent="0.35">
      <c r="O4462" s="18">
        <v>46036</v>
      </c>
      <c r="P4462">
        <v>7358</v>
      </c>
    </row>
    <row r="4463" spans="15:16" x14ac:dyDescent="0.35">
      <c r="O4463" s="18">
        <v>46038</v>
      </c>
      <c r="P4463">
        <v>7315</v>
      </c>
    </row>
    <row r="4464" spans="15:16" x14ac:dyDescent="0.35">
      <c r="O4464" s="18">
        <v>46041</v>
      </c>
      <c r="P4464">
        <v>7323.5</v>
      </c>
    </row>
    <row r="4465" spans="15:16" x14ac:dyDescent="0.35">
      <c r="O4465" s="18">
        <v>46042</v>
      </c>
      <c r="P4465">
        <v>7173.5</v>
      </c>
    </row>
    <row r="4466" spans="15:16" x14ac:dyDescent="0.35">
      <c r="O4466" s="18">
        <v>46043</v>
      </c>
      <c r="P4466">
        <v>7140</v>
      </c>
    </row>
    <row r="4467" spans="15:16" x14ac:dyDescent="0.35">
      <c r="O4467" s="18">
        <v>46044</v>
      </c>
      <c r="P4467">
        <v>7049</v>
      </c>
    </row>
    <row r="4468" spans="15:16" x14ac:dyDescent="0.35">
      <c r="O4468" s="18">
        <v>46045</v>
      </c>
      <c r="P4468">
        <v>6973</v>
      </c>
    </row>
    <row r="4469" spans="15:16" x14ac:dyDescent="0.35">
      <c r="O4469" s="18">
        <v>46049</v>
      </c>
      <c r="P4469">
        <v>7164.5</v>
      </c>
    </row>
    <row r="4470" spans="15:16" x14ac:dyDescent="0.35">
      <c r="O4470" s="18">
        <v>46050</v>
      </c>
      <c r="P4470">
        <v>7071</v>
      </c>
    </row>
    <row r="4471" spans="15:16" x14ac:dyDescent="0.35">
      <c r="O4471" s="18">
        <v>46051</v>
      </c>
      <c r="P4471">
        <v>7056.5</v>
      </c>
    </row>
    <row r="4472" spans="15:16" x14ac:dyDescent="0.35">
      <c r="O4472" s="18">
        <v>46052</v>
      </c>
      <c r="P4472">
        <v>7122.5</v>
      </c>
    </row>
    <row r="4473" spans="15:16" x14ac:dyDescent="0.35">
      <c r="O4473" s="18">
        <v>46054</v>
      </c>
      <c r="P4473">
        <v>6889.5</v>
      </c>
    </row>
    <row r="4474" spans="15:16" x14ac:dyDescent="0.35">
      <c r="O4474" s="18">
        <v>46055</v>
      </c>
      <c r="P4474">
        <v>6985.5</v>
      </c>
    </row>
    <row r="4475" spans="15:16" x14ac:dyDescent="0.35">
      <c r="O4475" s="18">
        <v>46056</v>
      </c>
      <c r="P4475">
        <v>7215</v>
      </c>
    </row>
    <row r="4476" spans="15:16" x14ac:dyDescent="0.35">
      <c r="O4476" s="18">
        <v>46057</v>
      </c>
      <c r="P4476">
        <v>7277.5</v>
      </c>
    </row>
    <row r="4477" spans="15:16" x14ac:dyDescent="0.35">
      <c r="O4477" s="18">
        <v>46058</v>
      </c>
      <c r="P4477">
        <v>7209.5</v>
      </c>
    </row>
    <row r="4478" spans="15:16" x14ac:dyDescent="0.35">
      <c r="O4478" s="18">
        <v>46059</v>
      </c>
      <c r="P4478">
        <v>7177.5</v>
      </c>
    </row>
    <row r="4479" spans="15:16" x14ac:dyDescent="0.35">
      <c r="O4479" s="18">
        <v>46062</v>
      </c>
      <c r="P4479">
        <v>7195.5</v>
      </c>
    </row>
    <row r="4480" spans="15:16" x14ac:dyDescent="0.35">
      <c r="O4480" s="18">
        <v>46063</v>
      </c>
      <c r="P4480">
        <v>7296</v>
      </c>
    </row>
    <row r="4481" spans="15:16" x14ac:dyDescent="0.35">
      <c r="O4481" s="18">
        <v>46064</v>
      </c>
      <c r="P4481">
        <v>7771</v>
      </c>
    </row>
    <row r="4482" spans="15:16" x14ac:dyDescent="0.35">
      <c r="O4482" s="18">
        <v>46065</v>
      </c>
      <c r="P4482">
        <v>7943</v>
      </c>
    </row>
    <row r="4483" spans="15:16" x14ac:dyDescent="0.35">
      <c r="O4483" s="18">
        <v>46066</v>
      </c>
      <c r="P4483">
        <v>8065</v>
      </c>
    </row>
  </sheetData>
  <mergeCells count="1">
    <mergeCell ref="C23:G26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  <headerFooter>
    <oddHeader xml:space="preserve">&amp;R </oddHeader>
    <oddFooter>&amp;RBy Nikhil Kulkarni MBA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28E6-CB2E-4B7A-BB03-79A9869DFF1F}">
  <dimension ref="B8:H15"/>
  <sheetViews>
    <sheetView showGridLines="0" topLeftCell="A4" workbookViewId="0">
      <selection activeCell="AD44" sqref="AD44"/>
    </sheetView>
  </sheetViews>
  <sheetFormatPr defaultRowHeight="14.5" x14ac:dyDescent="0.35"/>
  <cols>
    <col min="1" max="1" width="1.81640625" customWidth="1"/>
    <col min="2" max="2" width="27.54296875" customWidth="1"/>
    <col min="4" max="4" width="10.26953125" customWidth="1"/>
    <col min="5" max="5" width="12.36328125" customWidth="1"/>
  </cols>
  <sheetData>
    <row r="8" spans="2:8" x14ac:dyDescent="0.35">
      <c r="B8" s="49" t="s">
        <v>361</v>
      </c>
      <c r="C8" s="50"/>
      <c r="D8" s="50"/>
      <c r="E8" s="50"/>
      <c r="F8" s="50"/>
      <c r="G8" s="50"/>
      <c r="H8" s="50"/>
    </row>
    <row r="10" spans="2:8" x14ac:dyDescent="0.35">
      <c r="C10" s="22" t="s">
        <v>367</v>
      </c>
      <c r="D10" s="22" t="s">
        <v>354</v>
      </c>
      <c r="E10" s="22" t="s">
        <v>368</v>
      </c>
      <c r="F10" s="22" t="s">
        <v>369</v>
      </c>
    </row>
    <row r="11" spans="2:8" x14ac:dyDescent="0.35">
      <c r="B11" t="s">
        <v>362</v>
      </c>
    </row>
    <row r="12" spans="2:8" x14ac:dyDescent="0.35">
      <c r="B12" t="s">
        <v>363</v>
      </c>
    </row>
    <row r="13" spans="2:8" x14ac:dyDescent="0.35">
      <c r="B13" t="s">
        <v>364</v>
      </c>
    </row>
    <row r="14" spans="2:8" x14ac:dyDescent="0.35">
      <c r="B14" t="s">
        <v>365</v>
      </c>
    </row>
    <row r="15" spans="2:8" x14ac:dyDescent="0.35">
      <c r="B15" t="s">
        <v>366</v>
      </c>
    </row>
  </sheetData>
  <pageMargins left="0.70866141732283472" right="0.70866141732283472" top="0.74803149606299213" bottom="0.74803149606299213" header="0.31496062992125984" footer="0.31496062992125984"/>
  <pageSetup paperSize="9" scale="40" orientation="portrait" r:id="rId1"/>
  <headerFooter>
    <oddHeader xml:space="preserve">&amp;R </oddHeader>
    <oddFooter>&amp;RBy Nikhil Kulkarni MBA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One Page View</vt:lpstr>
      <vt:lpstr>Historical IFS</vt:lpstr>
      <vt:lpstr>Ratio Annalysis</vt:lpstr>
      <vt:lpstr>Revenue Forcasting </vt:lpstr>
      <vt:lpstr>Common size statement</vt:lpstr>
      <vt:lpstr>WACC</vt:lpstr>
      <vt:lpstr>Forcasting data </vt:lpstr>
      <vt:lpstr>Beta Calculation</vt:lpstr>
      <vt:lpstr>Data Room</vt:lpstr>
      <vt:lpstr>Intrisc Value</vt:lpstr>
      <vt:lpstr>DCF</vt:lpstr>
      <vt:lpstr>Comps Value</vt:lpstr>
      <vt:lpstr>RM</vt:lpstr>
      <vt:lpstr>Balance Sheet</vt:lpstr>
      <vt:lpstr>Profit &amp; Loss</vt:lpstr>
      <vt:lpstr>Data Sheet</vt:lpstr>
      <vt:lpstr>data</vt:lpstr>
      <vt:lpstr>Footabal annalysis</vt:lpstr>
      <vt:lpstr>'Beta Calculation'!Print_Area</vt:lpstr>
      <vt:lpstr>'Common size statement'!Print_Area</vt:lpstr>
      <vt:lpstr>'Comps Value'!Print_Area</vt:lpstr>
      <vt:lpstr>'Data Room'!Print_Area</vt:lpstr>
      <vt:lpstr>DCF!Print_Area</vt:lpstr>
      <vt:lpstr>'Forcasting data '!Print_Area</vt:lpstr>
      <vt:lpstr>'Historical IFS'!Print_Area</vt:lpstr>
      <vt:lpstr>'Intrisc Value'!Print_Area</vt:lpstr>
      <vt:lpstr>'One Page View'!Print_Area</vt:lpstr>
      <vt:lpstr>'Ratio Annalysis'!Print_Area</vt:lpstr>
      <vt:lpstr>'Revenue Forcasting '!Print_Area</vt:lpstr>
      <vt:lpstr>RM!Print_Area</vt:lpstr>
      <vt:lpstr>WACC!Print_Area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Madhu Kulkarni</cp:lastModifiedBy>
  <cp:lastPrinted>2026-02-21T16:47:57Z</cp:lastPrinted>
  <dcterms:created xsi:type="dcterms:W3CDTF">2012-08-17T09:55:37Z</dcterms:created>
  <dcterms:modified xsi:type="dcterms:W3CDTF">2026-02-21T16:49:02Z</dcterms:modified>
</cp:coreProperties>
</file>